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pamidi\Documents\Sushma_SP500Prediction_Capstone_Project\"/>
    </mc:Choice>
  </mc:AlternateContent>
  <xr:revisionPtr revIDLastSave="0" documentId="13_ncr:1_{B90808B4-F239-4130-B9F3-8954558C74E1}" xr6:coauthVersionLast="47" xr6:coauthVersionMax="47" xr10:uidLastSave="{00000000-0000-0000-0000-000000000000}"/>
  <bookViews>
    <workbookView xWindow="-28920" yWindow="-5370" windowWidth="29040" windowHeight="15840" activeTab="1" xr2:uid="{00000000-000D-0000-FFFF-FFFF00000000}"/>
  </bookViews>
  <sheets>
    <sheet name="RSI" sheetId="1" r:id="rId1"/>
    <sheet name="RSI (2)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65" i="1" l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G465" i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512" i="1" s="1"/>
  <c r="G513" i="1" s="1"/>
  <c r="G514" i="1" s="1"/>
  <c r="G515" i="1" s="1"/>
  <c r="G516" i="1" s="1"/>
  <c r="G517" i="1" s="1"/>
  <c r="G518" i="1" s="1"/>
  <c r="G519" i="1" s="1"/>
  <c r="G520" i="1" s="1"/>
  <c r="G521" i="1" s="1"/>
  <c r="G522" i="1" s="1"/>
  <c r="G523" i="1" s="1"/>
  <c r="G524" i="1" s="1"/>
  <c r="G525" i="1" s="1"/>
  <c r="G526" i="1" s="1"/>
  <c r="G527" i="1" s="1"/>
  <c r="G528" i="1" s="1"/>
  <c r="G529" i="1" s="1"/>
  <c r="G530" i="1" s="1"/>
  <c r="G531" i="1" s="1"/>
  <c r="G532" i="1" s="1"/>
  <c r="G533" i="1" s="1"/>
  <c r="G534" i="1" s="1"/>
  <c r="G535" i="1" s="1"/>
  <c r="G536" i="1" s="1"/>
  <c r="G537" i="1" s="1"/>
  <c r="G538" i="1" s="1"/>
  <c r="G539" i="1" s="1"/>
  <c r="G540" i="1" s="1"/>
  <c r="G541" i="1" s="1"/>
  <c r="G542" i="1" s="1"/>
  <c r="G543" i="1" s="1"/>
  <c r="G544" i="1" s="1"/>
  <c r="G545" i="1" s="1"/>
  <c r="G546" i="1" s="1"/>
  <c r="G547" i="1" s="1"/>
  <c r="G548" i="1" s="1"/>
  <c r="G549" i="1" s="1"/>
  <c r="G550" i="1" s="1"/>
  <c r="G551" i="1" s="1"/>
  <c r="G552" i="1" s="1"/>
  <c r="G553" i="1" s="1"/>
  <c r="G554" i="1" s="1"/>
  <c r="G555" i="1" s="1"/>
  <c r="G556" i="1" s="1"/>
  <c r="G557" i="1" s="1"/>
  <c r="G558" i="1" s="1"/>
  <c r="G559" i="1" s="1"/>
  <c r="G560" i="1" s="1"/>
  <c r="G561" i="1" s="1"/>
  <c r="G562" i="1" s="1"/>
  <c r="G563" i="1" s="1"/>
  <c r="G564" i="1" s="1"/>
  <c r="G565" i="1" s="1"/>
  <c r="G566" i="1" s="1"/>
  <c r="G567" i="1" s="1"/>
  <c r="G568" i="1" s="1"/>
  <c r="G569" i="1" s="1"/>
  <c r="G570" i="1" s="1"/>
  <c r="G571" i="1" s="1"/>
  <c r="G572" i="1" s="1"/>
  <c r="G573" i="1" s="1"/>
  <c r="G574" i="1" s="1"/>
  <c r="G575" i="1" s="1"/>
  <c r="G576" i="1" s="1"/>
  <c r="G577" i="1" s="1"/>
  <c r="G578" i="1" s="1"/>
  <c r="G579" i="1" s="1"/>
  <c r="G580" i="1" s="1"/>
  <c r="G581" i="1" s="1"/>
  <c r="G582" i="1" s="1"/>
  <c r="G583" i="1" s="1"/>
  <c r="G584" i="1" s="1"/>
  <c r="G585" i="1" s="1"/>
  <c r="G586" i="1" s="1"/>
  <c r="G587" i="1" s="1"/>
  <c r="G588" i="1" s="1"/>
  <c r="G589" i="1" s="1"/>
  <c r="G590" i="1" s="1"/>
  <c r="G591" i="1" s="1"/>
  <c r="G592" i="1" s="1"/>
  <c r="G593" i="1" s="1"/>
  <c r="G594" i="1" s="1"/>
  <c r="G595" i="1" s="1"/>
  <c r="G596" i="1" s="1"/>
  <c r="G597" i="1" s="1"/>
  <c r="G598" i="1" s="1"/>
  <c r="G599" i="1" s="1"/>
  <c r="G600" i="1" s="1"/>
  <c r="G601" i="1" s="1"/>
  <c r="G602" i="1" s="1"/>
  <c r="G603" i="1" s="1"/>
  <c r="G604" i="1" s="1"/>
  <c r="G605" i="1" s="1"/>
  <c r="G606" i="1" s="1"/>
  <c r="G607" i="1" s="1"/>
  <c r="G608" i="1" s="1"/>
  <c r="G609" i="1" s="1"/>
  <c r="G610" i="1" s="1"/>
  <c r="G611" i="1" s="1"/>
  <c r="G612" i="1" s="1"/>
  <c r="G613" i="1" s="1"/>
  <c r="G614" i="1" s="1"/>
  <c r="G615" i="1" s="1"/>
  <c r="G616" i="1" s="1"/>
  <c r="G617" i="1" s="1"/>
  <c r="G618" i="1" s="1"/>
  <c r="G619" i="1" s="1"/>
  <c r="G620" i="1" s="1"/>
  <c r="G621" i="1" s="1"/>
  <c r="G622" i="1" s="1"/>
  <c r="G623" i="1" s="1"/>
  <c r="G624" i="1" s="1"/>
  <c r="G625" i="1" s="1"/>
  <c r="G626" i="1" s="1"/>
  <c r="G627" i="1" s="1"/>
  <c r="G628" i="1" s="1"/>
  <c r="G629" i="1" s="1"/>
  <c r="G630" i="1" s="1"/>
  <c r="G631" i="1" s="1"/>
  <c r="G632" i="1" s="1"/>
  <c r="G633" i="1" s="1"/>
  <c r="G634" i="1" s="1"/>
  <c r="G635" i="1" s="1"/>
  <c r="G636" i="1" s="1"/>
  <c r="G637" i="1" s="1"/>
  <c r="G638" i="1" s="1"/>
  <c r="G639" i="1" s="1"/>
  <c r="G640" i="1" s="1"/>
  <c r="G641" i="1" s="1"/>
  <c r="G642" i="1" s="1"/>
  <c r="G643" i="1" s="1"/>
  <c r="G644" i="1" s="1"/>
  <c r="G645" i="1" s="1"/>
  <c r="G646" i="1" s="1"/>
  <c r="G647" i="1" s="1"/>
  <c r="G648" i="1" s="1"/>
  <c r="G649" i="1" s="1"/>
  <c r="G650" i="1" s="1"/>
  <c r="G651" i="1" s="1"/>
  <c r="G652" i="1" s="1"/>
  <c r="G653" i="1" s="1"/>
  <c r="G654" i="1" s="1"/>
  <c r="G655" i="1" s="1"/>
  <c r="G656" i="1" s="1"/>
  <c r="G657" i="1" s="1"/>
  <c r="G658" i="1" s="1"/>
  <c r="G659" i="1" s="1"/>
  <c r="G660" i="1" s="1"/>
  <c r="G661" i="1" s="1"/>
  <c r="G662" i="1" s="1"/>
  <c r="G663" i="1" s="1"/>
  <c r="G664" i="1" s="1"/>
  <c r="G665" i="1" s="1"/>
  <c r="G666" i="1" s="1"/>
  <c r="G667" i="1" s="1"/>
  <c r="G668" i="1" s="1"/>
  <c r="G669" i="1" s="1"/>
  <c r="G670" i="1" s="1"/>
  <c r="G671" i="1" s="1"/>
  <c r="G672" i="1" s="1"/>
  <c r="G673" i="1" s="1"/>
  <c r="G674" i="1" s="1"/>
  <c r="G675" i="1" s="1"/>
  <c r="G676" i="1" s="1"/>
  <c r="G677" i="1" s="1"/>
  <c r="G678" i="1" s="1"/>
  <c r="G679" i="1" s="1"/>
  <c r="G680" i="1" s="1"/>
  <c r="G681" i="1" s="1"/>
  <c r="G682" i="1" s="1"/>
  <c r="G683" i="1" s="1"/>
  <c r="G684" i="1" s="1"/>
  <c r="G685" i="1" s="1"/>
  <c r="G686" i="1" s="1"/>
  <c r="G687" i="1" s="1"/>
  <c r="G688" i="1" s="1"/>
  <c r="G689" i="1" s="1"/>
  <c r="G690" i="1" s="1"/>
  <c r="G691" i="1" s="1"/>
  <c r="G692" i="1" s="1"/>
  <c r="G693" i="1" s="1"/>
  <c r="G694" i="1" s="1"/>
  <c r="G695" i="1" s="1"/>
  <c r="G696" i="1" s="1"/>
  <c r="G697" i="1" s="1"/>
  <c r="G698" i="1" s="1"/>
  <c r="G699" i="1" s="1"/>
  <c r="G700" i="1" s="1"/>
  <c r="G701" i="1" s="1"/>
  <c r="G702" i="1" s="1"/>
  <c r="G703" i="1" s="1"/>
  <c r="G704" i="1" s="1"/>
  <c r="G705" i="1" s="1"/>
  <c r="G706" i="1" s="1"/>
  <c r="G707" i="1" s="1"/>
  <c r="G708" i="1" s="1"/>
  <c r="G709" i="1" s="1"/>
  <c r="G710" i="1" s="1"/>
  <c r="G711" i="1" s="1"/>
  <c r="G712" i="1" s="1"/>
  <c r="G713" i="1" s="1"/>
  <c r="G714" i="1" s="1"/>
  <c r="G715" i="1" s="1"/>
  <c r="G716" i="1" s="1"/>
  <c r="G717" i="1" s="1"/>
  <c r="G718" i="1" s="1"/>
  <c r="G719" i="1" s="1"/>
  <c r="G720" i="1" s="1"/>
  <c r="G721" i="1" s="1"/>
  <c r="G722" i="1" s="1"/>
  <c r="G723" i="1" s="1"/>
  <c r="G724" i="1" s="1"/>
  <c r="G725" i="1" s="1"/>
  <c r="G726" i="1" s="1"/>
  <c r="G727" i="1" s="1"/>
  <c r="G728" i="1" s="1"/>
  <c r="G729" i="1" s="1"/>
  <c r="G730" i="1" s="1"/>
  <c r="G731" i="1" s="1"/>
  <c r="G732" i="1" s="1"/>
  <c r="G733" i="1" s="1"/>
  <c r="G734" i="1" s="1"/>
  <c r="G735" i="1" s="1"/>
  <c r="G736" i="1" s="1"/>
  <c r="G737" i="1" s="1"/>
  <c r="G738" i="1" s="1"/>
  <c r="G739" i="1" s="1"/>
  <c r="G740" i="1" s="1"/>
  <c r="G741" i="1" s="1"/>
  <c r="G742" i="1" s="1"/>
  <c r="G743" i="1" s="1"/>
  <c r="G744" i="1" s="1"/>
  <c r="G745" i="1" s="1"/>
  <c r="G746" i="1" s="1"/>
  <c r="G747" i="1" s="1"/>
  <c r="G748" i="1" s="1"/>
  <c r="G749" i="1" s="1"/>
  <c r="G750" i="1" s="1"/>
  <c r="G751" i="1" s="1"/>
  <c r="G752" i="1" s="1"/>
  <c r="G753" i="1" s="1"/>
  <c r="G754" i="1" s="1"/>
  <c r="G755" i="1" s="1"/>
  <c r="G756" i="1" s="1"/>
  <c r="G757" i="1" s="1"/>
  <c r="G758" i="1" s="1"/>
  <c r="G759" i="1" s="1"/>
  <c r="G760" i="1" s="1"/>
  <c r="G761" i="1" s="1"/>
  <c r="G762" i="1" s="1"/>
  <c r="G763" i="1" s="1"/>
  <c r="G764" i="1" s="1"/>
  <c r="G765" i="1" s="1"/>
  <c r="G766" i="1" s="1"/>
  <c r="G767" i="1" s="1"/>
  <c r="G768" i="1" s="1"/>
  <c r="G769" i="1" s="1"/>
  <c r="G770" i="1" s="1"/>
  <c r="G771" i="1" s="1"/>
  <c r="G772" i="1" s="1"/>
  <c r="G773" i="1" s="1"/>
  <c r="G774" i="1" s="1"/>
  <c r="G775" i="1" s="1"/>
  <c r="G776" i="1" s="1"/>
  <c r="G777" i="1" s="1"/>
  <c r="G778" i="1" s="1"/>
  <c r="G779" i="1" s="1"/>
  <c r="G780" i="1" s="1"/>
  <c r="G781" i="1" s="1"/>
  <c r="G782" i="1" s="1"/>
  <c r="G783" i="1" s="1"/>
  <c r="G784" i="1" s="1"/>
  <c r="G785" i="1" s="1"/>
  <c r="G786" i="1" s="1"/>
  <c r="G787" i="1" s="1"/>
  <c r="G788" i="1" s="1"/>
  <c r="G789" i="1" s="1"/>
  <c r="G790" i="1" s="1"/>
  <c r="G791" i="1" s="1"/>
  <c r="G792" i="1" s="1"/>
  <c r="G793" i="1" s="1"/>
  <c r="G794" i="1" s="1"/>
  <c r="G795" i="1" s="1"/>
  <c r="G796" i="1" s="1"/>
  <c r="G797" i="1" s="1"/>
  <c r="G798" i="1" s="1"/>
  <c r="G799" i="1" s="1"/>
  <c r="G800" i="1" s="1"/>
  <c r="G801" i="1" s="1"/>
  <c r="G802" i="1" s="1"/>
  <c r="G803" i="1" s="1"/>
  <c r="G804" i="1" s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819" i="1" s="1"/>
  <c r="G820" i="1" s="1"/>
  <c r="G821" i="1" s="1"/>
  <c r="G822" i="1" s="1"/>
  <c r="G823" i="1" s="1"/>
  <c r="G824" i="1" s="1"/>
  <c r="G825" i="1" s="1"/>
  <c r="G826" i="1" s="1"/>
  <c r="G827" i="1" s="1"/>
  <c r="G828" i="1" s="1"/>
  <c r="G829" i="1" s="1"/>
  <c r="G830" i="1" s="1"/>
  <c r="G831" i="1" s="1"/>
  <c r="G832" i="1" s="1"/>
  <c r="G833" i="1" s="1"/>
  <c r="G834" i="1" s="1"/>
  <c r="G835" i="1" s="1"/>
  <c r="G836" i="1" s="1"/>
  <c r="G837" i="1" s="1"/>
  <c r="G838" i="1" s="1"/>
  <c r="G839" i="1" s="1"/>
  <c r="G840" i="1" s="1"/>
  <c r="G841" i="1" s="1"/>
  <c r="G842" i="1" s="1"/>
  <c r="G843" i="1" s="1"/>
  <c r="G844" i="1" s="1"/>
  <c r="G845" i="1" s="1"/>
  <c r="G846" i="1" s="1"/>
  <c r="G847" i="1" s="1"/>
  <c r="G848" i="1" s="1"/>
  <c r="G849" i="1" s="1"/>
  <c r="G850" i="1" s="1"/>
  <c r="G851" i="1" s="1"/>
  <c r="G852" i="1" s="1"/>
  <c r="G853" i="1" s="1"/>
  <c r="G854" i="1" s="1"/>
  <c r="G855" i="1" s="1"/>
  <c r="G856" i="1" s="1"/>
  <c r="G857" i="1" s="1"/>
  <c r="G858" i="1" s="1"/>
  <c r="G859" i="1" s="1"/>
  <c r="G860" i="1" s="1"/>
  <c r="G861" i="1" s="1"/>
  <c r="G862" i="1" s="1"/>
  <c r="G863" i="1" s="1"/>
  <c r="G864" i="1" s="1"/>
  <c r="G865" i="1" s="1"/>
  <c r="G866" i="1" s="1"/>
  <c r="G867" i="1" s="1"/>
  <c r="G868" i="1" s="1"/>
  <c r="G869" i="1" s="1"/>
  <c r="G870" i="1" s="1"/>
  <c r="G871" i="1" s="1"/>
  <c r="G872" i="1" s="1"/>
  <c r="G873" i="1" s="1"/>
  <c r="G874" i="1" s="1"/>
  <c r="G875" i="1" s="1"/>
  <c r="G876" i="1" s="1"/>
  <c r="G877" i="1" s="1"/>
  <c r="G878" i="1" s="1"/>
  <c r="G879" i="1" s="1"/>
  <c r="G880" i="1" s="1"/>
  <c r="G881" i="1" s="1"/>
  <c r="G882" i="1" s="1"/>
  <c r="G883" i="1" s="1"/>
  <c r="G884" i="1" s="1"/>
  <c r="G885" i="1" s="1"/>
  <c r="G886" i="1" s="1"/>
  <c r="G887" i="1" s="1"/>
  <c r="G888" i="1" s="1"/>
  <c r="G889" i="1" s="1"/>
  <c r="G890" i="1" s="1"/>
  <c r="G891" i="1" s="1"/>
  <c r="G892" i="1" s="1"/>
  <c r="G893" i="1" s="1"/>
  <c r="G894" i="1" s="1"/>
  <c r="G895" i="1" s="1"/>
  <c r="G896" i="1" s="1"/>
  <c r="G897" i="1" s="1"/>
  <c r="G898" i="1" s="1"/>
  <c r="G899" i="1" s="1"/>
  <c r="G900" i="1" s="1"/>
  <c r="G901" i="1" s="1"/>
  <c r="G902" i="1" s="1"/>
  <c r="G903" i="1" s="1"/>
  <c r="G904" i="1" s="1"/>
  <c r="G905" i="1" s="1"/>
  <c r="G906" i="1" s="1"/>
  <c r="G907" i="1" s="1"/>
  <c r="G908" i="1" s="1"/>
  <c r="G909" i="1" s="1"/>
  <c r="G910" i="1" s="1"/>
  <c r="G911" i="1" s="1"/>
  <c r="G912" i="1" s="1"/>
  <c r="G913" i="1" s="1"/>
  <c r="G914" i="1" s="1"/>
  <c r="G915" i="1" s="1"/>
  <c r="G916" i="1" s="1"/>
  <c r="G917" i="1" s="1"/>
  <c r="G918" i="1" s="1"/>
  <c r="G919" i="1" s="1"/>
  <c r="G920" i="1" s="1"/>
  <c r="G921" i="1" s="1"/>
  <c r="G922" i="1" s="1"/>
  <c r="G923" i="1" s="1"/>
  <c r="G924" i="1" s="1"/>
  <c r="G925" i="1" s="1"/>
  <c r="G926" i="1" s="1"/>
  <c r="G927" i="1" s="1"/>
  <c r="G928" i="1" s="1"/>
  <c r="G929" i="1" s="1"/>
  <c r="G930" i="1" s="1"/>
  <c r="G931" i="1" s="1"/>
  <c r="G932" i="1" s="1"/>
  <c r="G933" i="1" s="1"/>
  <c r="G934" i="1" s="1"/>
  <c r="G935" i="1" s="1"/>
  <c r="G936" i="1" s="1"/>
  <c r="G937" i="1" s="1"/>
  <c r="G938" i="1" s="1"/>
  <c r="G939" i="1" s="1"/>
  <c r="G940" i="1" s="1"/>
  <c r="G941" i="1" s="1"/>
  <c r="G942" i="1" s="1"/>
  <c r="G943" i="1" s="1"/>
  <c r="G944" i="1" s="1"/>
  <c r="G945" i="1" s="1"/>
  <c r="G946" i="1" s="1"/>
  <c r="G947" i="1" s="1"/>
  <c r="G948" i="1" s="1"/>
  <c r="G949" i="1" s="1"/>
  <c r="G950" i="1" s="1"/>
  <c r="G951" i="1" s="1"/>
  <c r="G952" i="1" s="1"/>
  <c r="G953" i="1" s="1"/>
  <c r="G954" i="1" s="1"/>
  <c r="G955" i="1" s="1"/>
  <c r="G956" i="1" s="1"/>
  <c r="G957" i="1" s="1"/>
  <c r="G958" i="1" s="1"/>
  <c r="G959" i="1" s="1"/>
  <c r="G960" i="1" s="1"/>
  <c r="G961" i="1" s="1"/>
  <c r="G962" i="1" s="1"/>
  <c r="G963" i="1" s="1"/>
  <c r="G964" i="1" s="1"/>
  <c r="G965" i="1" s="1"/>
  <c r="G966" i="1" s="1"/>
  <c r="G967" i="1" s="1"/>
  <c r="G968" i="1" s="1"/>
  <c r="G969" i="1" s="1"/>
  <c r="G970" i="1" s="1"/>
  <c r="G971" i="1" s="1"/>
  <c r="G972" i="1" s="1"/>
  <c r="G973" i="1" s="1"/>
  <c r="G974" i="1" s="1"/>
  <c r="G975" i="1" s="1"/>
  <c r="G976" i="1" s="1"/>
  <c r="G977" i="1" s="1"/>
  <c r="G978" i="1" s="1"/>
  <c r="G979" i="1" s="1"/>
  <c r="G980" i="1" s="1"/>
  <c r="G981" i="1" s="1"/>
  <c r="G982" i="1" s="1"/>
  <c r="G983" i="1" s="1"/>
  <c r="G984" i="1" s="1"/>
  <c r="G985" i="1" s="1"/>
  <c r="G986" i="1" s="1"/>
  <c r="G987" i="1" s="1"/>
  <c r="G988" i="1" s="1"/>
  <c r="G989" i="1" s="1"/>
  <c r="G990" i="1" s="1"/>
  <c r="G991" i="1" s="1"/>
  <c r="G992" i="1" s="1"/>
  <c r="G993" i="1" s="1"/>
  <c r="G994" i="1" s="1"/>
  <c r="G995" i="1" s="1"/>
  <c r="G996" i="1" s="1"/>
  <c r="G997" i="1" s="1"/>
  <c r="G998" i="1" s="1"/>
  <c r="G999" i="1" s="1"/>
  <c r="G1000" i="1" s="1"/>
  <c r="G1001" i="1" s="1"/>
  <c r="G1002" i="1" s="1"/>
  <c r="G1003" i="1" s="1"/>
  <c r="G1004" i="1" s="1"/>
  <c r="G1005" i="1" s="1"/>
  <c r="G1006" i="1" s="1"/>
  <c r="G1007" i="1" s="1"/>
  <c r="G1008" i="1" s="1"/>
  <c r="G1009" i="1" s="1"/>
  <c r="G1010" i="1" s="1"/>
  <c r="G1011" i="1" s="1"/>
  <c r="G1012" i="1" s="1"/>
  <c r="G1013" i="1" s="1"/>
  <c r="G1014" i="1" s="1"/>
  <c r="G1015" i="1" s="1"/>
  <c r="G1016" i="1" s="1"/>
  <c r="G1017" i="1" s="1"/>
  <c r="G1018" i="1" s="1"/>
  <c r="G1019" i="1" s="1"/>
  <c r="G1020" i="1" s="1"/>
  <c r="G1021" i="1" s="1"/>
  <c r="G1022" i="1" s="1"/>
  <c r="G1023" i="1" s="1"/>
  <c r="G1024" i="1" s="1"/>
  <c r="G1025" i="1" s="1"/>
  <c r="G1026" i="1" s="1"/>
  <c r="G1027" i="1" s="1"/>
  <c r="G1028" i="1" s="1"/>
  <c r="G1029" i="1" s="1"/>
  <c r="G1030" i="1" s="1"/>
  <c r="G1031" i="1" s="1"/>
  <c r="G1032" i="1" s="1"/>
  <c r="G1033" i="1" s="1"/>
  <c r="G1034" i="1" s="1"/>
  <c r="G1035" i="1" s="1"/>
  <c r="G1036" i="1" s="1"/>
  <c r="G1037" i="1" s="1"/>
  <c r="G1038" i="1" s="1"/>
  <c r="G1039" i="1" s="1"/>
  <c r="G1040" i="1" s="1"/>
  <c r="G1041" i="1" s="1"/>
  <c r="G1042" i="1" s="1"/>
  <c r="G1043" i="1" s="1"/>
  <c r="G1044" i="1" s="1"/>
  <c r="G1045" i="1" s="1"/>
  <c r="G1046" i="1" s="1"/>
  <c r="G1047" i="1" s="1"/>
  <c r="G1048" i="1" s="1"/>
  <c r="G1049" i="1" s="1"/>
  <c r="G1050" i="1" s="1"/>
  <c r="G1051" i="1" s="1"/>
  <c r="G1052" i="1" s="1"/>
  <c r="G1053" i="1" s="1"/>
  <c r="G1054" i="1" s="1"/>
  <c r="G1055" i="1" s="1"/>
  <c r="G1056" i="1" s="1"/>
  <c r="G1057" i="1" s="1"/>
  <c r="G1058" i="1" s="1"/>
  <c r="G1059" i="1" s="1"/>
  <c r="G1060" i="1" s="1"/>
  <c r="G1061" i="1" s="1"/>
  <c r="G1062" i="1" s="1"/>
  <c r="G1063" i="1" s="1"/>
  <c r="G1064" i="1" s="1"/>
  <c r="G1065" i="1" s="1"/>
  <c r="G1066" i="1" s="1"/>
  <c r="G1067" i="1" s="1"/>
  <c r="G1068" i="1" s="1"/>
  <c r="G1069" i="1" s="1"/>
  <c r="G1070" i="1" s="1"/>
  <c r="G1071" i="1" s="1"/>
  <c r="G1072" i="1" s="1"/>
  <c r="G1073" i="1" s="1"/>
  <c r="G1074" i="1" s="1"/>
  <c r="G1075" i="1" s="1"/>
  <c r="G1076" i="1" s="1"/>
  <c r="G1077" i="1" s="1"/>
  <c r="G1078" i="1" s="1"/>
  <c r="G1079" i="1" s="1"/>
  <c r="G1080" i="1" s="1"/>
  <c r="G1081" i="1" s="1"/>
  <c r="G1082" i="1" s="1"/>
  <c r="G1083" i="1" s="1"/>
  <c r="G1084" i="1" s="1"/>
  <c r="G1085" i="1" s="1"/>
  <c r="G1086" i="1" s="1"/>
  <c r="G1087" i="1" s="1"/>
  <c r="G1088" i="1" s="1"/>
  <c r="G1089" i="1" s="1"/>
  <c r="G1090" i="1" s="1"/>
  <c r="G1091" i="1" s="1"/>
  <c r="G1092" i="1" s="1"/>
  <c r="G1093" i="1" s="1"/>
  <c r="G1094" i="1" s="1"/>
  <c r="G1095" i="1" s="1"/>
  <c r="G1096" i="1" s="1"/>
  <c r="G1097" i="1" s="1"/>
  <c r="G1098" i="1" s="1"/>
  <c r="G1099" i="1" s="1"/>
  <c r="G1100" i="1" s="1"/>
  <c r="G1101" i="1" s="1"/>
  <c r="G1102" i="1" s="1"/>
  <c r="G1103" i="1" s="1"/>
  <c r="G1104" i="1" s="1"/>
  <c r="G1105" i="1" s="1"/>
  <c r="G1106" i="1" s="1"/>
  <c r="G1107" i="1" s="1"/>
  <c r="G1108" i="1" s="1"/>
  <c r="G1109" i="1" s="1"/>
  <c r="G1110" i="1" s="1"/>
  <c r="G1111" i="1" s="1"/>
  <c r="G1112" i="1" s="1"/>
  <c r="G1113" i="1" s="1"/>
  <c r="G1114" i="1" s="1"/>
  <c r="G1115" i="1" s="1"/>
  <c r="G1116" i="1" s="1"/>
  <c r="G1117" i="1" s="1"/>
  <c r="G1118" i="1" s="1"/>
  <c r="G1119" i="1" s="1"/>
  <c r="G1120" i="1" s="1"/>
  <c r="G1121" i="1" s="1"/>
  <c r="G1122" i="1" s="1"/>
  <c r="G1123" i="1" s="1"/>
  <c r="G1124" i="1" s="1"/>
  <c r="G1125" i="1" s="1"/>
  <c r="G1126" i="1" s="1"/>
  <c r="G1127" i="1" s="1"/>
  <c r="G1128" i="1" s="1"/>
  <c r="G1129" i="1" s="1"/>
  <c r="G1130" i="1" s="1"/>
  <c r="G1131" i="1" s="1"/>
  <c r="G1132" i="1" s="1"/>
  <c r="G1133" i="1" s="1"/>
  <c r="G1134" i="1" s="1"/>
  <c r="G1135" i="1" s="1"/>
  <c r="G1136" i="1" s="1"/>
  <c r="G1137" i="1" s="1"/>
  <c r="G1138" i="1" s="1"/>
  <c r="G1139" i="1" s="1"/>
  <c r="G1140" i="1" s="1"/>
  <c r="G1141" i="1" s="1"/>
  <c r="G1142" i="1" s="1"/>
  <c r="G1143" i="1" s="1"/>
  <c r="G1144" i="1" s="1"/>
  <c r="G1145" i="1" s="1"/>
  <c r="G1146" i="1" s="1"/>
  <c r="G1147" i="1" s="1"/>
  <c r="G1148" i="1" s="1"/>
  <c r="G1149" i="1" s="1"/>
  <c r="G1150" i="1" s="1"/>
  <c r="G1151" i="1" s="1"/>
  <c r="G1152" i="1" s="1"/>
  <c r="G1153" i="1" s="1"/>
  <c r="G1154" i="1" s="1"/>
  <c r="G1155" i="1" s="1"/>
  <c r="G1156" i="1" s="1"/>
  <c r="G1157" i="1" s="1"/>
  <c r="G1158" i="1" s="1"/>
  <c r="G1159" i="1" s="1"/>
  <c r="G1160" i="1" s="1"/>
  <c r="G1161" i="1" s="1"/>
  <c r="G1162" i="1" s="1"/>
  <c r="G1163" i="1" s="1"/>
  <c r="G1164" i="1" s="1"/>
  <c r="G1165" i="1" s="1"/>
  <c r="G1166" i="1" s="1"/>
  <c r="G1167" i="1" s="1"/>
  <c r="G1168" i="1" s="1"/>
  <c r="G1169" i="1" s="1"/>
  <c r="G1170" i="1" s="1"/>
  <c r="G1171" i="1" s="1"/>
  <c r="G1172" i="1" s="1"/>
  <c r="G1173" i="1" s="1"/>
  <c r="G1174" i="1" s="1"/>
  <c r="G1175" i="1" s="1"/>
  <c r="G1176" i="1" s="1"/>
  <c r="G1177" i="1" s="1"/>
  <c r="G1178" i="1" s="1"/>
  <c r="G1179" i="1" s="1"/>
  <c r="G1180" i="1" s="1"/>
  <c r="G1181" i="1" s="1"/>
  <c r="G1182" i="1" s="1"/>
  <c r="G1183" i="1" s="1"/>
  <c r="G1184" i="1" s="1"/>
  <c r="G1185" i="1" s="1"/>
  <c r="G1186" i="1" s="1"/>
  <c r="G1187" i="1" s="1"/>
  <c r="G1188" i="1" s="1"/>
  <c r="G1189" i="1" s="1"/>
  <c r="G1190" i="1" s="1"/>
  <c r="G1191" i="1" s="1"/>
  <c r="G1192" i="1" s="1"/>
  <c r="G1193" i="1" s="1"/>
  <c r="G1194" i="1" s="1"/>
  <c r="G1195" i="1" s="1"/>
  <c r="G1196" i="1" s="1"/>
  <c r="G1197" i="1" s="1"/>
  <c r="G1198" i="1" s="1"/>
  <c r="G1199" i="1" s="1"/>
  <c r="G1200" i="1" s="1"/>
  <c r="G1201" i="1" s="1"/>
  <c r="G1202" i="1" s="1"/>
  <c r="G1203" i="1" s="1"/>
  <c r="G1204" i="1" s="1"/>
  <c r="G1205" i="1" s="1"/>
  <c r="G1206" i="1" s="1"/>
  <c r="G1207" i="1" s="1"/>
  <c r="G1208" i="1" s="1"/>
  <c r="G1209" i="1" s="1"/>
  <c r="G1210" i="1" s="1"/>
  <c r="G1211" i="1" s="1"/>
  <c r="G1212" i="1" s="1"/>
  <c r="G1213" i="1" s="1"/>
  <c r="G1214" i="1" s="1"/>
  <c r="G1215" i="1" s="1"/>
  <c r="G1216" i="1" s="1"/>
  <c r="G1217" i="1" s="1"/>
  <c r="G1218" i="1" s="1"/>
  <c r="G1219" i="1" s="1"/>
  <c r="G1220" i="1" s="1"/>
  <c r="G1221" i="1" s="1"/>
  <c r="G1222" i="1" s="1"/>
  <c r="G1223" i="1" s="1"/>
  <c r="G1224" i="1" s="1"/>
  <c r="G1225" i="1" s="1"/>
  <c r="G1226" i="1" s="1"/>
  <c r="G1227" i="1" s="1"/>
  <c r="G1228" i="1" s="1"/>
  <c r="G1229" i="1" s="1"/>
  <c r="G1230" i="1" s="1"/>
  <c r="G1231" i="1" s="1"/>
  <c r="G1232" i="1" s="1"/>
  <c r="G1233" i="1" s="1"/>
  <c r="G1234" i="1" s="1"/>
  <c r="G1235" i="1" s="1"/>
  <c r="G1236" i="1" s="1"/>
  <c r="G1237" i="1" s="1"/>
  <c r="G1238" i="1" s="1"/>
  <c r="G1239" i="1" s="1"/>
  <c r="G1240" i="1" s="1"/>
  <c r="G1241" i="1" s="1"/>
  <c r="G1242" i="1" s="1"/>
  <c r="G1243" i="1" s="1"/>
  <c r="G1244" i="1" s="1"/>
  <c r="G1245" i="1" s="1"/>
  <c r="G1246" i="1" s="1"/>
  <c r="G1247" i="1" s="1"/>
  <c r="G1248" i="1" s="1"/>
  <c r="G1249" i="1" s="1"/>
  <c r="G1250" i="1" s="1"/>
  <c r="G1251" i="1" s="1"/>
  <c r="G1252" i="1" s="1"/>
  <c r="G1253" i="1" s="1"/>
  <c r="G1254" i="1" s="1"/>
  <c r="G1255" i="1" s="1"/>
  <c r="G1256" i="1" s="1"/>
  <c r="G1257" i="1" s="1"/>
  <c r="G1258" i="1" s="1"/>
  <c r="G1259" i="1" s="1"/>
  <c r="G1260" i="1" s="1"/>
  <c r="G1261" i="1" s="1"/>
  <c r="G1262" i="1" s="1"/>
  <c r="G1263" i="1" s="1"/>
  <c r="G1264" i="1" s="1"/>
  <c r="G1265" i="1" s="1"/>
  <c r="G1266" i="1" s="1"/>
  <c r="G1267" i="1" s="1"/>
  <c r="G1268" i="1" s="1"/>
  <c r="G1269" i="1" s="1"/>
  <c r="G1270" i="1" s="1"/>
  <c r="G1271" i="1" s="1"/>
  <c r="G1272" i="1" s="1"/>
  <c r="G1273" i="1" s="1"/>
  <c r="G1274" i="1" s="1"/>
  <c r="G1275" i="1" s="1"/>
  <c r="G1276" i="1" s="1"/>
  <c r="G1277" i="1" s="1"/>
  <c r="G1278" i="1" s="1"/>
  <c r="G1279" i="1" s="1"/>
  <c r="G1280" i="1" s="1"/>
  <c r="G1281" i="1" s="1"/>
  <c r="G1282" i="1" s="1"/>
  <c r="G1283" i="1" s="1"/>
  <c r="G1284" i="1" s="1"/>
  <c r="G1285" i="1" s="1"/>
  <c r="G1286" i="1" s="1"/>
  <c r="G1287" i="1" s="1"/>
  <c r="G1288" i="1" s="1"/>
  <c r="G1289" i="1" s="1"/>
  <c r="G1290" i="1" s="1"/>
  <c r="G1291" i="1" s="1"/>
  <c r="G1292" i="1" s="1"/>
  <c r="G1293" i="1" s="1"/>
  <c r="G1294" i="1" s="1"/>
  <c r="G1295" i="1" s="1"/>
  <c r="G1296" i="1" s="1"/>
  <c r="G1297" i="1" s="1"/>
  <c r="G1298" i="1" s="1"/>
  <c r="G1299" i="1" s="1"/>
  <c r="G1300" i="1" s="1"/>
  <c r="G1301" i="1" s="1"/>
  <c r="G1302" i="1" s="1"/>
  <c r="G1303" i="1" s="1"/>
  <c r="G1304" i="1" s="1"/>
  <c r="G1305" i="1" s="1"/>
  <c r="G1306" i="1" s="1"/>
  <c r="G1307" i="1" s="1"/>
  <c r="G1308" i="1" s="1"/>
  <c r="G1309" i="1" s="1"/>
  <c r="G1310" i="1" s="1"/>
  <c r="G1311" i="1" s="1"/>
  <c r="G1312" i="1" s="1"/>
  <c r="G1313" i="1" s="1"/>
  <c r="G1314" i="1" s="1"/>
  <c r="G1315" i="1" s="1"/>
  <c r="G1316" i="1" s="1"/>
  <c r="G1317" i="1" s="1"/>
  <c r="G1318" i="1" s="1"/>
  <c r="G1319" i="1" s="1"/>
  <c r="G1320" i="1" s="1"/>
  <c r="G1321" i="1" s="1"/>
  <c r="G1322" i="1" s="1"/>
  <c r="G1323" i="1" s="1"/>
  <c r="G1324" i="1" s="1"/>
  <c r="G1325" i="1" s="1"/>
  <c r="G1326" i="1" s="1"/>
  <c r="G1327" i="1" s="1"/>
  <c r="G1328" i="1" s="1"/>
  <c r="G1329" i="1" s="1"/>
  <c r="G1330" i="1" s="1"/>
  <c r="G1331" i="1" s="1"/>
  <c r="G1332" i="1" s="1"/>
  <c r="G1333" i="1" s="1"/>
  <c r="G1334" i="1" s="1"/>
  <c r="G1335" i="1" s="1"/>
  <c r="G1336" i="1" s="1"/>
  <c r="G1337" i="1" s="1"/>
  <c r="G1338" i="1" s="1"/>
  <c r="G1339" i="1" s="1"/>
  <c r="G1340" i="1" s="1"/>
  <c r="G1341" i="1" s="1"/>
  <c r="G1342" i="1" s="1"/>
  <c r="G1343" i="1" s="1"/>
  <c r="G1344" i="1" s="1"/>
  <c r="G1345" i="1" s="1"/>
  <c r="G1346" i="1" s="1"/>
  <c r="G1347" i="1" s="1"/>
  <c r="G1348" i="1" s="1"/>
  <c r="G1349" i="1" s="1"/>
  <c r="G1350" i="1" s="1"/>
  <c r="G1351" i="1" s="1"/>
  <c r="G1352" i="1" s="1"/>
  <c r="G1353" i="1" s="1"/>
  <c r="G1354" i="1" s="1"/>
  <c r="G1355" i="1" s="1"/>
  <c r="G1356" i="1" s="1"/>
  <c r="G1357" i="1" s="1"/>
  <c r="G1358" i="1" s="1"/>
  <c r="G1359" i="1" s="1"/>
  <c r="G1360" i="1" s="1"/>
  <c r="G1361" i="1" s="1"/>
  <c r="G1362" i="1" s="1"/>
  <c r="G1363" i="1" s="1"/>
  <c r="G1364" i="1" s="1"/>
  <c r="G1365" i="1" s="1"/>
  <c r="G1366" i="1" s="1"/>
  <c r="G1367" i="1" s="1"/>
  <c r="G1368" i="1" s="1"/>
  <c r="G1369" i="1" s="1"/>
  <c r="G1370" i="1" s="1"/>
  <c r="G1371" i="1" s="1"/>
  <c r="G1372" i="1" s="1"/>
  <c r="G1373" i="1" s="1"/>
  <c r="G1374" i="1" s="1"/>
  <c r="G1375" i="1" s="1"/>
  <c r="G1376" i="1" s="1"/>
  <c r="G1377" i="1" s="1"/>
  <c r="G1378" i="1" s="1"/>
  <c r="G1379" i="1" s="1"/>
  <c r="G1380" i="1" s="1"/>
  <c r="G1381" i="1" s="1"/>
  <c r="G1382" i="1" s="1"/>
  <c r="G1383" i="1" s="1"/>
  <c r="G1384" i="1" s="1"/>
  <c r="G1385" i="1" s="1"/>
  <c r="G1386" i="1" s="1"/>
  <c r="G1387" i="1" s="1"/>
  <c r="G1388" i="1" s="1"/>
  <c r="G1389" i="1" s="1"/>
  <c r="G1390" i="1" s="1"/>
  <c r="G1391" i="1" s="1"/>
  <c r="G1392" i="1" s="1"/>
  <c r="G1393" i="1" s="1"/>
  <c r="G1394" i="1" s="1"/>
  <c r="G1395" i="1" s="1"/>
  <c r="G1396" i="1" s="1"/>
  <c r="G1397" i="1" s="1"/>
  <c r="G1398" i="1" s="1"/>
  <c r="G1399" i="1" s="1"/>
  <c r="G1400" i="1" s="1"/>
  <c r="G1401" i="1" s="1"/>
  <c r="G1402" i="1" s="1"/>
  <c r="G1403" i="1" s="1"/>
  <c r="G1404" i="1" s="1"/>
  <c r="G1405" i="1" s="1"/>
  <c r="G1406" i="1" s="1"/>
  <c r="G1407" i="1" s="1"/>
  <c r="G1408" i="1" s="1"/>
  <c r="G1409" i="1" s="1"/>
  <c r="G1410" i="1" s="1"/>
  <c r="G1411" i="1" s="1"/>
  <c r="G1412" i="1" s="1"/>
  <c r="G1413" i="1" s="1"/>
  <c r="G1414" i="1" s="1"/>
  <c r="G1415" i="1" s="1"/>
  <c r="G1416" i="1" s="1"/>
  <c r="G1417" i="1" s="1"/>
  <c r="G1418" i="1" s="1"/>
  <c r="G1419" i="1" s="1"/>
  <c r="G1420" i="1" s="1"/>
  <c r="G1421" i="1" s="1"/>
  <c r="G1422" i="1" s="1"/>
  <c r="G1423" i="1" s="1"/>
  <c r="G1424" i="1" s="1"/>
  <c r="G1425" i="1" s="1"/>
  <c r="G1426" i="1" s="1"/>
  <c r="G1427" i="1" s="1"/>
  <c r="G1428" i="1" s="1"/>
  <c r="G1429" i="1" s="1"/>
  <c r="G1430" i="1" s="1"/>
  <c r="G1431" i="1" s="1"/>
  <c r="G1432" i="1" s="1"/>
  <c r="G1433" i="1" s="1"/>
  <c r="G1434" i="1" s="1"/>
  <c r="G1435" i="1" s="1"/>
  <c r="G1436" i="1" s="1"/>
  <c r="G1437" i="1" s="1"/>
  <c r="G1438" i="1" s="1"/>
  <c r="G1439" i="1" s="1"/>
  <c r="G1440" i="1" s="1"/>
  <c r="G1441" i="1" s="1"/>
  <c r="G1442" i="1" s="1"/>
  <c r="G1443" i="1" s="1"/>
  <c r="G1444" i="1" s="1"/>
  <c r="G1445" i="1" s="1"/>
  <c r="G1446" i="1" s="1"/>
  <c r="G1447" i="1" s="1"/>
  <c r="G1448" i="1" s="1"/>
  <c r="G1449" i="1" s="1"/>
  <c r="G1450" i="1" s="1"/>
  <c r="G1451" i="1" s="1"/>
  <c r="G1452" i="1" s="1"/>
  <c r="G1453" i="1" s="1"/>
  <c r="G1454" i="1" s="1"/>
  <c r="G1455" i="1" s="1"/>
  <c r="G1456" i="1" s="1"/>
  <c r="G1457" i="1" s="1"/>
  <c r="G1458" i="1" s="1"/>
  <c r="G1459" i="1" s="1"/>
  <c r="G1460" i="1" s="1"/>
  <c r="G1461" i="1" s="1"/>
  <c r="G1462" i="1" s="1"/>
  <c r="G1463" i="1" s="1"/>
  <c r="G1464" i="1" s="1"/>
  <c r="G1465" i="1" s="1"/>
  <c r="G1466" i="1" s="1"/>
  <c r="G1467" i="1" s="1"/>
  <c r="G1468" i="1" s="1"/>
  <c r="G1469" i="1" s="1"/>
  <c r="G1470" i="1" s="1"/>
  <c r="G1471" i="1" s="1"/>
  <c r="G1472" i="1" s="1"/>
  <c r="G1473" i="1" s="1"/>
  <c r="G1474" i="1" s="1"/>
  <c r="G1475" i="1" s="1"/>
  <c r="G1476" i="1" s="1"/>
  <c r="G1477" i="1" s="1"/>
  <c r="G1478" i="1" s="1"/>
  <c r="G1479" i="1" s="1"/>
  <c r="G1480" i="1" s="1"/>
  <c r="G1481" i="1" s="1"/>
  <c r="G1482" i="1" s="1"/>
  <c r="G1483" i="1" s="1"/>
  <c r="G1484" i="1" s="1"/>
  <c r="G1485" i="1" s="1"/>
  <c r="G1486" i="1" s="1"/>
  <c r="G1487" i="1" s="1"/>
  <c r="G1488" i="1" s="1"/>
  <c r="G1489" i="1" s="1"/>
  <c r="G1490" i="1" s="1"/>
  <c r="G1491" i="1" s="1"/>
  <c r="G1492" i="1" s="1"/>
  <c r="G1493" i="1" s="1"/>
  <c r="G1494" i="1" s="1"/>
  <c r="G1495" i="1" s="1"/>
  <c r="G1496" i="1" s="1"/>
  <c r="G1497" i="1" s="1"/>
  <c r="G1498" i="1" s="1"/>
  <c r="G1499" i="1" s="1"/>
  <c r="G1500" i="1" s="1"/>
  <c r="G1501" i="1" s="1"/>
  <c r="G1502" i="1" s="1"/>
  <c r="G1503" i="1" s="1"/>
  <c r="G1504" i="1" s="1"/>
  <c r="G1505" i="1" s="1"/>
  <c r="G1506" i="1" s="1"/>
  <c r="G1507" i="1" s="1"/>
  <c r="G1508" i="1" s="1"/>
  <c r="G1509" i="1" s="1"/>
  <c r="G1510" i="1" s="1"/>
  <c r="G1511" i="1" s="1"/>
  <c r="G1512" i="1" s="1"/>
  <c r="G1513" i="1" s="1"/>
  <c r="G1514" i="1" s="1"/>
  <c r="G1515" i="1" s="1"/>
  <c r="G1516" i="1" s="1"/>
  <c r="G1517" i="1" s="1"/>
  <c r="G1518" i="1" s="1"/>
  <c r="G1519" i="1" s="1"/>
  <c r="G1520" i="1" s="1"/>
  <c r="G1521" i="1" s="1"/>
  <c r="G1522" i="1" s="1"/>
  <c r="G1523" i="1" s="1"/>
  <c r="G1524" i="1" s="1"/>
  <c r="G1525" i="1" s="1"/>
  <c r="G1526" i="1" s="1"/>
  <c r="G1527" i="1" s="1"/>
  <c r="G1528" i="1" s="1"/>
  <c r="G1529" i="1" s="1"/>
  <c r="G1530" i="1" s="1"/>
  <c r="G1531" i="1" s="1"/>
  <c r="G1532" i="1" s="1"/>
  <c r="G1533" i="1" s="1"/>
  <c r="G1534" i="1" s="1"/>
  <c r="G1535" i="1" s="1"/>
  <c r="G1536" i="1" s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594" i="1" s="1"/>
  <c r="G1595" i="1" s="1"/>
  <c r="G1596" i="1" s="1"/>
  <c r="G1597" i="1" s="1"/>
  <c r="G1598" i="1" s="1"/>
  <c r="G1599" i="1" s="1"/>
  <c r="G1600" i="1" s="1"/>
  <c r="G1601" i="1" s="1"/>
  <c r="G1602" i="1" s="1"/>
  <c r="G1603" i="1" s="1"/>
  <c r="G1604" i="1" s="1"/>
  <c r="G1605" i="1" s="1"/>
  <c r="G1606" i="1" s="1"/>
  <c r="G1607" i="1" s="1"/>
  <c r="G1608" i="1" s="1"/>
  <c r="G1609" i="1" s="1"/>
  <c r="G1610" i="1" s="1"/>
  <c r="G1611" i="1" s="1"/>
  <c r="G1612" i="1" s="1"/>
  <c r="G1613" i="1" s="1"/>
  <c r="G1614" i="1" s="1"/>
  <c r="G1615" i="1" s="1"/>
  <c r="G1616" i="1" s="1"/>
  <c r="G1617" i="1" s="1"/>
  <c r="G1618" i="1" s="1"/>
  <c r="G1619" i="1" s="1"/>
  <c r="G1620" i="1" s="1"/>
  <c r="G1621" i="1" s="1"/>
  <c r="G1622" i="1" s="1"/>
  <c r="G1623" i="1" s="1"/>
  <c r="G1624" i="1" s="1"/>
  <c r="G1625" i="1" s="1"/>
  <c r="G1626" i="1" s="1"/>
  <c r="G1627" i="1" s="1"/>
  <c r="G1628" i="1" s="1"/>
  <c r="G1629" i="1" s="1"/>
  <c r="G1630" i="1" s="1"/>
  <c r="G1631" i="1" s="1"/>
  <c r="G1632" i="1" s="1"/>
  <c r="G1633" i="1" s="1"/>
  <c r="G1634" i="1" s="1"/>
  <c r="G1635" i="1" s="1"/>
  <c r="G1636" i="1" s="1"/>
  <c r="G1637" i="1" s="1"/>
  <c r="G1638" i="1" s="1"/>
  <c r="G1639" i="1" s="1"/>
  <c r="G1640" i="1" s="1"/>
  <c r="G1641" i="1" s="1"/>
  <c r="G1642" i="1" s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1658" i="1" s="1"/>
  <c r="G1659" i="1" s="1"/>
  <c r="G1660" i="1" s="1"/>
  <c r="G1661" i="1" s="1"/>
  <c r="G1662" i="1" s="1"/>
  <c r="G1663" i="1" s="1"/>
  <c r="G1664" i="1" s="1"/>
  <c r="G1665" i="1" s="1"/>
  <c r="G1666" i="1" s="1"/>
  <c r="G1667" i="1" s="1"/>
  <c r="G1668" i="1" s="1"/>
  <c r="G1669" i="1" s="1"/>
  <c r="G1670" i="1" s="1"/>
  <c r="G1671" i="1" s="1"/>
  <c r="G1672" i="1" s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708" i="1" s="1"/>
  <c r="G1709" i="1" s="1"/>
  <c r="G1710" i="1" s="1"/>
  <c r="G1711" i="1" s="1"/>
  <c r="G1712" i="1" s="1"/>
  <c r="G1713" i="1" s="1"/>
  <c r="G1714" i="1" s="1"/>
  <c r="G1715" i="1" s="1"/>
  <c r="G1716" i="1" s="1"/>
  <c r="G1717" i="1" s="1"/>
  <c r="G1718" i="1" s="1"/>
  <c r="G1719" i="1" s="1"/>
  <c r="G1720" i="1" s="1"/>
  <c r="G1721" i="1" s="1"/>
  <c r="G1722" i="1" s="1"/>
  <c r="G1723" i="1" s="1"/>
  <c r="G1724" i="1" s="1"/>
  <c r="G1725" i="1" s="1"/>
  <c r="G1726" i="1" s="1"/>
  <c r="G1727" i="1" s="1"/>
  <c r="G1728" i="1" s="1"/>
  <c r="G1729" i="1" s="1"/>
  <c r="G1730" i="1" s="1"/>
  <c r="G1731" i="1" s="1"/>
  <c r="G1732" i="1" s="1"/>
  <c r="G1733" i="1" s="1"/>
  <c r="G1734" i="1" s="1"/>
  <c r="G1735" i="1" s="1"/>
  <c r="G1736" i="1" s="1"/>
  <c r="G1737" i="1" s="1"/>
  <c r="G1738" i="1" s="1"/>
  <c r="G1739" i="1" s="1"/>
  <c r="G1740" i="1" s="1"/>
  <c r="G1741" i="1" s="1"/>
  <c r="G1742" i="1" s="1"/>
  <c r="G1743" i="1" s="1"/>
  <c r="G1744" i="1" s="1"/>
  <c r="G1745" i="1" s="1"/>
  <c r="G1746" i="1" s="1"/>
  <c r="G1747" i="1" s="1"/>
  <c r="G1748" i="1" s="1"/>
  <c r="G1749" i="1" s="1"/>
  <c r="G1750" i="1" s="1"/>
  <c r="G1751" i="1" s="1"/>
  <c r="G1752" i="1" s="1"/>
  <c r="G1753" i="1" s="1"/>
  <c r="G1754" i="1" s="1"/>
  <c r="G1755" i="1" s="1"/>
  <c r="G1756" i="1" s="1"/>
  <c r="G1757" i="1" s="1"/>
  <c r="G1758" i="1" s="1"/>
  <c r="G1759" i="1" s="1"/>
  <c r="G1760" i="1" s="1"/>
  <c r="G1761" i="1" s="1"/>
  <c r="G1762" i="1" s="1"/>
  <c r="G1763" i="1" s="1"/>
  <c r="G1764" i="1" s="1"/>
  <c r="G1765" i="1" s="1"/>
  <c r="G1766" i="1" s="1"/>
  <c r="G1767" i="1" s="1"/>
  <c r="G1768" i="1" s="1"/>
  <c r="G1769" i="1" s="1"/>
  <c r="G1770" i="1" s="1"/>
  <c r="G1771" i="1" s="1"/>
  <c r="G1772" i="1" s="1"/>
  <c r="G1773" i="1" s="1"/>
  <c r="G1774" i="1" s="1"/>
  <c r="G1775" i="1" s="1"/>
  <c r="G1776" i="1" s="1"/>
  <c r="G1777" i="1" s="1"/>
  <c r="G1778" i="1" s="1"/>
  <c r="G1779" i="1" s="1"/>
  <c r="G1780" i="1" s="1"/>
  <c r="G1781" i="1" s="1"/>
  <c r="G1782" i="1" s="1"/>
  <c r="G1783" i="1" s="1"/>
  <c r="G1784" i="1" s="1"/>
  <c r="G1785" i="1" s="1"/>
  <c r="G1786" i="1" s="1"/>
  <c r="G1787" i="1" s="1"/>
  <c r="G1788" i="1" s="1"/>
  <c r="G1789" i="1" s="1"/>
  <c r="G1790" i="1" s="1"/>
  <c r="G1791" i="1" s="1"/>
  <c r="G1792" i="1" s="1"/>
  <c r="G1793" i="1" s="1"/>
  <c r="G1794" i="1" s="1"/>
  <c r="G1795" i="1" s="1"/>
  <c r="G1796" i="1" s="1"/>
  <c r="G1797" i="1" s="1"/>
  <c r="G1798" i="1" s="1"/>
  <c r="G1799" i="1" s="1"/>
  <c r="G1800" i="1" s="1"/>
  <c r="G1801" i="1" s="1"/>
  <c r="G1802" i="1" s="1"/>
  <c r="G1803" i="1" s="1"/>
  <c r="G1804" i="1" s="1"/>
  <c r="G1805" i="1" s="1"/>
  <c r="G1806" i="1" s="1"/>
  <c r="G1807" i="1" s="1"/>
  <c r="G1808" i="1" s="1"/>
  <c r="G1809" i="1" s="1"/>
  <c r="G1810" i="1" s="1"/>
  <c r="G1811" i="1" s="1"/>
  <c r="G1812" i="1" s="1"/>
  <c r="G1813" i="1" s="1"/>
  <c r="G1814" i="1" s="1"/>
  <c r="G1815" i="1" s="1"/>
  <c r="G1816" i="1" s="1"/>
  <c r="G1817" i="1" s="1"/>
  <c r="G1818" i="1" s="1"/>
  <c r="G1819" i="1" s="1"/>
  <c r="G1820" i="1" s="1"/>
  <c r="G1821" i="1" s="1"/>
  <c r="G1822" i="1" s="1"/>
  <c r="G1823" i="1" s="1"/>
  <c r="G1824" i="1" s="1"/>
  <c r="G1825" i="1" s="1"/>
  <c r="G1826" i="1" s="1"/>
  <c r="G1827" i="1" s="1"/>
  <c r="G1828" i="1" s="1"/>
  <c r="G1829" i="1" s="1"/>
  <c r="G1830" i="1" s="1"/>
  <c r="G1831" i="1" s="1"/>
  <c r="F465" i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E111" i="1"/>
  <c r="E127" i="1"/>
  <c r="E143" i="1"/>
  <c r="E167" i="1"/>
  <c r="E175" i="1"/>
  <c r="E191" i="1"/>
  <c r="E207" i="1"/>
  <c r="E231" i="1"/>
  <c r="E271" i="1"/>
  <c r="E295" i="1"/>
  <c r="E335" i="1"/>
  <c r="E359" i="1"/>
  <c r="E399" i="1"/>
  <c r="E423" i="1"/>
  <c r="E463" i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E112" i="1" s="1"/>
  <c r="C113" i="1"/>
  <c r="E113" i="1" s="1"/>
  <c r="C114" i="1"/>
  <c r="D114" i="1" s="1"/>
  <c r="C115" i="1"/>
  <c r="D115" i="1" s="1"/>
  <c r="C116" i="1"/>
  <c r="D116" i="1" s="1"/>
  <c r="C117" i="1"/>
  <c r="D117" i="1" s="1"/>
  <c r="C118" i="1"/>
  <c r="D118" i="1" s="1"/>
  <c r="C119" i="1"/>
  <c r="D119" i="1" s="1"/>
  <c r="C120" i="1"/>
  <c r="E120" i="1" s="1"/>
  <c r="C121" i="1"/>
  <c r="E121" i="1" s="1"/>
  <c r="C122" i="1"/>
  <c r="D122" i="1" s="1"/>
  <c r="C123" i="1"/>
  <c r="D123" i="1" s="1"/>
  <c r="C124" i="1"/>
  <c r="D124" i="1" s="1"/>
  <c r="C125" i="1"/>
  <c r="D125" i="1" s="1"/>
  <c r="C126" i="1"/>
  <c r="D126" i="1" s="1"/>
  <c r="C127" i="1"/>
  <c r="D127" i="1" s="1"/>
  <c r="C128" i="1"/>
  <c r="E128" i="1" s="1"/>
  <c r="C129" i="1"/>
  <c r="E129" i="1" s="1"/>
  <c r="C130" i="1"/>
  <c r="D130" i="1" s="1"/>
  <c r="C131" i="1"/>
  <c r="D131" i="1" s="1"/>
  <c r="C132" i="1"/>
  <c r="D132" i="1" s="1"/>
  <c r="C133" i="1"/>
  <c r="D133" i="1" s="1"/>
  <c r="C134" i="1"/>
  <c r="D134" i="1" s="1"/>
  <c r="C135" i="1"/>
  <c r="D135" i="1" s="1"/>
  <c r="C136" i="1"/>
  <c r="E136" i="1" s="1"/>
  <c r="C137" i="1"/>
  <c r="E137" i="1" s="1"/>
  <c r="C138" i="1"/>
  <c r="D138" i="1" s="1"/>
  <c r="C139" i="1"/>
  <c r="D139" i="1" s="1"/>
  <c r="C140" i="1"/>
  <c r="D140" i="1" s="1"/>
  <c r="C141" i="1"/>
  <c r="D141" i="1" s="1"/>
  <c r="C142" i="1"/>
  <c r="D142" i="1" s="1"/>
  <c r="C143" i="1"/>
  <c r="D143" i="1" s="1"/>
  <c r="C144" i="1"/>
  <c r="E144" i="1" s="1"/>
  <c r="C145" i="1"/>
  <c r="E145" i="1" s="1"/>
  <c r="C146" i="1"/>
  <c r="D146" i="1" s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E152" i="1" s="1"/>
  <c r="C153" i="1"/>
  <c r="E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E160" i="1" s="1"/>
  <c r="C161" i="1"/>
  <c r="E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E168" i="1" s="1"/>
  <c r="C169" i="1"/>
  <c r="E169" i="1" s="1"/>
  <c r="C170" i="1"/>
  <c r="D170" i="1" s="1"/>
  <c r="C171" i="1"/>
  <c r="D171" i="1" s="1"/>
  <c r="C172" i="1"/>
  <c r="D172" i="1" s="1"/>
  <c r="C173" i="1"/>
  <c r="D173" i="1" s="1"/>
  <c r="C174" i="1"/>
  <c r="D174" i="1" s="1"/>
  <c r="C175" i="1"/>
  <c r="D175" i="1" s="1"/>
  <c r="C176" i="1"/>
  <c r="E176" i="1" s="1"/>
  <c r="C177" i="1"/>
  <c r="E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E184" i="1" s="1"/>
  <c r="C185" i="1"/>
  <c r="E185" i="1" s="1"/>
  <c r="C186" i="1"/>
  <c r="D186" i="1" s="1"/>
  <c r="C187" i="1"/>
  <c r="D187" i="1" s="1"/>
  <c r="C188" i="1"/>
  <c r="D188" i="1" s="1"/>
  <c r="C189" i="1"/>
  <c r="D189" i="1" s="1"/>
  <c r="C190" i="1"/>
  <c r="D190" i="1" s="1"/>
  <c r="C191" i="1"/>
  <c r="D191" i="1" s="1"/>
  <c r="C192" i="1"/>
  <c r="E192" i="1" s="1"/>
  <c r="C193" i="1"/>
  <c r="E193" i="1" s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E200" i="1" s="1"/>
  <c r="C201" i="1"/>
  <c r="E201" i="1" s="1"/>
  <c r="C202" i="1"/>
  <c r="D202" i="1" s="1"/>
  <c r="C203" i="1"/>
  <c r="D203" i="1" s="1"/>
  <c r="C204" i="1"/>
  <c r="D204" i="1" s="1"/>
  <c r="C205" i="1"/>
  <c r="D205" i="1" s="1"/>
  <c r="C206" i="1"/>
  <c r="D206" i="1" s="1"/>
  <c r="C207" i="1"/>
  <c r="D207" i="1" s="1"/>
  <c r="C208" i="1"/>
  <c r="E208" i="1" s="1"/>
  <c r="C209" i="1"/>
  <c r="E209" i="1" s="1"/>
  <c r="C210" i="1"/>
  <c r="D210" i="1" s="1"/>
  <c r="C211" i="1"/>
  <c r="D211" i="1" s="1"/>
  <c r="C212" i="1"/>
  <c r="D212" i="1" s="1"/>
  <c r="C213" i="1"/>
  <c r="D213" i="1" s="1"/>
  <c r="C214" i="1"/>
  <c r="D214" i="1" s="1"/>
  <c r="C215" i="1"/>
  <c r="D215" i="1" s="1"/>
  <c r="C216" i="1"/>
  <c r="E216" i="1" s="1"/>
  <c r="C217" i="1"/>
  <c r="E217" i="1" s="1"/>
  <c r="C218" i="1"/>
  <c r="D218" i="1" s="1"/>
  <c r="C219" i="1"/>
  <c r="D219" i="1" s="1"/>
  <c r="C220" i="1"/>
  <c r="D220" i="1" s="1"/>
  <c r="C221" i="1"/>
  <c r="D221" i="1" s="1"/>
  <c r="C222" i="1"/>
  <c r="D222" i="1" s="1"/>
  <c r="C223" i="1"/>
  <c r="D223" i="1" s="1"/>
  <c r="C224" i="1"/>
  <c r="E224" i="1" s="1"/>
  <c r="C225" i="1"/>
  <c r="E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E232" i="1" s="1"/>
  <c r="C233" i="1"/>
  <c r="E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E240" i="1" s="1"/>
  <c r="C241" i="1"/>
  <c r="E241" i="1" s="1"/>
  <c r="C242" i="1"/>
  <c r="D242" i="1" s="1"/>
  <c r="C243" i="1"/>
  <c r="D243" i="1" s="1"/>
  <c r="C244" i="1"/>
  <c r="D244" i="1" s="1"/>
  <c r="C245" i="1"/>
  <c r="D245" i="1" s="1"/>
  <c r="C246" i="1"/>
  <c r="D246" i="1" s="1"/>
  <c r="C247" i="1"/>
  <c r="D247" i="1" s="1"/>
  <c r="C248" i="1"/>
  <c r="E248" i="1" s="1"/>
  <c r="C249" i="1"/>
  <c r="E249" i="1" s="1"/>
  <c r="C250" i="1"/>
  <c r="D250" i="1" s="1"/>
  <c r="C251" i="1"/>
  <c r="D251" i="1" s="1"/>
  <c r="C252" i="1"/>
  <c r="D252" i="1" s="1"/>
  <c r="C253" i="1"/>
  <c r="D253" i="1" s="1"/>
  <c r="C254" i="1"/>
  <c r="D254" i="1" s="1"/>
  <c r="C255" i="1"/>
  <c r="D255" i="1" s="1"/>
  <c r="C256" i="1"/>
  <c r="E256" i="1" s="1"/>
  <c r="C257" i="1"/>
  <c r="E257" i="1" s="1"/>
  <c r="C258" i="1"/>
  <c r="D258" i="1" s="1"/>
  <c r="C259" i="1"/>
  <c r="D259" i="1" s="1"/>
  <c r="C260" i="1"/>
  <c r="D260" i="1" s="1"/>
  <c r="C261" i="1"/>
  <c r="D261" i="1" s="1"/>
  <c r="C262" i="1"/>
  <c r="D262" i="1" s="1"/>
  <c r="C263" i="1"/>
  <c r="D263" i="1" s="1"/>
  <c r="C264" i="1"/>
  <c r="E264" i="1" s="1"/>
  <c r="C265" i="1"/>
  <c r="E265" i="1" s="1"/>
  <c r="C266" i="1"/>
  <c r="D266" i="1" s="1"/>
  <c r="C267" i="1"/>
  <c r="D267" i="1" s="1"/>
  <c r="C268" i="1"/>
  <c r="D268" i="1" s="1"/>
  <c r="C269" i="1"/>
  <c r="D269" i="1" s="1"/>
  <c r="C270" i="1"/>
  <c r="D270" i="1" s="1"/>
  <c r="C271" i="1"/>
  <c r="D271" i="1" s="1"/>
  <c r="C272" i="1"/>
  <c r="E272" i="1" s="1"/>
  <c r="C273" i="1"/>
  <c r="E273" i="1" s="1"/>
  <c r="C274" i="1"/>
  <c r="D274" i="1" s="1"/>
  <c r="C275" i="1"/>
  <c r="D275" i="1" s="1"/>
  <c r="C276" i="1"/>
  <c r="D276" i="1" s="1"/>
  <c r="C277" i="1"/>
  <c r="D277" i="1" s="1"/>
  <c r="C278" i="1"/>
  <c r="D278" i="1" s="1"/>
  <c r="C279" i="1"/>
  <c r="D279" i="1" s="1"/>
  <c r="C280" i="1"/>
  <c r="E280" i="1" s="1"/>
  <c r="C281" i="1"/>
  <c r="E281" i="1" s="1"/>
  <c r="C282" i="1"/>
  <c r="D282" i="1" s="1"/>
  <c r="C283" i="1"/>
  <c r="D283" i="1" s="1"/>
  <c r="C284" i="1"/>
  <c r="D284" i="1" s="1"/>
  <c r="C285" i="1"/>
  <c r="D285" i="1" s="1"/>
  <c r="C286" i="1"/>
  <c r="D286" i="1" s="1"/>
  <c r="C287" i="1"/>
  <c r="D287" i="1" s="1"/>
  <c r="C288" i="1"/>
  <c r="E288" i="1" s="1"/>
  <c r="C289" i="1"/>
  <c r="E289" i="1" s="1"/>
  <c r="C290" i="1"/>
  <c r="D290" i="1" s="1"/>
  <c r="C291" i="1"/>
  <c r="D291" i="1" s="1"/>
  <c r="C292" i="1"/>
  <c r="D292" i="1" s="1"/>
  <c r="C293" i="1"/>
  <c r="D293" i="1" s="1"/>
  <c r="C294" i="1"/>
  <c r="D294" i="1" s="1"/>
  <c r="C295" i="1"/>
  <c r="D295" i="1" s="1"/>
  <c r="C296" i="1"/>
  <c r="E296" i="1" s="1"/>
  <c r="C297" i="1"/>
  <c r="E297" i="1" s="1"/>
  <c r="C298" i="1"/>
  <c r="D298" i="1" s="1"/>
  <c r="C299" i="1"/>
  <c r="D299" i="1" s="1"/>
  <c r="C300" i="1"/>
  <c r="D300" i="1" s="1"/>
  <c r="C301" i="1"/>
  <c r="D301" i="1" s="1"/>
  <c r="C302" i="1"/>
  <c r="D302" i="1" s="1"/>
  <c r="C303" i="1"/>
  <c r="D303" i="1" s="1"/>
  <c r="C304" i="1"/>
  <c r="E304" i="1" s="1"/>
  <c r="C305" i="1"/>
  <c r="E305" i="1" s="1"/>
  <c r="C306" i="1"/>
  <c r="D306" i="1" s="1"/>
  <c r="C307" i="1"/>
  <c r="D307" i="1" s="1"/>
  <c r="C308" i="1"/>
  <c r="D308" i="1" s="1"/>
  <c r="C309" i="1"/>
  <c r="D309" i="1" s="1"/>
  <c r="C310" i="1"/>
  <c r="D310" i="1" s="1"/>
  <c r="C311" i="1"/>
  <c r="D311" i="1" s="1"/>
  <c r="C312" i="1"/>
  <c r="E312" i="1" s="1"/>
  <c r="C313" i="1"/>
  <c r="E313" i="1" s="1"/>
  <c r="C314" i="1"/>
  <c r="D314" i="1" s="1"/>
  <c r="C315" i="1"/>
  <c r="D315" i="1" s="1"/>
  <c r="C316" i="1"/>
  <c r="D316" i="1" s="1"/>
  <c r="C317" i="1"/>
  <c r="D317" i="1" s="1"/>
  <c r="C318" i="1"/>
  <c r="D318" i="1" s="1"/>
  <c r="C319" i="1"/>
  <c r="D319" i="1" s="1"/>
  <c r="C320" i="1"/>
  <c r="E320" i="1" s="1"/>
  <c r="C321" i="1"/>
  <c r="E321" i="1" s="1"/>
  <c r="C322" i="1"/>
  <c r="D322" i="1" s="1"/>
  <c r="C323" i="1"/>
  <c r="D323" i="1" s="1"/>
  <c r="C324" i="1"/>
  <c r="D324" i="1" s="1"/>
  <c r="C325" i="1"/>
  <c r="D325" i="1" s="1"/>
  <c r="C326" i="1"/>
  <c r="D326" i="1" s="1"/>
  <c r="C327" i="1"/>
  <c r="D327" i="1" s="1"/>
  <c r="C328" i="1"/>
  <c r="E328" i="1" s="1"/>
  <c r="C329" i="1"/>
  <c r="E329" i="1" s="1"/>
  <c r="C330" i="1"/>
  <c r="D330" i="1" s="1"/>
  <c r="C331" i="1"/>
  <c r="D331" i="1" s="1"/>
  <c r="C332" i="1"/>
  <c r="D332" i="1" s="1"/>
  <c r="C333" i="1"/>
  <c r="D333" i="1" s="1"/>
  <c r="C334" i="1"/>
  <c r="D334" i="1" s="1"/>
  <c r="C335" i="1"/>
  <c r="D335" i="1" s="1"/>
  <c r="C336" i="1"/>
  <c r="E336" i="1" s="1"/>
  <c r="C337" i="1"/>
  <c r="E337" i="1" s="1"/>
  <c r="C338" i="1"/>
  <c r="D338" i="1" s="1"/>
  <c r="C339" i="1"/>
  <c r="D339" i="1" s="1"/>
  <c r="C340" i="1"/>
  <c r="D340" i="1" s="1"/>
  <c r="C341" i="1"/>
  <c r="D341" i="1" s="1"/>
  <c r="C342" i="1"/>
  <c r="D342" i="1" s="1"/>
  <c r="C343" i="1"/>
  <c r="D343" i="1" s="1"/>
  <c r="C344" i="1"/>
  <c r="E344" i="1" s="1"/>
  <c r="C345" i="1"/>
  <c r="E345" i="1" s="1"/>
  <c r="C346" i="1"/>
  <c r="D346" i="1" s="1"/>
  <c r="C347" i="1"/>
  <c r="D347" i="1" s="1"/>
  <c r="C348" i="1"/>
  <c r="D348" i="1" s="1"/>
  <c r="C349" i="1"/>
  <c r="D349" i="1" s="1"/>
  <c r="C350" i="1"/>
  <c r="D350" i="1" s="1"/>
  <c r="C351" i="1"/>
  <c r="D351" i="1" s="1"/>
  <c r="C352" i="1"/>
  <c r="E352" i="1" s="1"/>
  <c r="C353" i="1"/>
  <c r="E353" i="1" s="1"/>
  <c r="C354" i="1"/>
  <c r="D354" i="1" s="1"/>
  <c r="C355" i="1"/>
  <c r="D355" i="1" s="1"/>
  <c r="C356" i="1"/>
  <c r="D356" i="1" s="1"/>
  <c r="C357" i="1"/>
  <c r="D357" i="1" s="1"/>
  <c r="C358" i="1"/>
  <c r="D358" i="1" s="1"/>
  <c r="C359" i="1"/>
  <c r="D359" i="1" s="1"/>
  <c r="C360" i="1"/>
  <c r="E360" i="1" s="1"/>
  <c r="C361" i="1"/>
  <c r="E361" i="1" s="1"/>
  <c r="C362" i="1"/>
  <c r="D362" i="1" s="1"/>
  <c r="C363" i="1"/>
  <c r="D363" i="1" s="1"/>
  <c r="C364" i="1"/>
  <c r="D364" i="1" s="1"/>
  <c r="C365" i="1"/>
  <c r="D365" i="1" s="1"/>
  <c r="C366" i="1"/>
  <c r="D366" i="1" s="1"/>
  <c r="C367" i="1"/>
  <c r="D367" i="1" s="1"/>
  <c r="C368" i="1"/>
  <c r="E368" i="1" s="1"/>
  <c r="C369" i="1"/>
  <c r="E369" i="1" s="1"/>
  <c r="C370" i="1"/>
  <c r="D370" i="1" s="1"/>
  <c r="C371" i="1"/>
  <c r="D371" i="1" s="1"/>
  <c r="C372" i="1"/>
  <c r="D372" i="1" s="1"/>
  <c r="C373" i="1"/>
  <c r="D373" i="1" s="1"/>
  <c r="C374" i="1"/>
  <c r="D374" i="1" s="1"/>
  <c r="C375" i="1"/>
  <c r="D375" i="1" s="1"/>
  <c r="C376" i="1"/>
  <c r="E376" i="1" s="1"/>
  <c r="C377" i="1"/>
  <c r="E377" i="1" s="1"/>
  <c r="C378" i="1"/>
  <c r="D378" i="1" s="1"/>
  <c r="C379" i="1"/>
  <c r="D379" i="1" s="1"/>
  <c r="C380" i="1"/>
  <c r="D380" i="1" s="1"/>
  <c r="C381" i="1"/>
  <c r="D381" i="1" s="1"/>
  <c r="C382" i="1"/>
  <c r="D382" i="1" s="1"/>
  <c r="C383" i="1"/>
  <c r="D383" i="1" s="1"/>
  <c r="C384" i="1"/>
  <c r="E384" i="1" s="1"/>
  <c r="C385" i="1"/>
  <c r="E385" i="1" s="1"/>
  <c r="C386" i="1"/>
  <c r="D386" i="1" s="1"/>
  <c r="C387" i="1"/>
  <c r="D387" i="1" s="1"/>
  <c r="C388" i="1"/>
  <c r="D388" i="1" s="1"/>
  <c r="C389" i="1"/>
  <c r="D389" i="1" s="1"/>
  <c r="C390" i="1"/>
  <c r="D390" i="1" s="1"/>
  <c r="C391" i="1"/>
  <c r="D391" i="1" s="1"/>
  <c r="C392" i="1"/>
  <c r="E392" i="1" s="1"/>
  <c r="C393" i="1"/>
  <c r="E393" i="1" s="1"/>
  <c r="C394" i="1"/>
  <c r="D394" i="1" s="1"/>
  <c r="C395" i="1"/>
  <c r="D395" i="1" s="1"/>
  <c r="C396" i="1"/>
  <c r="D396" i="1" s="1"/>
  <c r="C397" i="1"/>
  <c r="D397" i="1" s="1"/>
  <c r="C398" i="1"/>
  <c r="D398" i="1" s="1"/>
  <c r="C399" i="1"/>
  <c r="D399" i="1" s="1"/>
  <c r="C400" i="1"/>
  <c r="E400" i="1" s="1"/>
  <c r="C401" i="1"/>
  <c r="E401" i="1" s="1"/>
  <c r="C402" i="1"/>
  <c r="D402" i="1" s="1"/>
  <c r="C403" i="1"/>
  <c r="D403" i="1" s="1"/>
  <c r="C404" i="1"/>
  <c r="D404" i="1" s="1"/>
  <c r="C405" i="1"/>
  <c r="D405" i="1" s="1"/>
  <c r="C406" i="1"/>
  <c r="D406" i="1" s="1"/>
  <c r="C407" i="1"/>
  <c r="D407" i="1" s="1"/>
  <c r="C408" i="1"/>
  <c r="E408" i="1" s="1"/>
  <c r="C409" i="1"/>
  <c r="E409" i="1" s="1"/>
  <c r="C410" i="1"/>
  <c r="D410" i="1" s="1"/>
  <c r="C411" i="1"/>
  <c r="D411" i="1" s="1"/>
  <c r="C412" i="1"/>
  <c r="D412" i="1" s="1"/>
  <c r="C413" i="1"/>
  <c r="D413" i="1" s="1"/>
  <c r="C414" i="1"/>
  <c r="D414" i="1" s="1"/>
  <c r="C415" i="1"/>
  <c r="D415" i="1" s="1"/>
  <c r="C416" i="1"/>
  <c r="E416" i="1" s="1"/>
  <c r="C417" i="1"/>
  <c r="E417" i="1" s="1"/>
  <c r="C418" i="1"/>
  <c r="D418" i="1" s="1"/>
  <c r="C419" i="1"/>
  <c r="D419" i="1" s="1"/>
  <c r="C420" i="1"/>
  <c r="D420" i="1" s="1"/>
  <c r="C421" i="1"/>
  <c r="D421" i="1" s="1"/>
  <c r="C422" i="1"/>
  <c r="D422" i="1" s="1"/>
  <c r="C423" i="1"/>
  <c r="D423" i="1" s="1"/>
  <c r="C424" i="1"/>
  <c r="E424" i="1" s="1"/>
  <c r="C425" i="1"/>
  <c r="E425" i="1" s="1"/>
  <c r="C426" i="1"/>
  <c r="D426" i="1" s="1"/>
  <c r="C427" i="1"/>
  <c r="D427" i="1" s="1"/>
  <c r="C428" i="1"/>
  <c r="D428" i="1" s="1"/>
  <c r="C429" i="1"/>
  <c r="D429" i="1" s="1"/>
  <c r="C430" i="1"/>
  <c r="D430" i="1" s="1"/>
  <c r="C431" i="1"/>
  <c r="D431" i="1" s="1"/>
  <c r="C432" i="1"/>
  <c r="E432" i="1" s="1"/>
  <c r="C433" i="1"/>
  <c r="E433" i="1" s="1"/>
  <c r="C434" i="1"/>
  <c r="D434" i="1" s="1"/>
  <c r="C435" i="1"/>
  <c r="D435" i="1" s="1"/>
  <c r="C436" i="1"/>
  <c r="D436" i="1" s="1"/>
  <c r="C437" i="1"/>
  <c r="D437" i="1" s="1"/>
  <c r="C438" i="1"/>
  <c r="D438" i="1" s="1"/>
  <c r="C439" i="1"/>
  <c r="D439" i="1" s="1"/>
  <c r="C440" i="1"/>
  <c r="E440" i="1" s="1"/>
  <c r="C441" i="1"/>
  <c r="E441" i="1" s="1"/>
  <c r="C442" i="1"/>
  <c r="D442" i="1" s="1"/>
  <c r="C443" i="1"/>
  <c r="D443" i="1" s="1"/>
  <c r="C444" i="1"/>
  <c r="D444" i="1" s="1"/>
  <c r="C445" i="1"/>
  <c r="D445" i="1" s="1"/>
  <c r="C446" i="1"/>
  <c r="D446" i="1" s="1"/>
  <c r="C447" i="1"/>
  <c r="D447" i="1" s="1"/>
  <c r="C448" i="1"/>
  <c r="E448" i="1" s="1"/>
  <c r="C449" i="1"/>
  <c r="E449" i="1" s="1"/>
  <c r="C450" i="1"/>
  <c r="D450" i="1" s="1"/>
  <c r="C451" i="1"/>
  <c r="D451" i="1" s="1"/>
  <c r="C452" i="1"/>
  <c r="D452" i="1" s="1"/>
  <c r="C453" i="1"/>
  <c r="D453" i="1" s="1"/>
  <c r="C454" i="1"/>
  <c r="D454" i="1" s="1"/>
  <c r="C455" i="1"/>
  <c r="D455" i="1" s="1"/>
  <c r="C456" i="1"/>
  <c r="E456" i="1" s="1"/>
  <c r="C457" i="1"/>
  <c r="E457" i="1" s="1"/>
  <c r="C458" i="1"/>
  <c r="D458" i="1" s="1"/>
  <c r="C459" i="1"/>
  <c r="D459" i="1" s="1"/>
  <c r="C460" i="1"/>
  <c r="D460" i="1" s="1"/>
  <c r="C461" i="1"/>
  <c r="D461" i="1" s="1"/>
  <c r="C462" i="1"/>
  <c r="D462" i="1" s="1"/>
  <c r="C463" i="1"/>
  <c r="D463" i="1" s="1"/>
  <c r="C464" i="1"/>
  <c r="E464" i="1" s="1"/>
  <c r="C106" i="1"/>
  <c r="D106" i="1" s="1"/>
  <c r="C38" i="1"/>
  <c r="D38" i="1" s="1"/>
  <c r="C39" i="1"/>
  <c r="E39" i="1" s="1"/>
  <c r="C40" i="1"/>
  <c r="D40" i="1" s="1"/>
  <c r="C41" i="1"/>
  <c r="D41" i="1" s="1"/>
  <c r="C42" i="1"/>
  <c r="D42" i="1" s="1"/>
  <c r="C43" i="1"/>
  <c r="D43" i="1"/>
  <c r="E43" i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E51" i="1" s="1"/>
  <c r="C52" i="1"/>
  <c r="D52" i="1" s="1"/>
  <c r="C53" i="1"/>
  <c r="E53" i="1" s="1"/>
  <c r="C54" i="1"/>
  <c r="D54" i="1" s="1"/>
  <c r="C55" i="1"/>
  <c r="E55" i="1" s="1"/>
  <c r="C56" i="1"/>
  <c r="D56" i="1" s="1"/>
  <c r="C57" i="1"/>
  <c r="D57" i="1" s="1"/>
  <c r="C58" i="1"/>
  <c r="D58" i="1" s="1"/>
  <c r="C59" i="1"/>
  <c r="E59" i="1" s="1"/>
  <c r="D59" i="1"/>
  <c r="C60" i="1"/>
  <c r="D60" i="1" s="1"/>
  <c r="C61" i="1"/>
  <c r="E61" i="1" s="1"/>
  <c r="C62" i="1"/>
  <c r="D62" i="1" s="1"/>
  <c r="C63" i="1"/>
  <c r="E63" i="1" s="1"/>
  <c r="C64" i="1"/>
  <c r="D64" i="1" s="1"/>
  <c r="C65" i="1"/>
  <c r="D65" i="1" s="1"/>
  <c r="C66" i="1"/>
  <c r="D66" i="1" s="1"/>
  <c r="C67" i="1"/>
  <c r="D67" i="1" s="1"/>
  <c r="C68" i="1"/>
  <c r="D68" i="1" s="1"/>
  <c r="C69" i="1"/>
  <c r="E69" i="1" s="1"/>
  <c r="C70" i="1"/>
  <c r="D70" i="1" s="1"/>
  <c r="C71" i="1"/>
  <c r="D71" i="1" s="1"/>
  <c r="C72" i="1"/>
  <c r="D72" i="1" s="1"/>
  <c r="C73" i="1"/>
  <c r="D73" i="1" s="1"/>
  <c r="C74" i="1"/>
  <c r="D74" i="1" s="1"/>
  <c r="C75" i="1"/>
  <c r="D75" i="1" s="1"/>
  <c r="C76" i="1"/>
  <c r="D76" i="1" s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E83" i="1" s="1"/>
  <c r="C84" i="1"/>
  <c r="D84" i="1" s="1"/>
  <c r="C85" i="1"/>
  <c r="E85" i="1" s="1"/>
  <c r="C86" i="1"/>
  <c r="D86" i="1" s="1"/>
  <c r="C87" i="1"/>
  <c r="D87" i="1" s="1"/>
  <c r="C88" i="1"/>
  <c r="D88" i="1" s="1"/>
  <c r="C89" i="1"/>
  <c r="D89" i="1" s="1"/>
  <c r="C90" i="1"/>
  <c r="D90" i="1" s="1"/>
  <c r="C91" i="1"/>
  <c r="D91" i="1" s="1"/>
  <c r="C92" i="1"/>
  <c r="D92" i="1" s="1"/>
  <c r="C93" i="1"/>
  <c r="D93" i="1" s="1"/>
  <c r="C94" i="1"/>
  <c r="D94" i="1" s="1"/>
  <c r="C95" i="1"/>
  <c r="D95" i="1" s="1"/>
  <c r="C96" i="1"/>
  <c r="E96" i="1" s="1"/>
  <c r="C97" i="1"/>
  <c r="D97" i="1" s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D103" i="1" s="1"/>
  <c r="C104" i="1"/>
  <c r="D104" i="1" s="1"/>
  <c r="C105" i="1"/>
  <c r="E105" i="1" s="1"/>
  <c r="C6" i="1"/>
  <c r="D6" i="1" s="1"/>
  <c r="C7" i="1"/>
  <c r="D7" i="1" s="1"/>
  <c r="C8" i="1"/>
  <c r="D8" i="1" s="1"/>
  <c r="C9" i="1"/>
  <c r="E9" i="1" s="1"/>
  <c r="C10" i="1"/>
  <c r="D10" i="1" s="1"/>
  <c r="C11" i="1"/>
  <c r="D11" i="1" s="1"/>
  <c r="C12" i="1"/>
  <c r="D12" i="1" s="1"/>
  <c r="C13" i="1"/>
  <c r="E13" i="1" s="1"/>
  <c r="C14" i="1"/>
  <c r="D14" i="1" s="1"/>
  <c r="C15" i="1"/>
  <c r="D15" i="1" s="1"/>
  <c r="C16" i="1"/>
  <c r="D16" i="1" s="1"/>
  <c r="C17" i="1"/>
  <c r="E17" i="1" s="1"/>
  <c r="C18" i="1"/>
  <c r="D18" i="1" s="1"/>
  <c r="C19" i="1"/>
  <c r="D19" i="1" s="1"/>
  <c r="C20" i="1"/>
  <c r="D20" i="1" s="1"/>
  <c r="C21" i="1"/>
  <c r="E21" i="1" s="1"/>
  <c r="C22" i="1"/>
  <c r="D22" i="1" s="1"/>
  <c r="C23" i="1"/>
  <c r="D23" i="1" s="1"/>
  <c r="C24" i="1"/>
  <c r="D24" i="1" s="1"/>
  <c r="C25" i="1"/>
  <c r="E25" i="1" s="1"/>
  <c r="C26" i="1"/>
  <c r="D26" i="1" s="1"/>
  <c r="C27" i="1"/>
  <c r="D27" i="1" s="1"/>
  <c r="C28" i="1"/>
  <c r="D28" i="1" s="1"/>
  <c r="C29" i="1"/>
  <c r="E29" i="1" s="1"/>
  <c r="C30" i="1"/>
  <c r="E30" i="1" s="1"/>
  <c r="C31" i="1"/>
  <c r="E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E37" i="1" s="1"/>
  <c r="D321" i="1" l="1"/>
  <c r="D441" i="1"/>
  <c r="D377" i="1"/>
  <c r="D313" i="1"/>
  <c r="D249" i="1"/>
  <c r="D185" i="1"/>
  <c r="D121" i="1"/>
  <c r="E415" i="1"/>
  <c r="E351" i="1"/>
  <c r="E287" i="1"/>
  <c r="E223" i="1"/>
  <c r="E159" i="1"/>
  <c r="D449" i="1"/>
  <c r="D385" i="1"/>
  <c r="D257" i="1"/>
  <c r="D193" i="1"/>
  <c r="D129" i="1"/>
  <c r="D105" i="1"/>
  <c r="D83" i="1"/>
  <c r="E76" i="1"/>
  <c r="D433" i="1"/>
  <c r="D369" i="1"/>
  <c r="D305" i="1"/>
  <c r="D241" i="1"/>
  <c r="D177" i="1"/>
  <c r="D113" i="1"/>
  <c r="E407" i="1"/>
  <c r="E343" i="1"/>
  <c r="E279" i="1"/>
  <c r="E215" i="1"/>
  <c r="E151" i="1"/>
  <c r="E33" i="1"/>
  <c r="E54" i="1"/>
  <c r="D417" i="1"/>
  <c r="D353" i="1"/>
  <c r="D289" i="1"/>
  <c r="D225" i="1"/>
  <c r="D161" i="1"/>
  <c r="E455" i="1"/>
  <c r="E391" i="1"/>
  <c r="E327" i="1"/>
  <c r="E263" i="1"/>
  <c r="E199" i="1"/>
  <c r="E135" i="1"/>
  <c r="D425" i="1"/>
  <c r="D297" i="1"/>
  <c r="D233" i="1"/>
  <c r="D409" i="1"/>
  <c r="D345" i="1"/>
  <c r="D281" i="1"/>
  <c r="D217" i="1"/>
  <c r="D153" i="1"/>
  <c r="E447" i="1"/>
  <c r="E383" i="1"/>
  <c r="E319" i="1"/>
  <c r="E255" i="1"/>
  <c r="E86" i="1"/>
  <c r="D401" i="1"/>
  <c r="D337" i="1"/>
  <c r="D273" i="1"/>
  <c r="D209" i="1"/>
  <c r="D145" i="1"/>
  <c r="E439" i="1"/>
  <c r="E375" i="1"/>
  <c r="E311" i="1"/>
  <c r="E247" i="1"/>
  <c r="E183" i="1"/>
  <c r="E119" i="1"/>
  <c r="D361" i="1"/>
  <c r="D169" i="1"/>
  <c r="E72" i="1"/>
  <c r="D457" i="1"/>
  <c r="D393" i="1"/>
  <c r="D329" i="1"/>
  <c r="D265" i="1"/>
  <c r="D201" i="1"/>
  <c r="D137" i="1"/>
  <c r="E431" i="1"/>
  <c r="E367" i="1"/>
  <c r="E303" i="1"/>
  <c r="E239" i="1"/>
  <c r="D69" i="1"/>
  <c r="D464" i="1"/>
  <c r="D456" i="1"/>
  <c r="D448" i="1"/>
  <c r="D440" i="1"/>
  <c r="D432" i="1"/>
  <c r="D424" i="1"/>
  <c r="D416" i="1"/>
  <c r="D408" i="1"/>
  <c r="D400" i="1"/>
  <c r="D392" i="1"/>
  <c r="D384" i="1"/>
  <c r="D376" i="1"/>
  <c r="D368" i="1"/>
  <c r="D360" i="1"/>
  <c r="D352" i="1"/>
  <c r="D344" i="1"/>
  <c r="D336" i="1"/>
  <c r="D328" i="1"/>
  <c r="D320" i="1"/>
  <c r="D312" i="1"/>
  <c r="D304" i="1"/>
  <c r="D296" i="1"/>
  <c r="D288" i="1"/>
  <c r="D280" i="1"/>
  <c r="D272" i="1"/>
  <c r="D264" i="1"/>
  <c r="D256" i="1"/>
  <c r="D248" i="1"/>
  <c r="D240" i="1"/>
  <c r="D232" i="1"/>
  <c r="D224" i="1"/>
  <c r="D216" i="1"/>
  <c r="D208" i="1"/>
  <c r="D200" i="1"/>
  <c r="D192" i="1"/>
  <c r="D184" i="1"/>
  <c r="D176" i="1"/>
  <c r="D168" i="1"/>
  <c r="D160" i="1"/>
  <c r="D152" i="1"/>
  <c r="D144" i="1"/>
  <c r="D136" i="1"/>
  <c r="D128" i="1"/>
  <c r="D120" i="1"/>
  <c r="D112" i="1"/>
  <c r="E462" i="1"/>
  <c r="E454" i="1"/>
  <c r="E446" i="1"/>
  <c r="E438" i="1"/>
  <c r="E430" i="1"/>
  <c r="E422" i="1"/>
  <c r="E414" i="1"/>
  <c r="E406" i="1"/>
  <c r="E398" i="1"/>
  <c r="E390" i="1"/>
  <c r="E382" i="1"/>
  <c r="E374" i="1"/>
  <c r="E366" i="1"/>
  <c r="E358" i="1"/>
  <c r="E350" i="1"/>
  <c r="E342" i="1"/>
  <c r="E334" i="1"/>
  <c r="E326" i="1"/>
  <c r="E318" i="1"/>
  <c r="E310" i="1"/>
  <c r="E302" i="1"/>
  <c r="E294" i="1"/>
  <c r="E286" i="1"/>
  <c r="E278" i="1"/>
  <c r="E270" i="1"/>
  <c r="E262" i="1"/>
  <c r="E254" i="1"/>
  <c r="E246" i="1"/>
  <c r="E238" i="1"/>
  <c r="E230" i="1"/>
  <c r="E222" i="1"/>
  <c r="E214" i="1"/>
  <c r="E206" i="1"/>
  <c r="E198" i="1"/>
  <c r="E190" i="1"/>
  <c r="E182" i="1"/>
  <c r="E174" i="1"/>
  <c r="E166" i="1"/>
  <c r="E158" i="1"/>
  <c r="E150" i="1"/>
  <c r="E142" i="1"/>
  <c r="E134" i="1"/>
  <c r="E126" i="1"/>
  <c r="E118" i="1"/>
  <c r="E110" i="1"/>
  <c r="E73" i="1"/>
  <c r="E461" i="1"/>
  <c r="E453" i="1"/>
  <c r="E445" i="1"/>
  <c r="E437" i="1"/>
  <c r="E429" i="1"/>
  <c r="E421" i="1"/>
  <c r="E413" i="1"/>
  <c r="E405" i="1"/>
  <c r="E397" i="1"/>
  <c r="E389" i="1"/>
  <c r="E381" i="1"/>
  <c r="E373" i="1"/>
  <c r="E365" i="1"/>
  <c r="E357" i="1"/>
  <c r="E349" i="1"/>
  <c r="E341" i="1"/>
  <c r="E333" i="1"/>
  <c r="E325" i="1"/>
  <c r="E317" i="1"/>
  <c r="E309" i="1"/>
  <c r="E301" i="1"/>
  <c r="E293" i="1"/>
  <c r="E285" i="1"/>
  <c r="E277" i="1"/>
  <c r="E269" i="1"/>
  <c r="E261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09" i="1"/>
  <c r="D37" i="1"/>
  <c r="D55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6" i="1"/>
  <c r="E108" i="1"/>
  <c r="E459" i="1"/>
  <c r="E451" i="1"/>
  <c r="E443" i="1"/>
  <c r="E435" i="1"/>
  <c r="E427" i="1"/>
  <c r="E419" i="1"/>
  <c r="E411" i="1"/>
  <c r="E403" i="1"/>
  <c r="E395" i="1"/>
  <c r="E387" i="1"/>
  <c r="E379" i="1"/>
  <c r="E371" i="1"/>
  <c r="E363" i="1"/>
  <c r="E355" i="1"/>
  <c r="E347" i="1"/>
  <c r="E339" i="1"/>
  <c r="E331" i="1"/>
  <c r="E323" i="1"/>
  <c r="E315" i="1"/>
  <c r="E307" i="1"/>
  <c r="E299" i="1"/>
  <c r="E291" i="1"/>
  <c r="E283" i="1"/>
  <c r="E275" i="1"/>
  <c r="E267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15" i="1"/>
  <c r="E107" i="1"/>
  <c r="E458" i="1"/>
  <c r="E450" i="1"/>
  <c r="E442" i="1"/>
  <c r="E434" i="1"/>
  <c r="E426" i="1"/>
  <c r="E418" i="1"/>
  <c r="E410" i="1"/>
  <c r="E402" i="1"/>
  <c r="E394" i="1"/>
  <c r="E386" i="1"/>
  <c r="E378" i="1"/>
  <c r="E370" i="1"/>
  <c r="E362" i="1"/>
  <c r="E354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50" i="1"/>
  <c r="E242" i="1"/>
  <c r="E234" i="1"/>
  <c r="E226" i="1"/>
  <c r="E218" i="1"/>
  <c r="E210" i="1"/>
  <c r="E202" i="1"/>
  <c r="E194" i="1"/>
  <c r="E186" i="1"/>
  <c r="E178" i="1"/>
  <c r="E170" i="1"/>
  <c r="E162" i="1"/>
  <c r="E154" i="1"/>
  <c r="E146" i="1"/>
  <c r="E138" i="1"/>
  <c r="E130" i="1"/>
  <c r="E122" i="1"/>
  <c r="E114" i="1"/>
  <c r="E58" i="1"/>
  <c r="D39" i="1"/>
  <c r="D29" i="1"/>
  <c r="D25" i="1"/>
  <c r="D21" i="1"/>
  <c r="D17" i="1"/>
  <c r="D13" i="1"/>
  <c r="D9" i="1"/>
  <c r="F19" i="1" s="1"/>
  <c r="F20" i="1" s="1"/>
  <c r="D63" i="1"/>
  <c r="E40" i="1"/>
  <c r="E28" i="1"/>
  <c r="E24" i="1"/>
  <c r="E20" i="1"/>
  <c r="E16" i="1"/>
  <c r="E12" i="1"/>
  <c r="E8" i="1"/>
  <c r="E99" i="1"/>
  <c r="E89" i="1"/>
  <c r="E81" i="1"/>
  <c r="D85" i="1"/>
  <c r="E75" i="1"/>
  <c r="E71" i="1"/>
  <c r="E66" i="1"/>
  <c r="D61" i="1"/>
  <c r="E57" i="1"/>
  <c r="D53" i="1"/>
  <c r="D31" i="1"/>
  <c r="E27" i="1"/>
  <c r="E23" i="1"/>
  <c r="E19" i="1"/>
  <c r="E15" i="1"/>
  <c r="E11" i="1"/>
  <c r="E7" i="1"/>
  <c r="E46" i="1"/>
  <c r="E42" i="1"/>
  <c r="E38" i="1"/>
  <c r="E36" i="1"/>
  <c r="E102" i="1"/>
  <c r="E98" i="1"/>
  <c r="E92" i="1"/>
  <c r="E88" i="1"/>
  <c r="E84" i="1"/>
  <c r="E70" i="1"/>
  <c r="E65" i="1"/>
  <c r="E56" i="1"/>
  <c r="D51" i="1"/>
  <c r="E45" i="1"/>
  <c r="E41" i="1"/>
  <c r="E106" i="1"/>
  <c r="E101" i="1"/>
  <c r="E97" i="1"/>
  <c r="E91" i="1"/>
  <c r="E87" i="1"/>
  <c r="E95" i="1"/>
  <c r="E79" i="1"/>
  <c r="E49" i="1"/>
  <c r="E82" i="1"/>
  <c r="E62" i="1"/>
  <c r="E52" i="1"/>
  <c r="E94" i="1"/>
  <c r="E78" i="1"/>
  <c r="E48" i="1"/>
  <c r="E103" i="1"/>
  <c r="E100" i="1"/>
  <c r="E93" i="1"/>
  <c r="E90" i="1"/>
  <c r="E77" i="1"/>
  <c r="E74" i="1"/>
  <c r="E67" i="1"/>
  <c r="E47" i="1"/>
  <c r="E44" i="1"/>
  <c r="E80" i="1"/>
  <c r="E50" i="1"/>
  <c r="E104" i="1"/>
  <c r="D96" i="1"/>
  <c r="E68" i="1"/>
  <c r="E64" i="1"/>
  <c r="E60" i="1"/>
  <c r="E35" i="1"/>
  <c r="E32" i="1"/>
  <c r="E26" i="1"/>
  <c r="E22" i="1"/>
  <c r="E18" i="1"/>
  <c r="E14" i="1"/>
  <c r="E10" i="1"/>
  <c r="E6" i="1"/>
  <c r="E34" i="1"/>
  <c r="D30" i="1"/>
  <c r="G19" i="1" l="1"/>
  <c r="H19" i="1" s="1"/>
  <c r="F21" i="1"/>
  <c r="G20" i="1" l="1"/>
  <c r="I19" i="1"/>
  <c r="F22" i="1"/>
  <c r="G21" i="1" l="1"/>
  <c r="H20" i="1"/>
  <c r="I20" i="1" s="1"/>
  <c r="F23" i="1"/>
  <c r="G22" i="1" l="1"/>
  <c r="H21" i="1"/>
  <c r="I21" i="1" s="1"/>
  <c r="F24" i="1"/>
  <c r="G23" i="1" l="1"/>
  <c r="H22" i="1"/>
  <c r="I22" i="1" s="1"/>
  <c r="F25" i="1"/>
  <c r="G24" i="1" l="1"/>
  <c r="H23" i="1"/>
  <c r="I23" i="1" s="1"/>
  <c r="F26" i="1"/>
  <c r="G25" i="1" l="1"/>
  <c r="H24" i="1"/>
  <c r="I24" i="1" s="1"/>
  <c r="F27" i="1"/>
  <c r="G26" i="1" l="1"/>
  <c r="H25" i="1"/>
  <c r="I25" i="1" s="1"/>
  <c r="F28" i="1"/>
  <c r="G27" i="1" l="1"/>
  <c r="H26" i="1"/>
  <c r="I26" i="1" s="1"/>
  <c r="F29" i="1"/>
  <c r="G28" i="1" l="1"/>
  <c r="H27" i="1"/>
  <c r="I27" i="1" s="1"/>
  <c r="F30" i="1"/>
  <c r="G29" i="1" l="1"/>
  <c r="H28" i="1"/>
  <c r="I28" i="1" s="1"/>
  <c r="F31" i="1"/>
  <c r="G30" i="1" l="1"/>
  <c r="H29" i="1"/>
  <c r="I29" i="1" s="1"/>
  <c r="F32" i="1"/>
  <c r="G31" i="1" l="1"/>
  <c r="H30" i="1"/>
  <c r="I30" i="1" s="1"/>
  <c r="F33" i="1"/>
  <c r="G32" i="1" l="1"/>
  <c r="H31" i="1"/>
  <c r="I31" i="1" s="1"/>
  <c r="F34" i="1"/>
  <c r="G33" i="1" l="1"/>
  <c r="H32" i="1"/>
  <c r="I32" i="1" s="1"/>
  <c r="F35" i="1"/>
  <c r="G34" i="1" l="1"/>
  <c r="H33" i="1"/>
  <c r="I33" i="1" s="1"/>
  <c r="F36" i="1"/>
  <c r="G35" i="1" l="1"/>
  <c r="H34" i="1"/>
  <c r="I34" i="1" s="1"/>
  <c r="F37" i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G36" i="1" l="1"/>
  <c r="H35" i="1"/>
  <c r="I35" i="1" s="1"/>
  <c r="F57" i="1"/>
  <c r="G37" i="1" l="1"/>
  <c r="H36" i="1"/>
  <c r="I36" i="1" s="1"/>
  <c r="F58" i="1"/>
  <c r="G38" i="1" l="1"/>
  <c r="H37" i="1"/>
  <c r="I37" i="1" s="1"/>
  <c r="F59" i="1"/>
  <c r="G39" i="1" l="1"/>
  <c r="H38" i="1"/>
  <c r="I38" i="1" s="1"/>
  <c r="F60" i="1"/>
  <c r="G40" i="1" l="1"/>
  <c r="H39" i="1"/>
  <c r="I39" i="1" s="1"/>
  <c r="F61" i="1"/>
  <c r="G41" i="1" l="1"/>
  <c r="H40" i="1"/>
  <c r="I40" i="1" s="1"/>
  <c r="F62" i="1"/>
  <c r="G42" i="1" l="1"/>
  <c r="H41" i="1"/>
  <c r="I41" i="1" s="1"/>
  <c r="F63" i="1"/>
  <c r="G43" i="1" l="1"/>
  <c r="H42" i="1"/>
  <c r="I42" i="1" s="1"/>
  <c r="F64" i="1"/>
  <c r="G44" i="1" l="1"/>
  <c r="H43" i="1"/>
  <c r="I43" i="1" s="1"/>
  <c r="F65" i="1"/>
  <c r="G45" i="1" l="1"/>
  <c r="H44" i="1"/>
  <c r="I44" i="1" s="1"/>
  <c r="F66" i="1"/>
  <c r="G46" i="1" l="1"/>
  <c r="H45" i="1"/>
  <c r="I45" i="1" s="1"/>
  <c r="F67" i="1"/>
  <c r="G47" i="1" l="1"/>
  <c r="H46" i="1"/>
  <c r="I46" i="1" s="1"/>
  <c r="F68" i="1"/>
  <c r="G48" i="1" l="1"/>
  <c r="H47" i="1"/>
  <c r="I47" i="1" s="1"/>
  <c r="F69" i="1"/>
  <c r="G49" i="1" l="1"/>
  <c r="H48" i="1"/>
  <c r="I48" i="1" s="1"/>
  <c r="F70" i="1"/>
  <c r="G50" i="1" l="1"/>
  <c r="H49" i="1"/>
  <c r="I49" i="1" s="1"/>
  <c r="F71" i="1"/>
  <c r="G51" i="1" l="1"/>
  <c r="H50" i="1"/>
  <c r="I50" i="1" s="1"/>
  <c r="F72" i="1"/>
  <c r="G52" i="1" l="1"/>
  <c r="H51" i="1"/>
  <c r="I51" i="1" s="1"/>
  <c r="F73" i="1"/>
  <c r="G53" i="1" l="1"/>
  <c r="H52" i="1"/>
  <c r="I52" i="1" s="1"/>
  <c r="F74" i="1"/>
  <c r="G54" i="1" l="1"/>
  <c r="H53" i="1"/>
  <c r="I53" i="1" s="1"/>
  <c r="F75" i="1"/>
  <c r="G55" i="1" l="1"/>
  <c r="H54" i="1"/>
  <c r="I54" i="1" s="1"/>
  <c r="F76" i="1"/>
  <c r="G56" i="1" l="1"/>
  <c r="H55" i="1"/>
  <c r="I55" i="1" s="1"/>
  <c r="F77" i="1"/>
  <c r="G57" i="1" l="1"/>
  <c r="H56" i="1"/>
  <c r="I56" i="1" s="1"/>
  <c r="F78" i="1"/>
  <c r="G58" i="1" l="1"/>
  <c r="H57" i="1"/>
  <c r="I57" i="1" s="1"/>
  <c r="F79" i="1"/>
  <c r="G59" i="1" l="1"/>
  <c r="H58" i="1"/>
  <c r="I58" i="1" s="1"/>
  <c r="F80" i="1"/>
  <c r="G60" i="1" l="1"/>
  <c r="H59" i="1"/>
  <c r="I59" i="1" s="1"/>
  <c r="F81" i="1"/>
  <c r="G61" i="1" l="1"/>
  <c r="H60" i="1"/>
  <c r="I60" i="1" s="1"/>
  <c r="F82" i="1"/>
  <c r="G62" i="1" l="1"/>
  <c r="H61" i="1"/>
  <c r="I61" i="1" s="1"/>
  <c r="F83" i="1"/>
  <c r="G63" i="1" l="1"/>
  <c r="H62" i="1"/>
  <c r="I62" i="1" s="1"/>
  <c r="F84" i="1"/>
  <c r="G64" i="1" l="1"/>
  <c r="H63" i="1"/>
  <c r="I63" i="1" s="1"/>
  <c r="F85" i="1"/>
  <c r="G65" i="1" l="1"/>
  <c r="H64" i="1"/>
  <c r="I64" i="1" s="1"/>
  <c r="F86" i="1"/>
  <c r="G66" i="1" l="1"/>
  <c r="H65" i="1"/>
  <c r="I65" i="1" s="1"/>
  <c r="F87" i="1"/>
  <c r="G67" i="1" l="1"/>
  <c r="H66" i="1"/>
  <c r="I66" i="1" s="1"/>
  <c r="F88" i="1"/>
  <c r="G68" i="1" l="1"/>
  <c r="H67" i="1"/>
  <c r="I67" i="1" s="1"/>
  <c r="F89" i="1"/>
  <c r="G69" i="1" l="1"/>
  <c r="H68" i="1"/>
  <c r="I68" i="1" s="1"/>
  <c r="F90" i="1"/>
  <c r="G70" i="1" l="1"/>
  <c r="H69" i="1"/>
  <c r="I69" i="1" s="1"/>
  <c r="F91" i="1"/>
  <c r="G71" i="1" l="1"/>
  <c r="H70" i="1"/>
  <c r="I70" i="1" s="1"/>
  <c r="F92" i="1"/>
  <c r="G72" i="1" l="1"/>
  <c r="H71" i="1"/>
  <c r="I71" i="1" s="1"/>
  <c r="F93" i="1"/>
  <c r="G73" i="1" l="1"/>
  <c r="H72" i="1"/>
  <c r="I72" i="1" s="1"/>
  <c r="F94" i="1"/>
  <c r="G74" i="1" l="1"/>
  <c r="H73" i="1"/>
  <c r="I73" i="1" s="1"/>
  <c r="F95" i="1"/>
  <c r="G75" i="1" l="1"/>
  <c r="H74" i="1"/>
  <c r="I74" i="1" s="1"/>
  <c r="F96" i="1"/>
  <c r="G76" i="1" l="1"/>
  <c r="H75" i="1"/>
  <c r="I75" i="1" s="1"/>
  <c r="F97" i="1"/>
  <c r="G77" i="1" l="1"/>
  <c r="H76" i="1"/>
  <c r="I76" i="1" s="1"/>
  <c r="F98" i="1"/>
  <c r="G78" i="1" l="1"/>
  <c r="H77" i="1"/>
  <c r="I77" i="1" s="1"/>
  <c r="F99" i="1"/>
  <c r="G79" i="1" l="1"/>
  <c r="H78" i="1"/>
  <c r="I78" i="1" s="1"/>
  <c r="F100" i="1"/>
  <c r="G80" i="1" l="1"/>
  <c r="H79" i="1"/>
  <c r="I79" i="1" s="1"/>
  <c r="F101" i="1"/>
  <c r="G81" i="1" l="1"/>
  <c r="H80" i="1"/>
  <c r="I80" i="1" s="1"/>
  <c r="F102" i="1"/>
  <c r="G82" i="1" l="1"/>
  <c r="H81" i="1"/>
  <c r="I81" i="1" s="1"/>
  <c r="F103" i="1"/>
  <c r="G83" i="1" l="1"/>
  <c r="H82" i="1"/>
  <c r="I82" i="1" s="1"/>
  <c r="F104" i="1"/>
  <c r="G84" i="1" l="1"/>
  <c r="H83" i="1"/>
  <c r="I83" i="1" s="1"/>
  <c r="F105" i="1"/>
  <c r="G85" i="1" l="1"/>
  <c r="H84" i="1"/>
  <c r="I84" i="1" s="1"/>
  <c r="F106" i="1"/>
  <c r="F107" i="1" s="1"/>
  <c r="F108" i="1" l="1"/>
  <c r="G86" i="1"/>
  <c r="H85" i="1"/>
  <c r="I85" i="1" s="1"/>
  <c r="F109" i="1" l="1"/>
  <c r="G87" i="1"/>
  <c r="H86" i="1"/>
  <c r="I86" i="1" s="1"/>
  <c r="F110" i="1" l="1"/>
  <c r="G88" i="1"/>
  <c r="H87" i="1"/>
  <c r="I87" i="1" s="1"/>
  <c r="F111" i="1" l="1"/>
  <c r="G89" i="1"/>
  <c r="H88" i="1"/>
  <c r="I88" i="1" s="1"/>
  <c r="F112" i="1" l="1"/>
  <c r="G90" i="1"/>
  <c r="H89" i="1"/>
  <c r="I89" i="1" s="1"/>
  <c r="F113" i="1" l="1"/>
  <c r="G91" i="1"/>
  <c r="H90" i="1"/>
  <c r="I90" i="1" s="1"/>
  <c r="F114" i="1" l="1"/>
  <c r="G92" i="1"/>
  <c r="H91" i="1"/>
  <c r="I91" i="1" s="1"/>
  <c r="F115" i="1" l="1"/>
  <c r="G93" i="1"/>
  <c r="H92" i="1"/>
  <c r="I92" i="1" s="1"/>
  <c r="F116" i="1" l="1"/>
  <c r="G94" i="1"/>
  <c r="H93" i="1"/>
  <c r="I93" i="1" s="1"/>
  <c r="F117" i="1" l="1"/>
  <c r="G95" i="1"/>
  <c r="H94" i="1"/>
  <c r="I94" i="1" s="1"/>
  <c r="F118" i="1" l="1"/>
  <c r="G96" i="1"/>
  <c r="H95" i="1"/>
  <c r="I95" i="1" s="1"/>
  <c r="F119" i="1" l="1"/>
  <c r="G97" i="1"/>
  <c r="H96" i="1"/>
  <c r="I96" i="1" s="1"/>
  <c r="F120" i="1" l="1"/>
  <c r="G98" i="1"/>
  <c r="H97" i="1"/>
  <c r="I97" i="1" s="1"/>
  <c r="F121" i="1" l="1"/>
  <c r="G99" i="1"/>
  <c r="H98" i="1"/>
  <c r="I98" i="1" s="1"/>
  <c r="F122" i="1" l="1"/>
  <c r="G100" i="1"/>
  <c r="H99" i="1"/>
  <c r="I99" i="1" s="1"/>
  <c r="F123" i="1" l="1"/>
  <c r="G101" i="1"/>
  <c r="H100" i="1"/>
  <c r="I100" i="1" s="1"/>
  <c r="F124" i="1" l="1"/>
  <c r="G102" i="1"/>
  <c r="H101" i="1"/>
  <c r="I101" i="1" s="1"/>
  <c r="F125" i="1" l="1"/>
  <c r="G103" i="1"/>
  <c r="H102" i="1"/>
  <c r="I102" i="1" s="1"/>
  <c r="F126" i="1" l="1"/>
  <c r="G104" i="1"/>
  <c r="H103" i="1"/>
  <c r="I103" i="1" s="1"/>
  <c r="F127" i="1" l="1"/>
  <c r="G105" i="1"/>
  <c r="H104" i="1"/>
  <c r="I104" i="1" s="1"/>
  <c r="F128" i="1" l="1"/>
  <c r="G106" i="1"/>
  <c r="H105" i="1"/>
  <c r="I105" i="1" s="1"/>
  <c r="H106" i="1" l="1"/>
  <c r="I106" i="1" s="1"/>
  <c r="G107" i="1"/>
  <c r="F129" i="1"/>
  <c r="F130" i="1" l="1"/>
  <c r="G108" i="1"/>
  <c r="H107" i="1"/>
  <c r="I107" i="1" s="1"/>
  <c r="G109" i="1" l="1"/>
  <c r="H108" i="1"/>
  <c r="I108" i="1" s="1"/>
  <c r="F131" i="1"/>
  <c r="F132" i="1" l="1"/>
  <c r="G110" i="1"/>
  <c r="H109" i="1"/>
  <c r="I109" i="1" s="1"/>
  <c r="G111" i="1" l="1"/>
  <c r="H110" i="1"/>
  <c r="I110" i="1" s="1"/>
  <c r="F133" i="1"/>
  <c r="F134" i="1" l="1"/>
  <c r="G112" i="1"/>
  <c r="H111" i="1"/>
  <c r="I111" i="1" s="1"/>
  <c r="G113" i="1" l="1"/>
  <c r="H112" i="1"/>
  <c r="I112" i="1" s="1"/>
  <c r="F135" i="1"/>
  <c r="F136" i="1" l="1"/>
  <c r="G114" i="1"/>
  <c r="H113" i="1"/>
  <c r="I113" i="1" s="1"/>
  <c r="G115" i="1" l="1"/>
  <c r="I114" i="1"/>
  <c r="H114" i="1"/>
  <c r="F137" i="1"/>
  <c r="F138" i="1" l="1"/>
  <c r="G116" i="1"/>
  <c r="H115" i="1"/>
  <c r="I115" i="1" s="1"/>
  <c r="G117" i="1" l="1"/>
  <c r="H116" i="1"/>
  <c r="I116" i="1" s="1"/>
  <c r="F139" i="1"/>
  <c r="F140" i="1" l="1"/>
  <c r="G118" i="1"/>
  <c r="H117" i="1"/>
  <c r="I117" i="1" s="1"/>
  <c r="F141" i="1" l="1"/>
  <c r="G119" i="1"/>
  <c r="H118" i="1"/>
  <c r="I118" i="1" s="1"/>
  <c r="F142" i="1" l="1"/>
  <c r="G120" i="1"/>
  <c r="H119" i="1"/>
  <c r="I119" i="1" s="1"/>
  <c r="G121" i="1" l="1"/>
  <c r="H120" i="1"/>
  <c r="I120" i="1" s="1"/>
  <c r="F143" i="1"/>
  <c r="F144" i="1" l="1"/>
  <c r="G122" i="1"/>
  <c r="I121" i="1"/>
  <c r="H121" i="1"/>
  <c r="F145" i="1" l="1"/>
  <c r="G123" i="1"/>
  <c r="H122" i="1"/>
  <c r="I122" i="1" s="1"/>
  <c r="F146" i="1" l="1"/>
  <c r="G124" i="1"/>
  <c r="H123" i="1"/>
  <c r="I123" i="1" s="1"/>
  <c r="G125" i="1" l="1"/>
  <c r="H124" i="1"/>
  <c r="I124" i="1" s="1"/>
  <c r="F147" i="1"/>
  <c r="F148" i="1" l="1"/>
  <c r="G126" i="1"/>
  <c r="H125" i="1"/>
  <c r="I125" i="1" s="1"/>
  <c r="G127" i="1" l="1"/>
  <c r="I126" i="1"/>
  <c r="H126" i="1"/>
  <c r="F149" i="1"/>
  <c r="F150" i="1" l="1"/>
  <c r="G128" i="1"/>
  <c r="H127" i="1"/>
  <c r="I127" i="1" s="1"/>
  <c r="G129" i="1" l="1"/>
  <c r="I128" i="1"/>
  <c r="H128" i="1"/>
  <c r="F151" i="1"/>
  <c r="F152" i="1" l="1"/>
  <c r="G130" i="1"/>
  <c r="H129" i="1"/>
  <c r="I129" i="1" s="1"/>
  <c r="G131" i="1" l="1"/>
  <c r="I130" i="1"/>
  <c r="H130" i="1"/>
  <c r="F153" i="1"/>
  <c r="F154" i="1" l="1"/>
  <c r="G132" i="1"/>
  <c r="H131" i="1"/>
  <c r="I131" i="1" s="1"/>
  <c r="G133" i="1" l="1"/>
  <c r="I132" i="1"/>
  <c r="H132" i="1"/>
  <c r="F155" i="1"/>
  <c r="F156" i="1" l="1"/>
  <c r="G134" i="1"/>
  <c r="I133" i="1"/>
  <c r="H133" i="1"/>
  <c r="G135" i="1" l="1"/>
  <c r="I134" i="1"/>
  <c r="H134" i="1"/>
  <c r="F157" i="1"/>
  <c r="F158" i="1" l="1"/>
  <c r="G136" i="1"/>
  <c r="H135" i="1"/>
  <c r="I135" i="1" s="1"/>
  <c r="G137" i="1" l="1"/>
  <c r="H136" i="1"/>
  <c r="I136" i="1" s="1"/>
  <c r="F159" i="1"/>
  <c r="G138" i="1" l="1"/>
  <c r="I137" i="1"/>
  <c r="H137" i="1"/>
  <c r="F160" i="1"/>
  <c r="F161" i="1" l="1"/>
  <c r="G139" i="1"/>
  <c r="H138" i="1"/>
  <c r="I138" i="1" s="1"/>
  <c r="F162" i="1" l="1"/>
  <c r="G140" i="1"/>
  <c r="H139" i="1"/>
  <c r="I139" i="1" s="1"/>
  <c r="F163" i="1" l="1"/>
  <c r="G141" i="1"/>
  <c r="H140" i="1"/>
  <c r="I140" i="1" s="1"/>
  <c r="F164" i="1" l="1"/>
  <c r="G142" i="1"/>
  <c r="H141" i="1"/>
  <c r="I141" i="1" s="1"/>
  <c r="F165" i="1" l="1"/>
  <c r="G143" i="1"/>
  <c r="H142" i="1"/>
  <c r="I142" i="1" s="1"/>
  <c r="F166" i="1" l="1"/>
  <c r="G144" i="1"/>
  <c r="H143" i="1"/>
  <c r="I143" i="1" s="1"/>
  <c r="F167" i="1" l="1"/>
  <c r="G145" i="1"/>
  <c r="H144" i="1"/>
  <c r="I144" i="1" s="1"/>
  <c r="G146" i="1" l="1"/>
  <c r="H145" i="1"/>
  <c r="I145" i="1" s="1"/>
  <c r="F168" i="1"/>
  <c r="G147" i="1" l="1"/>
  <c r="H146" i="1"/>
  <c r="I146" i="1" s="1"/>
  <c r="F169" i="1"/>
  <c r="G148" i="1" l="1"/>
  <c r="H147" i="1"/>
  <c r="I147" i="1" s="1"/>
  <c r="F170" i="1"/>
  <c r="G149" i="1" l="1"/>
  <c r="H148" i="1"/>
  <c r="I148" i="1" s="1"/>
  <c r="F171" i="1"/>
  <c r="G150" i="1" l="1"/>
  <c r="H149" i="1"/>
  <c r="I149" i="1" s="1"/>
  <c r="F172" i="1"/>
  <c r="G151" i="1" l="1"/>
  <c r="H150" i="1"/>
  <c r="I150" i="1" s="1"/>
  <c r="F173" i="1"/>
  <c r="G152" i="1" l="1"/>
  <c r="H151" i="1"/>
  <c r="I151" i="1" s="1"/>
  <c r="F174" i="1"/>
  <c r="G153" i="1" l="1"/>
  <c r="H152" i="1"/>
  <c r="I152" i="1" s="1"/>
  <c r="F175" i="1"/>
  <c r="F176" i="1" l="1"/>
  <c r="G154" i="1"/>
  <c r="H153" i="1"/>
  <c r="I153" i="1" s="1"/>
  <c r="F177" i="1" l="1"/>
  <c r="G155" i="1"/>
  <c r="H154" i="1"/>
  <c r="I154" i="1" s="1"/>
  <c r="F178" i="1" l="1"/>
  <c r="G156" i="1"/>
  <c r="H155" i="1"/>
  <c r="I155" i="1" s="1"/>
  <c r="F179" i="1" l="1"/>
  <c r="G157" i="1"/>
  <c r="H156" i="1"/>
  <c r="I156" i="1" s="1"/>
  <c r="F180" i="1" l="1"/>
  <c r="G158" i="1"/>
  <c r="H157" i="1"/>
  <c r="I157" i="1" s="1"/>
  <c r="F181" i="1" l="1"/>
  <c r="G159" i="1"/>
  <c r="H158" i="1"/>
  <c r="I158" i="1" s="1"/>
  <c r="F182" i="1" l="1"/>
  <c r="G160" i="1"/>
  <c r="H159" i="1"/>
  <c r="I159" i="1" s="1"/>
  <c r="F183" i="1" l="1"/>
  <c r="G161" i="1"/>
  <c r="H160" i="1"/>
  <c r="I160" i="1" s="1"/>
  <c r="F184" i="1" l="1"/>
  <c r="G162" i="1"/>
  <c r="H161" i="1"/>
  <c r="I161" i="1" s="1"/>
  <c r="F185" i="1" l="1"/>
  <c r="G163" i="1"/>
  <c r="H162" i="1"/>
  <c r="I162" i="1" s="1"/>
  <c r="F186" i="1" l="1"/>
  <c r="G164" i="1"/>
  <c r="H163" i="1"/>
  <c r="I163" i="1" s="1"/>
  <c r="F187" i="1" l="1"/>
  <c r="G165" i="1"/>
  <c r="H164" i="1"/>
  <c r="I164" i="1" s="1"/>
  <c r="F188" i="1" l="1"/>
  <c r="G166" i="1"/>
  <c r="H165" i="1"/>
  <c r="I165" i="1" s="1"/>
  <c r="F189" i="1" l="1"/>
  <c r="G167" i="1"/>
  <c r="H166" i="1"/>
  <c r="I166" i="1" s="1"/>
  <c r="F190" i="1" l="1"/>
  <c r="G168" i="1"/>
  <c r="H167" i="1"/>
  <c r="I167" i="1" s="1"/>
  <c r="F191" i="1" l="1"/>
  <c r="G169" i="1"/>
  <c r="H168" i="1"/>
  <c r="I168" i="1" s="1"/>
  <c r="F192" i="1" l="1"/>
  <c r="G170" i="1"/>
  <c r="H169" i="1"/>
  <c r="I169" i="1" s="1"/>
  <c r="F193" i="1" l="1"/>
  <c r="G171" i="1"/>
  <c r="H170" i="1"/>
  <c r="I170" i="1" s="1"/>
  <c r="G172" i="1" l="1"/>
  <c r="H171" i="1"/>
  <c r="I171" i="1" s="1"/>
  <c r="F194" i="1"/>
  <c r="F195" i="1" l="1"/>
  <c r="G173" i="1"/>
  <c r="H172" i="1"/>
  <c r="I172" i="1" s="1"/>
  <c r="G174" i="1" l="1"/>
  <c r="H173" i="1"/>
  <c r="I173" i="1" s="1"/>
  <c r="F196" i="1"/>
  <c r="F197" i="1" l="1"/>
  <c r="G175" i="1"/>
  <c r="H174" i="1"/>
  <c r="I174" i="1" s="1"/>
  <c r="G176" i="1" l="1"/>
  <c r="H175" i="1"/>
  <c r="I175" i="1" s="1"/>
  <c r="F198" i="1"/>
  <c r="F199" i="1" l="1"/>
  <c r="G177" i="1"/>
  <c r="H176" i="1"/>
  <c r="I176" i="1" s="1"/>
  <c r="G178" i="1" l="1"/>
  <c r="H177" i="1"/>
  <c r="I177" i="1" s="1"/>
  <c r="F200" i="1"/>
  <c r="F201" i="1" l="1"/>
  <c r="G179" i="1"/>
  <c r="H178" i="1"/>
  <c r="I178" i="1" s="1"/>
  <c r="G180" i="1" l="1"/>
  <c r="H179" i="1"/>
  <c r="I179" i="1" s="1"/>
  <c r="F202" i="1"/>
  <c r="F203" i="1" l="1"/>
  <c r="G181" i="1"/>
  <c r="H180" i="1"/>
  <c r="I180" i="1" s="1"/>
  <c r="G182" i="1" l="1"/>
  <c r="H181" i="1"/>
  <c r="I181" i="1" s="1"/>
  <c r="F204" i="1"/>
  <c r="F205" i="1" l="1"/>
  <c r="G183" i="1"/>
  <c r="H182" i="1"/>
  <c r="I182" i="1" s="1"/>
  <c r="G184" i="1" l="1"/>
  <c r="H183" i="1"/>
  <c r="I183" i="1" s="1"/>
  <c r="F206" i="1"/>
  <c r="F207" i="1" l="1"/>
  <c r="G185" i="1"/>
  <c r="H184" i="1"/>
  <c r="I184" i="1" s="1"/>
  <c r="G186" i="1" l="1"/>
  <c r="H185" i="1"/>
  <c r="I185" i="1" s="1"/>
  <c r="F208" i="1"/>
  <c r="F209" i="1" l="1"/>
  <c r="G187" i="1"/>
  <c r="H186" i="1"/>
  <c r="I186" i="1" s="1"/>
  <c r="G188" i="1" l="1"/>
  <c r="H187" i="1"/>
  <c r="I187" i="1" s="1"/>
  <c r="F210" i="1"/>
  <c r="F211" i="1" l="1"/>
  <c r="G189" i="1"/>
  <c r="H188" i="1"/>
  <c r="I188" i="1" s="1"/>
  <c r="F212" i="1" l="1"/>
  <c r="G190" i="1"/>
  <c r="H189" i="1"/>
  <c r="I189" i="1" s="1"/>
  <c r="F213" i="1" l="1"/>
  <c r="G191" i="1"/>
  <c r="H190" i="1"/>
  <c r="I190" i="1" s="1"/>
  <c r="F214" i="1" l="1"/>
  <c r="G192" i="1"/>
  <c r="H191" i="1"/>
  <c r="I191" i="1" s="1"/>
  <c r="F215" i="1" l="1"/>
  <c r="G193" i="1"/>
  <c r="H192" i="1"/>
  <c r="I192" i="1" s="1"/>
  <c r="F216" i="1" l="1"/>
  <c r="G194" i="1"/>
  <c r="H193" i="1"/>
  <c r="I193" i="1" s="1"/>
  <c r="F217" i="1" l="1"/>
  <c r="G195" i="1"/>
  <c r="H194" i="1"/>
  <c r="I194" i="1" s="1"/>
  <c r="F218" i="1" l="1"/>
  <c r="G196" i="1"/>
  <c r="H195" i="1"/>
  <c r="I195" i="1" s="1"/>
  <c r="F219" i="1" l="1"/>
  <c r="G197" i="1"/>
  <c r="H196" i="1"/>
  <c r="I196" i="1" s="1"/>
  <c r="F220" i="1" l="1"/>
  <c r="G198" i="1"/>
  <c r="H197" i="1"/>
  <c r="I197" i="1" s="1"/>
  <c r="F221" i="1" l="1"/>
  <c r="G199" i="1"/>
  <c r="H198" i="1"/>
  <c r="I198" i="1" s="1"/>
  <c r="F222" i="1" l="1"/>
  <c r="G200" i="1"/>
  <c r="H199" i="1"/>
  <c r="I199" i="1" s="1"/>
  <c r="F223" i="1" l="1"/>
  <c r="G201" i="1"/>
  <c r="H200" i="1"/>
  <c r="I200" i="1" s="1"/>
  <c r="G202" i="1" l="1"/>
  <c r="H201" i="1"/>
  <c r="I201" i="1" s="1"/>
  <c r="F224" i="1"/>
  <c r="F225" i="1" l="1"/>
  <c r="G203" i="1"/>
  <c r="H202" i="1"/>
  <c r="I202" i="1" s="1"/>
  <c r="G204" i="1" l="1"/>
  <c r="H203" i="1"/>
  <c r="I203" i="1" s="1"/>
  <c r="F226" i="1"/>
  <c r="F227" i="1" l="1"/>
  <c r="G205" i="1"/>
  <c r="H204" i="1"/>
  <c r="I204" i="1" s="1"/>
  <c r="G206" i="1" l="1"/>
  <c r="I205" i="1"/>
  <c r="H205" i="1"/>
  <c r="F228" i="1"/>
  <c r="F229" i="1" l="1"/>
  <c r="G207" i="1"/>
  <c r="H206" i="1"/>
  <c r="I206" i="1" s="1"/>
  <c r="G208" i="1" l="1"/>
  <c r="H207" i="1"/>
  <c r="I207" i="1" s="1"/>
  <c r="F230" i="1"/>
  <c r="F231" i="1" l="1"/>
  <c r="G209" i="1"/>
  <c r="H208" i="1"/>
  <c r="I208" i="1" s="1"/>
  <c r="G210" i="1" l="1"/>
  <c r="H209" i="1"/>
  <c r="I209" i="1" s="1"/>
  <c r="F232" i="1"/>
  <c r="F233" i="1" l="1"/>
  <c r="G211" i="1"/>
  <c r="H210" i="1"/>
  <c r="I210" i="1" s="1"/>
  <c r="F234" i="1" l="1"/>
  <c r="G212" i="1"/>
  <c r="H211" i="1"/>
  <c r="I211" i="1" s="1"/>
  <c r="G213" i="1" l="1"/>
  <c r="H212" i="1"/>
  <c r="I212" i="1" s="1"/>
  <c r="F235" i="1"/>
  <c r="F236" i="1" l="1"/>
  <c r="G214" i="1"/>
  <c r="H213" i="1"/>
  <c r="I213" i="1" s="1"/>
  <c r="G215" i="1" l="1"/>
  <c r="H214" i="1"/>
  <c r="I214" i="1" s="1"/>
  <c r="F237" i="1"/>
  <c r="F238" i="1" l="1"/>
  <c r="G216" i="1"/>
  <c r="H215" i="1"/>
  <c r="I215" i="1" s="1"/>
  <c r="G217" i="1" l="1"/>
  <c r="H216" i="1"/>
  <c r="I216" i="1" s="1"/>
  <c r="F239" i="1"/>
  <c r="F240" i="1" l="1"/>
  <c r="G218" i="1"/>
  <c r="H217" i="1"/>
  <c r="I217" i="1" s="1"/>
  <c r="G219" i="1" l="1"/>
  <c r="H218" i="1"/>
  <c r="I218" i="1" s="1"/>
  <c r="F241" i="1"/>
  <c r="F242" i="1" l="1"/>
  <c r="G220" i="1"/>
  <c r="H219" i="1"/>
  <c r="I219" i="1" s="1"/>
  <c r="F243" i="1" l="1"/>
  <c r="G221" i="1"/>
  <c r="H220" i="1"/>
  <c r="I220" i="1" s="1"/>
  <c r="G222" i="1" l="1"/>
  <c r="H221" i="1"/>
  <c r="I221" i="1" s="1"/>
  <c r="F244" i="1"/>
  <c r="G223" i="1" l="1"/>
  <c r="H222" i="1"/>
  <c r="I222" i="1" s="1"/>
  <c r="F245" i="1"/>
  <c r="F246" i="1" l="1"/>
  <c r="G224" i="1"/>
  <c r="H223" i="1"/>
  <c r="I223" i="1" s="1"/>
  <c r="F247" i="1" l="1"/>
  <c r="G225" i="1"/>
  <c r="H224" i="1"/>
  <c r="I224" i="1" s="1"/>
  <c r="F248" i="1" l="1"/>
  <c r="G226" i="1"/>
  <c r="H225" i="1"/>
  <c r="I225" i="1" s="1"/>
  <c r="F249" i="1" l="1"/>
  <c r="G227" i="1"/>
  <c r="H226" i="1"/>
  <c r="I226" i="1" s="1"/>
  <c r="F250" i="1" l="1"/>
  <c r="G228" i="1"/>
  <c r="H227" i="1"/>
  <c r="I227" i="1" s="1"/>
  <c r="F251" i="1" l="1"/>
  <c r="G229" i="1"/>
  <c r="H228" i="1"/>
  <c r="I228" i="1" s="1"/>
  <c r="F252" i="1" l="1"/>
  <c r="G230" i="1"/>
  <c r="I229" i="1"/>
  <c r="H229" i="1"/>
  <c r="G231" i="1" l="1"/>
  <c r="H230" i="1"/>
  <c r="I230" i="1" s="1"/>
  <c r="F253" i="1"/>
  <c r="F254" i="1" l="1"/>
  <c r="G232" i="1"/>
  <c r="H231" i="1"/>
  <c r="I231" i="1" s="1"/>
  <c r="G233" i="1" l="1"/>
  <c r="H232" i="1"/>
  <c r="I232" i="1" s="1"/>
  <c r="F255" i="1"/>
  <c r="F256" i="1" l="1"/>
  <c r="G234" i="1"/>
  <c r="H233" i="1"/>
  <c r="I233" i="1" s="1"/>
  <c r="F257" i="1" l="1"/>
  <c r="G235" i="1"/>
  <c r="H234" i="1"/>
  <c r="I234" i="1" s="1"/>
  <c r="F258" i="1" l="1"/>
  <c r="G236" i="1"/>
  <c r="H235" i="1"/>
  <c r="I235" i="1" s="1"/>
  <c r="F259" i="1" l="1"/>
  <c r="G237" i="1"/>
  <c r="H236" i="1"/>
  <c r="I236" i="1" s="1"/>
  <c r="G238" i="1" l="1"/>
  <c r="H237" i="1"/>
  <c r="I237" i="1" s="1"/>
  <c r="F260" i="1"/>
  <c r="F261" i="1" l="1"/>
  <c r="G239" i="1"/>
  <c r="H238" i="1"/>
  <c r="I238" i="1" s="1"/>
  <c r="G240" i="1" l="1"/>
  <c r="H239" i="1"/>
  <c r="I239" i="1" s="1"/>
  <c r="F262" i="1"/>
  <c r="F263" i="1" l="1"/>
  <c r="G241" i="1"/>
  <c r="H240" i="1"/>
  <c r="I240" i="1" s="1"/>
  <c r="F264" i="1" l="1"/>
  <c r="G242" i="1"/>
  <c r="H241" i="1"/>
  <c r="I241" i="1" s="1"/>
  <c r="G243" i="1" l="1"/>
  <c r="H242" i="1"/>
  <c r="I242" i="1" s="1"/>
  <c r="F265" i="1"/>
  <c r="G244" i="1" l="1"/>
  <c r="H243" i="1"/>
  <c r="I243" i="1" s="1"/>
  <c r="F266" i="1"/>
  <c r="G245" i="1" l="1"/>
  <c r="H244" i="1"/>
  <c r="I244" i="1" s="1"/>
  <c r="F267" i="1"/>
  <c r="G246" i="1" l="1"/>
  <c r="H245" i="1"/>
  <c r="I245" i="1" s="1"/>
  <c r="F268" i="1"/>
  <c r="F269" i="1" l="1"/>
  <c r="G247" i="1"/>
  <c r="H246" i="1"/>
  <c r="I246" i="1" s="1"/>
  <c r="G248" i="1" l="1"/>
  <c r="H247" i="1"/>
  <c r="I247" i="1" s="1"/>
  <c r="F270" i="1"/>
  <c r="G249" i="1" l="1"/>
  <c r="H248" i="1"/>
  <c r="I248" i="1" s="1"/>
  <c r="F271" i="1"/>
  <c r="G250" i="1" l="1"/>
  <c r="H249" i="1"/>
  <c r="I249" i="1" s="1"/>
  <c r="F272" i="1"/>
  <c r="G251" i="1" l="1"/>
  <c r="H250" i="1"/>
  <c r="I250" i="1" s="1"/>
  <c r="F273" i="1"/>
  <c r="G252" i="1" l="1"/>
  <c r="H251" i="1"/>
  <c r="I251" i="1" s="1"/>
  <c r="F274" i="1"/>
  <c r="F275" i="1" l="1"/>
  <c r="G253" i="1"/>
  <c r="H252" i="1"/>
  <c r="I252" i="1" s="1"/>
  <c r="F276" i="1" l="1"/>
  <c r="G254" i="1"/>
  <c r="H253" i="1"/>
  <c r="I253" i="1" s="1"/>
  <c r="G255" i="1" l="1"/>
  <c r="H254" i="1"/>
  <c r="I254" i="1" s="1"/>
  <c r="F277" i="1"/>
  <c r="G256" i="1" l="1"/>
  <c r="H255" i="1"/>
  <c r="I255" i="1" s="1"/>
  <c r="F278" i="1"/>
  <c r="F279" i="1" l="1"/>
  <c r="G257" i="1"/>
  <c r="H256" i="1"/>
  <c r="I256" i="1" s="1"/>
  <c r="G258" i="1" l="1"/>
  <c r="H257" i="1"/>
  <c r="I257" i="1" s="1"/>
  <c r="F280" i="1"/>
  <c r="F281" i="1" l="1"/>
  <c r="G259" i="1"/>
  <c r="H258" i="1"/>
  <c r="I258" i="1" s="1"/>
  <c r="F282" i="1" l="1"/>
  <c r="G260" i="1"/>
  <c r="H259" i="1"/>
  <c r="I259" i="1" s="1"/>
  <c r="F283" i="1" l="1"/>
  <c r="G261" i="1"/>
  <c r="H260" i="1"/>
  <c r="I260" i="1" s="1"/>
  <c r="G262" i="1" l="1"/>
  <c r="H261" i="1"/>
  <c r="I261" i="1" s="1"/>
  <c r="F284" i="1"/>
  <c r="F285" i="1" l="1"/>
  <c r="G263" i="1"/>
  <c r="H262" i="1"/>
  <c r="I262" i="1" s="1"/>
  <c r="F286" i="1" l="1"/>
  <c r="G264" i="1"/>
  <c r="H263" i="1"/>
  <c r="I263" i="1" s="1"/>
  <c r="F287" i="1" l="1"/>
  <c r="G265" i="1"/>
  <c r="H264" i="1"/>
  <c r="I264" i="1" s="1"/>
  <c r="F288" i="1" l="1"/>
  <c r="G266" i="1"/>
  <c r="H265" i="1"/>
  <c r="I265" i="1" s="1"/>
  <c r="F289" i="1" l="1"/>
  <c r="G267" i="1"/>
  <c r="H266" i="1"/>
  <c r="I266" i="1" s="1"/>
  <c r="G268" i="1" l="1"/>
  <c r="H267" i="1"/>
  <c r="I267" i="1" s="1"/>
  <c r="F290" i="1"/>
  <c r="G269" i="1" l="1"/>
  <c r="H268" i="1"/>
  <c r="I268" i="1" s="1"/>
  <c r="F291" i="1"/>
  <c r="G270" i="1" l="1"/>
  <c r="H269" i="1"/>
  <c r="I269" i="1" s="1"/>
  <c r="F292" i="1"/>
  <c r="G271" i="1" l="1"/>
  <c r="H270" i="1"/>
  <c r="I270" i="1" s="1"/>
  <c r="F293" i="1"/>
  <c r="G272" i="1" l="1"/>
  <c r="H271" i="1"/>
  <c r="I271" i="1" s="1"/>
  <c r="F294" i="1"/>
  <c r="G273" i="1" l="1"/>
  <c r="H272" i="1"/>
  <c r="I272" i="1" s="1"/>
  <c r="F295" i="1"/>
  <c r="F296" i="1" l="1"/>
  <c r="G274" i="1"/>
  <c r="H273" i="1"/>
  <c r="I273" i="1" s="1"/>
  <c r="F297" i="1" l="1"/>
  <c r="G275" i="1"/>
  <c r="H274" i="1"/>
  <c r="I274" i="1" s="1"/>
  <c r="G276" i="1" l="1"/>
  <c r="I275" i="1"/>
  <c r="H275" i="1"/>
  <c r="F298" i="1"/>
  <c r="F299" i="1" l="1"/>
  <c r="G277" i="1"/>
  <c r="H276" i="1"/>
  <c r="I276" i="1" s="1"/>
  <c r="F300" i="1" l="1"/>
  <c r="G278" i="1"/>
  <c r="H277" i="1"/>
  <c r="I277" i="1" s="1"/>
  <c r="G279" i="1" l="1"/>
  <c r="I278" i="1"/>
  <c r="H278" i="1"/>
  <c r="F301" i="1"/>
  <c r="F302" i="1" l="1"/>
  <c r="G280" i="1"/>
  <c r="H279" i="1"/>
  <c r="I279" i="1" s="1"/>
  <c r="F303" i="1" l="1"/>
  <c r="G281" i="1"/>
  <c r="H280" i="1"/>
  <c r="I280" i="1" s="1"/>
  <c r="F304" i="1" l="1"/>
  <c r="G282" i="1"/>
  <c r="H281" i="1"/>
  <c r="I281" i="1" s="1"/>
  <c r="F305" i="1" l="1"/>
  <c r="G283" i="1"/>
  <c r="H282" i="1"/>
  <c r="I282" i="1" s="1"/>
  <c r="F306" i="1" l="1"/>
  <c r="G284" i="1"/>
  <c r="H283" i="1"/>
  <c r="I283" i="1" s="1"/>
  <c r="F307" i="1" l="1"/>
  <c r="G285" i="1"/>
  <c r="H284" i="1"/>
  <c r="I284" i="1" s="1"/>
  <c r="G286" i="1" l="1"/>
  <c r="I285" i="1"/>
  <c r="H285" i="1"/>
  <c r="F308" i="1"/>
  <c r="F309" i="1" l="1"/>
  <c r="G287" i="1"/>
  <c r="H286" i="1"/>
  <c r="I286" i="1" s="1"/>
  <c r="G288" i="1" l="1"/>
  <c r="H287" i="1"/>
  <c r="I287" i="1" s="1"/>
  <c r="F310" i="1"/>
  <c r="G289" i="1" l="1"/>
  <c r="H288" i="1"/>
  <c r="I288" i="1" s="1"/>
  <c r="F311" i="1"/>
  <c r="F312" i="1" l="1"/>
  <c r="G290" i="1"/>
  <c r="H289" i="1"/>
  <c r="I289" i="1" s="1"/>
  <c r="G291" i="1" l="1"/>
  <c r="H290" i="1"/>
  <c r="I290" i="1" s="1"/>
  <c r="F313" i="1"/>
  <c r="F314" i="1" l="1"/>
  <c r="G292" i="1"/>
  <c r="H291" i="1"/>
  <c r="I291" i="1" s="1"/>
  <c r="G293" i="1" l="1"/>
  <c r="H292" i="1"/>
  <c r="I292" i="1" s="1"/>
  <c r="F315" i="1"/>
  <c r="F316" i="1" l="1"/>
  <c r="G294" i="1"/>
  <c r="H293" i="1"/>
  <c r="I293" i="1" s="1"/>
  <c r="F317" i="1" l="1"/>
  <c r="G295" i="1"/>
  <c r="H294" i="1"/>
  <c r="I294" i="1" s="1"/>
  <c r="G296" i="1" l="1"/>
  <c r="H295" i="1"/>
  <c r="I295" i="1" s="1"/>
  <c r="F318" i="1"/>
  <c r="F319" i="1" l="1"/>
  <c r="G297" i="1"/>
  <c r="H296" i="1"/>
  <c r="I296" i="1" s="1"/>
  <c r="G298" i="1" l="1"/>
  <c r="H297" i="1"/>
  <c r="I297" i="1" s="1"/>
  <c r="F320" i="1"/>
  <c r="F321" i="1" l="1"/>
  <c r="G299" i="1"/>
  <c r="H298" i="1"/>
  <c r="I298" i="1" s="1"/>
  <c r="G300" i="1" l="1"/>
  <c r="I299" i="1"/>
  <c r="H299" i="1"/>
  <c r="F322" i="1"/>
  <c r="G301" i="1" l="1"/>
  <c r="I300" i="1"/>
  <c r="H300" i="1"/>
  <c r="F323" i="1"/>
  <c r="G302" i="1" l="1"/>
  <c r="H301" i="1"/>
  <c r="I301" i="1" s="1"/>
  <c r="F324" i="1"/>
  <c r="F325" i="1" l="1"/>
  <c r="G303" i="1"/>
  <c r="H302" i="1"/>
  <c r="I302" i="1" s="1"/>
  <c r="F326" i="1" l="1"/>
  <c r="G304" i="1"/>
  <c r="H303" i="1"/>
  <c r="I303" i="1" s="1"/>
  <c r="G305" i="1" l="1"/>
  <c r="H304" i="1"/>
  <c r="I304" i="1" s="1"/>
  <c r="F327" i="1"/>
  <c r="F328" i="1" l="1"/>
  <c r="G306" i="1"/>
  <c r="H305" i="1"/>
  <c r="I305" i="1" s="1"/>
  <c r="G307" i="1" l="1"/>
  <c r="H306" i="1"/>
  <c r="I306" i="1" s="1"/>
  <c r="F329" i="1"/>
  <c r="F330" i="1" l="1"/>
  <c r="G308" i="1"/>
  <c r="H307" i="1"/>
  <c r="I307" i="1" s="1"/>
  <c r="G309" i="1" l="1"/>
  <c r="H308" i="1"/>
  <c r="I308" i="1" s="1"/>
  <c r="F331" i="1"/>
  <c r="F332" i="1" l="1"/>
  <c r="G310" i="1"/>
  <c r="H309" i="1"/>
  <c r="I309" i="1" s="1"/>
  <c r="F333" i="1" l="1"/>
  <c r="G311" i="1"/>
  <c r="H310" i="1"/>
  <c r="I310" i="1" s="1"/>
  <c r="F334" i="1" l="1"/>
  <c r="G312" i="1"/>
  <c r="H311" i="1"/>
  <c r="I311" i="1" s="1"/>
  <c r="F335" i="1" l="1"/>
  <c r="G313" i="1"/>
  <c r="H312" i="1"/>
  <c r="I312" i="1" s="1"/>
  <c r="F336" i="1" l="1"/>
  <c r="G314" i="1"/>
  <c r="H313" i="1"/>
  <c r="I313" i="1" s="1"/>
  <c r="F337" i="1" l="1"/>
  <c r="G315" i="1"/>
  <c r="H314" i="1"/>
  <c r="I314" i="1" s="1"/>
  <c r="G316" i="1" l="1"/>
  <c r="H315" i="1"/>
  <c r="I315" i="1" s="1"/>
  <c r="F338" i="1"/>
  <c r="F339" i="1" l="1"/>
  <c r="G317" i="1"/>
  <c r="H316" i="1"/>
  <c r="I316" i="1" s="1"/>
  <c r="F340" i="1" l="1"/>
  <c r="G318" i="1"/>
  <c r="I317" i="1"/>
  <c r="H317" i="1"/>
  <c r="G319" i="1" l="1"/>
  <c r="H318" i="1"/>
  <c r="I318" i="1" s="1"/>
  <c r="F341" i="1"/>
  <c r="G320" i="1" l="1"/>
  <c r="H319" i="1"/>
  <c r="I319" i="1" s="1"/>
  <c r="F342" i="1"/>
  <c r="F343" i="1" l="1"/>
  <c r="G321" i="1"/>
  <c r="H320" i="1"/>
  <c r="I320" i="1" s="1"/>
  <c r="G322" i="1" l="1"/>
  <c r="H321" i="1"/>
  <c r="I321" i="1" s="1"/>
  <c r="F344" i="1"/>
  <c r="F345" i="1" l="1"/>
  <c r="G323" i="1"/>
  <c r="H322" i="1"/>
  <c r="I322" i="1" s="1"/>
  <c r="G324" i="1" l="1"/>
  <c r="H323" i="1"/>
  <c r="I323" i="1" s="1"/>
  <c r="F346" i="1"/>
  <c r="F347" i="1" l="1"/>
  <c r="G325" i="1"/>
  <c r="H324" i="1"/>
  <c r="I324" i="1" s="1"/>
  <c r="G326" i="1" l="1"/>
  <c r="H325" i="1"/>
  <c r="I325" i="1" s="1"/>
  <c r="F348" i="1"/>
  <c r="F349" i="1" l="1"/>
  <c r="G327" i="1"/>
  <c r="H326" i="1"/>
  <c r="I326" i="1" s="1"/>
  <c r="G328" i="1" l="1"/>
  <c r="H327" i="1"/>
  <c r="I327" i="1" s="1"/>
  <c r="F350" i="1"/>
  <c r="F351" i="1" l="1"/>
  <c r="G329" i="1"/>
  <c r="H328" i="1"/>
  <c r="I328" i="1" s="1"/>
  <c r="G330" i="1" l="1"/>
  <c r="H329" i="1"/>
  <c r="I329" i="1" s="1"/>
  <c r="F352" i="1"/>
  <c r="F353" i="1" l="1"/>
  <c r="G331" i="1"/>
  <c r="H330" i="1"/>
  <c r="I330" i="1" s="1"/>
  <c r="G332" i="1" l="1"/>
  <c r="H331" i="1"/>
  <c r="I331" i="1" s="1"/>
  <c r="F354" i="1"/>
  <c r="F355" i="1" l="1"/>
  <c r="G333" i="1"/>
  <c r="H332" i="1"/>
  <c r="I332" i="1" s="1"/>
  <c r="G334" i="1" l="1"/>
  <c r="H333" i="1"/>
  <c r="I333" i="1" s="1"/>
  <c r="F356" i="1"/>
  <c r="F357" i="1" l="1"/>
  <c r="G335" i="1"/>
  <c r="H334" i="1"/>
  <c r="I334" i="1" s="1"/>
  <c r="G336" i="1" l="1"/>
  <c r="H335" i="1"/>
  <c r="I335" i="1" s="1"/>
  <c r="F358" i="1"/>
  <c r="F359" i="1" l="1"/>
  <c r="G337" i="1"/>
  <c r="H336" i="1"/>
  <c r="I336" i="1" s="1"/>
  <c r="G338" i="1" l="1"/>
  <c r="I337" i="1"/>
  <c r="H337" i="1"/>
  <c r="F360" i="1"/>
  <c r="F361" i="1" l="1"/>
  <c r="G339" i="1"/>
  <c r="H338" i="1"/>
  <c r="I338" i="1" s="1"/>
  <c r="F362" i="1" l="1"/>
  <c r="G340" i="1"/>
  <c r="H339" i="1"/>
  <c r="I339" i="1" s="1"/>
  <c r="G341" i="1" l="1"/>
  <c r="H340" i="1"/>
  <c r="I340" i="1" s="1"/>
  <c r="F363" i="1"/>
  <c r="F364" i="1" l="1"/>
  <c r="G342" i="1"/>
  <c r="H341" i="1"/>
  <c r="I341" i="1" s="1"/>
  <c r="G343" i="1" l="1"/>
  <c r="H342" i="1"/>
  <c r="I342" i="1" s="1"/>
  <c r="F365" i="1"/>
  <c r="F366" i="1" l="1"/>
  <c r="G344" i="1"/>
  <c r="H343" i="1"/>
  <c r="I343" i="1" s="1"/>
  <c r="G345" i="1" l="1"/>
  <c r="H344" i="1"/>
  <c r="I344" i="1" s="1"/>
  <c r="F367" i="1"/>
  <c r="F368" i="1" l="1"/>
  <c r="G346" i="1"/>
  <c r="H345" i="1"/>
  <c r="I345" i="1" s="1"/>
  <c r="G347" i="1" l="1"/>
  <c r="H346" i="1"/>
  <c r="I346" i="1" s="1"/>
  <c r="F369" i="1"/>
  <c r="G348" i="1" l="1"/>
  <c r="H347" i="1"/>
  <c r="I347" i="1" s="1"/>
  <c r="F370" i="1"/>
  <c r="F371" i="1" l="1"/>
  <c r="G349" i="1"/>
  <c r="H348" i="1"/>
  <c r="I348" i="1" s="1"/>
  <c r="G350" i="1" l="1"/>
  <c r="I349" i="1"/>
  <c r="H349" i="1"/>
  <c r="F372" i="1"/>
  <c r="F373" i="1" l="1"/>
  <c r="G351" i="1"/>
  <c r="H350" i="1"/>
  <c r="I350" i="1" s="1"/>
  <c r="G352" i="1" l="1"/>
  <c r="H351" i="1"/>
  <c r="I351" i="1" s="1"/>
  <c r="F374" i="1"/>
  <c r="F375" i="1" l="1"/>
  <c r="G353" i="1"/>
  <c r="H352" i="1"/>
  <c r="I352" i="1" s="1"/>
  <c r="F376" i="1" l="1"/>
  <c r="G354" i="1"/>
  <c r="H353" i="1"/>
  <c r="I353" i="1" s="1"/>
  <c r="G355" i="1" l="1"/>
  <c r="H354" i="1"/>
  <c r="I354" i="1" s="1"/>
  <c r="F377" i="1"/>
  <c r="F378" i="1" l="1"/>
  <c r="G356" i="1"/>
  <c r="H355" i="1"/>
  <c r="I355" i="1" s="1"/>
  <c r="G357" i="1" l="1"/>
  <c r="H356" i="1"/>
  <c r="I356" i="1" s="1"/>
  <c r="F379" i="1"/>
  <c r="G358" i="1" l="1"/>
  <c r="H357" i="1"/>
  <c r="I357" i="1" s="1"/>
  <c r="F380" i="1"/>
  <c r="F381" i="1" l="1"/>
  <c r="G359" i="1"/>
  <c r="H358" i="1"/>
  <c r="I358" i="1" s="1"/>
  <c r="G360" i="1" l="1"/>
  <c r="H359" i="1"/>
  <c r="I359" i="1" s="1"/>
  <c r="F382" i="1"/>
  <c r="F383" i="1" l="1"/>
  <c r="G361" i="1"/>
  <c r="I360" i="1"/>
  <c r="H360" i="1"/>
  <c r="F384" i="1" l="1"/>
  <c r="G362" i="1"/>
  <c r="H361" i="1"/>
  <c r="I361" i="1" s="1"/>
  <c r="G363" i="1" l="1"/>
  <c r="H362" i="1"/>
  <c r="I362" i="1" s="1"/>
  <c r="F385" i="1"/>
  <c r="F386" i="1" l="1"/>
  <c r="G364" i="1"/>
  <c r="H363" i="1"/>
  <c r="I363" i="1" s="1"/>
  <c r="G365" i="1" l="1"/>
  <c r="H364" i="1"/>
  <c r="I364" i="1" s="1"/>
  <c r="F387" i="1"/>
  <c r="F388" i="1" l="1"/>
  <c r="G366" i="1"/>
  <c r="H365" i="1"/>
  <c r="I365" i="1" s="1"/>
  <c r="G367" i="1" l="1"/>
  <c r="H366" i="1"/>
  <c r="I366" i="1" s="1"/>
  <c r="F389" i="1"/>
  <c r="F390" i="1" l="1"/>
  <c r="G368" i="1"/>
  <c r="H367" i="1"/>
  <c r="I367" i="1" s="1"/>
  <c r="G369" i="1" l="1"/>
  <c r="H368" i="1"/>
  <c r="I368" i="1" s="1"/>
  <c r="F391" i="1"/>
  <c r="F392" i="1" l="1"/>
  <c r="G370" i="1"/>
  <c r="H369" i="1"/>
  <c r="I369" i="1" s="1"/>
  <c r="F393" i="1" l="1"/>
  <c r="G371" i="1"/>
  <c r="I370" i="1"/>
  <c r="H370" i="1"/>
  <c r="F394" i="1" l="1"/>
  <c r="G372" i="1"/>
  <c r="H371" i="1"/>
  <c r="I371" i="1" s="1"/>
  <c r="F395" i="1" l="1"/>
  <c r="G373" i="1"/>
  <c r="H372" i="1"/>
  <c r="I372" i="1" s="1"/>
  <c r="F396" i="1" l="1"/>
  <c r="G374" i="1"/>
  <c r="H373" i="1"/>
  <c r="I373" i="1" s="1"/>
  <c r="G375" i="1" l="1"/>
  <c r="H374" i="1"/>
  <c r="I374" i="1" s="1"/>
  <c r="F397" i="1"/>
  <c r="F398" i="1" l="1"/>
  <c r="G376" i="1"/>
  <c r="H375" i="1"/>
  <c r="I375" i="1" s="1"/>
  <c r="F399" i="1" l="1"/>
  <c r="G377" i="1"/>
  <c r="H376" i="1"/>
  <c r="I376" i="1" s="1"/>
  <c r="F400" i="1" l="1"/>
  <c r="G378" i="1"/>
  <c r="H377" i="1"/>
  <c r="I377" i="1" s="1"/>
  <c r="F401" i="1" l="1"/>
  <c r="G379" i="1"/>
  <c r="H378" i="1"/>
  <c r="I378" i="1" s="1"/>
  <c r="F402" i="1" l="1"/>
  <c r="G380" i="1"/>
  <c r="H379" i="1"/>
  <c r="I379" i="1" s="1"/>
  <c r="F403" i="1" l="1"/>
  <c r="G381" i="1"/>
  <c r="H380" i="1"/>
  <c r="I380" i="1" s="1"/>
  <c r="G382" i="1" l="1"/>
  <c r="H381" i="1"/>
  <c r="I381" i="1" s="1"/>
  <c r="F404" i="1"/>
  <c r="F405" i="1" l="1"/>
  <c r="G383" i="1"/>
  <c r="H382" i="1"/>
  <c r="I382" i="1" s="1"/>
  <c r="G384" i="1" l="1"/>
  <c r="I383" i="1"/>
  <c r="H383" i="1"/>
  <c r="F406" i="1"/>
  <c r="F407" i="1" l="1"/>
  <c r="G385" i="1"/>
  <c r="I384" i="1"/>
  <c r="H384" i="1"/>
  <c r="F408" i="1" l="1"/>
  <c r="G386" i="1"/>
  <c r="H385" i="1"/>
  <c r="I385" i="1" s="1"/>
  <c r="F409" i="1" l="1"/>
  <c r="G387" i="1"/>
  <c r="H386" i="1"/>
  <c r="I386" i="1" s="1"/>
  <c r="F410" i="1" l="1"/>
  <c r="G388" i="1"/>
  <c r="H387" i="1"/>
  <c r="I387" i="1" s="1"/>
  <c r="F411" i="1" l="1"/>
  <c r="G389" i="1"/>
  <c r="H388" i="1"/>
  <c r="I388" i="1" s="1"/>
  <c r="F412" i="1" l="1"/>
  <c r="G390" i="1"/>
  <c r="H389" i="1"/>
  <c r="I389" i="1" s="1"/>
  <c r="G391" i="1" l="1"/>
  <c r="H390" i="1"/>
  <c r="I390" i="1" s="1"/>
  <c r="F413" i="1"/>
  <c r="G392" i="1" l="1"/>
  <c r="H391" i="1"/>
  <c r="I391" i="1" s="1"/>
  <c r="F414" i="1"/>
  <c r="F415" i="1" l="1"/>
  <c r="G393" i="1"/>
  <c r="H392" i="1"/>
  <c r="I392" i="1" s="1"/>
  <c r="F416" i="1" l="1"/>
  <c r="G394" i="1"/>
  <c r="H393" i="1"/>
  <c r="I393" i="1" s="1"/>
  <c r="F417" i="1" l="1"/>
  <c r="G395" i="1"/>
  <c r="I394" i="1"/>
  <c r="H394" i="1"/>
  <c r="G396" i="1" l="1"/>
  <c r="H395" i="1"/>
  <c r="I395" i="1" s="1"/>
  <c r="F418" i="1"/>
  <c r="F419" i="1" l="1"/>
  <c r="G397" i="1"/>
  <c r="I396" i="1"/>
  <c r="H396" i="1"/>
  <c r="F420" i="1" l="1"/>
  <c r="G398" i="1"/>
  <c r="I397" i="1"/>
  <c r="H397" i="1"/>
  <c r="F421" i="1" l="1"/>
  <c r="G399" i="1"/>
  <c r="H398" i="1"/>
  <c r="I398" i="1" s="1"/>
  <c r="G400" i="1" l="1"/>
  <c r="H399" i="1"/>
  <c r="I399" i="1" s="1"/>
  <c r="F422" i="1"/>
  <c r="F423" i="1" l="1"/>
  <c r="G401" i="1"/>
  <c r="H400" i="1"/>
  <c r="I400" i="1" s="1"/>
  <c r="G402" i="1" l="1"/>
  <c r="H401" i="1"/>
  <c r="I401" i="1" s="1"/>
  <c r="F424" i="1"/>
  <c r="F425" i="1" l="1"/>
  <c r="G403" i="1"/>
  <c r="I402" i="1"/>
  <c r="H402" i="1"/>
  <c r="F426" i="1" l="1"/>
  <c r="G404" i="1"/>
  <c r="H403" i="1"/>
  <c r="I403" i="1" s="1"/>
  <c r="F427" i="1" l="1"/>
  <c r="G405" i="1"/>
  <c r="H404" i="1"/>
  <c r="I404" i="1" s="1"/>
  <c r="G406" i="1" l="1"/>
  <c r="H405" i="1"/>
  <c r="I405" i="1" s="1"/>
  <c r="F428" i="1"/>
  <c r="F429" i="1" l="1"/>
  <c r="G407" i="1"/>
  <c r="I406" i="1"/>
  <c r="H406" i="1"/>
  <c r="G408" i="1" l="1"/>
  <c r="H407" i="1"/>
  <c r="I407" i="1" s="1"/>
  <c r="F430" i="1"/>
  <c r="F431" i="1" l="1"/>
  <c r="G409" i="1"/>
  <c r="H408" i="1"/>
  <c r="I408" i="1" s="1"/>
  <c r="G410" i="1" l="1"/>
  <c r="H409" i="1"/>
  <c r="I409" i="1" s="1"/>
  <c r="F432" i="1"/>
  <c r="G411" i="1" l="1"/>
  <c r="H410" i="1"/>
  <c r="I410" i="1" s="1"/>
  <c r="F433" i="1"/>
  <c r="G412" i="1" l="1"/>
  <c r="H411" i="1"/>
  <c r="I411" i="1" s="1"/>
  <c r="F434" i="1"/>
  <c r="F435" i="1" l="1"/>
  <c r="G413" i="1"/>
  <c r="H412" i="1"/>
  <c r="I412" i="1" s="1"/>
  <c r="G414" i="1" l="1"/>
  <c r="H413" i="1"/>
  <c r="I413" i="1" s="1"/>
  <c r="F436" i="1"/>
  <c r="G415" i="1" l="1"/>
  <c r="H414" i="1"/>
  <c r="I414" i="1" s="1"/>
  <c r="F437" i="1"/>
  <c r="G416" i="1" l="1"/>
  <c r="H415" i="1"/>
  <c r="I415" i="1" s="1"/>
  <c r="F438" i="1"/>
  <c r="G417" i="1" l="1"/>
  <c r="H416" i="1"/>
  <c r="I416" i="1" s="1"/>
  <c r="F439" i="1"/>
  <c r="F440" i="1" l="1"/>
  <c r="G418" i="1"/>
  <c r="H417" i="1"/>
  <c r="I417" i="1" s="1"/>
  <c r="G419" i="1" l="1"/>
  <c r="H418" i="1"/>
  <c r="I418" i="1" s="1"/>
  <c r="F441" i="1"/>
  <c r="F442" i="1" l="1"/>
  <c r="G420" i="1"/>
  <c r="I419" i="1"/>
  <c r="H419" i="1"/>
  <c r="G421" i="1" l="1"/>
  <c r="H420" i="1"/>
  <c r="I420" i="1" s="1"/>
  <c r="F443" i="1"/>
  <c r="F444" i="1" l="1"/>
  <c r="G422" i="1"/>
  <c r="H421" i="1"/>
  <c r="I421" i="1" s="1"/>
  <c r="F445" i="1" l="1"/>
  <c r="G423" i="1"/>
  <c r="H422" i="1"/>
  <c r="I422" i="1" s="1"/>
  <c r="G424" i="1" l="1"/>
  <c r="H423" i="1"/>
  <c r="I423" i="1" s="1"/>
  <c r="F446" i="1"/>
  <c r="F447" i="1" l="1"/>
  <c r="G425" i="1"/>
  <c r="H424" i="1"/>
  <c r="I424" i="1" s="1"/>
  <c r="G426" i="1" l="1"/>
  <c r="H425" i="1"/>
  <c r="I425" i="1" s="1"/>
  <c r="F448" i="1"/>
  <c r="F449" i="1" l="1"/>
  <c r="G427" i="1"/>
  <c r="H426" i="1"/>
  <c r="I426" i="1" s="1"/>
  <c r="G428" i="1" l="1"/>
  <c r="I427" i="1"/>
  <c r="H427" i="1"/>
  <c r="F450" i="1"/>
  <c r="F451" i="1" l="1"/>
  <c r="G429" i="1"/>
  <c r="H428" i="1"/>
  <c r="I428" i="1" s="1"/>
  <c r="G430" i="1" l="1"/>
  <c r="H429" i="1"/>
  <c r="I429" i="1" s="1"/>
  <c r="F452" i="1"/>
  <c r="F453" i="1" l="1"/>
  <c r="G431" i="1"/>
  <c r="H430" i="1"/>
  <c r="I430" i="1" s="1"/>
  <c r="G432" i="1" l="1"/>
  <c r="H431" i="1"/>
  <c r="I431" i="1" s="1"/>
  <c r="F454" i="1"/>
  <c r="G433" i="1" l="1"/>
  <c r="H432" i="1"/>
  <c r="I432" i="1" s="1"/>
  <c r="F455" i="1"/>
  <c r="F456" i="1" l="1"/>
  <c r="G434" i="1"/>
  <c r="H433" i="1"/>
  <c r="I433" i="1" s="1"/>
  <c r="F457" i="1" l="1"/>
  <c r="G435" i="1"/>
  <c r="I434" i="1"/>
  <c r="H434" i="1"/>
  <c r="F458" i="1" l="1"/>
  <c r="G436" i="1"/>
  <c r="H435" i="1"/>
  <c r="I435" i="1" s="1"/>
  <c r="G437" i="1" l="1"/>
  <c r="H436" i="1"/>
  <c r="I436" i="1" s="1"/>
  <c r="F459" i="1"/>
  <c r="F460" i="1" l="1"/>
  <c r="G438" i="1"/>
  <c r="I437" i="1"/>
  <c r="H437" i="1"/>
  <c r="F461" i="1" l="1"/>
  <c r="G439" i="1"/>
  <c r="H438" i="1"/>
  <c r="I438" i="1" s="1"/>
  <c r="G440" i="1" l="1"/>
  <c r="H439" i="1"/>
  <c r="I439" i="1" s="1"/>
  <c r="F462" i="1"/>
  <c r="F463" i="1" l="1"/>
  <c r="G441" i="1"/>
  <c r="H440" i="1"/>
  <c r="I440" i="1" s="1"/>
  <c r="F464" i="1" l="1"/>
  <c r="G442" i="1"/>
  <c r="H441" i="1"/>
  <c r="I441" i="1" s="1"/>
  <c r="G443" i="1" l="1"/>
  <c r="H442" i="1"/>
  <c r="I442" i="1" s="1"/>
  <c r="G444" i="1" l="1"/>
  <c r="H443" i="1"/>
  <c r="I443" i="1" s="1"/>
  <c r="G445" i="1" l="1"/>
  <c r="H444" i="1"/>
  <c r="I444" i="1" s="1"/>
  <c r="G446" i="1" l="1"/>
  <c r="H445" i="1"/>
  <c r="I445" i="1" s="1"/>
  <c r="G447" i="1" l="1"/>
  <c r="I446" i="1"/>
  <c r="H446" i="1"/>
  <c r="G448" i="1" l="1"/>
  <c r="H447" i="1"/>
  <c r="I447" i="1" s="1"/>
  <c r="G449" i="1" l="1"/>
  <c r="H448" i="1"/>
  <c r="I448" i="1" s="1"/>
  <c r="G450" i="1" l="1"/>
  <c r="H449" i="1"/>
  <c r="I449" i="1" s="1"/>
  <c r="G451" i="1" l="1"/>
  <c r="I450" i="1"/>
  <c r="H450" i="1"/>
  <c r="G452" i="1" l="1"/>
  <c r="H451" i="1"/>
  <c r="I451" i="1" s="1"/>
  <c r="G453" i="1" l="1"/>
  <c r="H452" i="1"/>
  <c r="I452" i="1" s="1"/>
  <c r="G454" i="1" l="1"/>
  <c r="H453" i="1"/>
  <c r="I453" i="1" s="1"/>
  <c r="G455" i="1" l="1"/>
  <c r="H454" i="1"/>
  <c r="I454" i="1" s="1"/>
  <c r="G456" i="1" l="1"/>
  <c r="H455" i="1"/>
  <c r="I455" i="1" s="1"/>
  <c r="G457" i="1" l="1"/>
  <c r="H456" i="1"/>
  <c r="I456" i="1" s="1"/>
  <c r="G458" i="1" l="1"/>
  <c r="H457" i="1"/>
  <c r="I457" i="1" s="1"/>
  <c r="G459" i="1" l="1"/>
  <c r="I458" i="1"/>
  <c r="H458" i="1"/>
  <c r="G460" i="1" l="1"/>
  <c r="I459" i="1"/>
  <c r="H459" i="1"/>
  <c r="G461" i="1" l="1"/>
  <c r="H460" i="1"/>
  <c r="I460" i="1" s="1"/>
  <c r="G462" i="1" l="1"/>
  <c r="H461" i="1"/>
  <c r="I461" i="1" s="1"/>
  <c r="G463" i="1" l="1"/>
  <c r="H462" i="1"/>
  <c r="I462" i="1" s="1"/>
  <c r="G464" i="1" l="1"/>
  <c r="I463" i="1"/>
  <c r="H463" i="1"/>
  <c r="H464" i="1" l="1"/>
  <c r="I464" i="1" s="1"/>
</calcChain>
</file>

<file path=xl/sharedStrings.xml><?xml version="1.0" encoding="utf-8"?>
<sst xmlns="http://schemas.openxmlformats.org/spreadsheetml/2006/main" count="709" uniqueCount="359">
  <si>
    <t>Gain</t>
  </si>
  <si>
    <t xml:space="preserve">Loss </t>
  </si>
  <si>
    <t>RS</t>
  </si>
  <si>
    <t>Change</t>
  </si>
  <si>
    <t>Date</t>
  </si>
  <si>
    <t>Avg Gain</t>
  </si>
  <si>
    <t>Avg Loss</t>
  </si>
  <si>
    <t xml:space="preserve"> Close</t>
  </si>
  <si>
    <t>http://investexcel.net</t>
  </si>
  <si>
    <t>Relative Strength Index</t>
  </si>
  <si>
    <t>14-Day RSI</t>
  </si>
  <si>
    <t>1/1/1871</t>
  </si>
  <si>
    <t>2/1/1871</t>
  </si>
  <si>
    <t>3/1/1871</t>
  </si>
  <si>
    <t>4/1/1871</t>
  </si>
  <si>
    <t>5/1/1871</t>
  </si>
  <si>
    <t>6/1/1871</t>
  </si>
  <si>
    <t>7/1/1871</t>
  </si>
  <si>
    <t>8/1/1871</t>
  </si>
  <si>
    <t>9/1/1871</t>
  </si>
  <si>
    <t>10/1/1871</t>
  </si>
  <si>
    <t>11/1/1871</t>
  </si>
  <si>
    <t>12/1/1871</t>
  </si>
  <si>
    <t>1/1/1872</t>
  </si>
  <si>
    <t>2/1/1872</t>
  </si>
  <si>
    <t>3/1/1872</t>
  </si>
  <si>
    <t>4/1/1872</t>
  </si>
  <si>
    <t>5/1/1872</t>
  </si>
  <si>
    <t>6/1/1872</t>
  </si>
  <si>
    <t>7/1/1872</t>
  </si>
  <si>
    <t>8/1/1872</t>
  </si>
  <si>
    <t>9/1/1872</t>
  </si>
  <si>
    <t>10/1/1872</t>
  </si>
  <si>
    <t>11/1/1872</t>
  </si>
  <si>
    <t>12/1/1872</t>
  </si>
  <si>
    <t>1/1/1873</t>
  </si>
  <si>
    <t>2/1/1873</t>
  </si>
  <si>
    <t>3/1/1873</t>
  </si>
  <si>
    <t>4/1/1873</t>
  </si>
  <si>
    <t>5/1/1873</t>
  </si>
  <si>
    <t>6/1/1873</t>
  </si>
  <si>
    <t>7/1/1873</t>
  </si>
  <si>
    <t>8/1/1873</t>
  </si>
  <si>
    <t>9/1/1873</t>
  </si>
  <si>
    <t>10/1/1873</t>
  </si>
  <si>
    <t>11/1/1873</t>
  </si>
  <si>
    <t>12/1/1873</t>
  </si>
  <si>
    <t>1/1/1874</t>
  </si>
  <si>
    <t>2/1/1874</t>
  </si>
  <si>
    <t>3/1/1874</t>
  </si>
  <si>
    <t>4/1/1874</t>
  </si>
  <si>
    <t>5/1/1874</t>
  </si>
  <si>
    <t>6/1/1874</t>
  </si>
  <si>
    <t>7/1/1874</t>
  </si>
  <si>
    <t>8/1/1874</t>
  </si>
  <si>
    <t>9/1/1874</t>
  </si>
  <si>
    <t>10/1/1874</t>
  </si>
  <si>
    <t>11/1/1874</t>
  </si>
  <si>
    <t>12/1/1874</t>
  </si>
  <si>
    <t>1/1/1875</t>
  </si>
  <si>
    <t>2/1/1875</t>
  </si>
  <si>
    <t>3/1/1875</t>
  </si>
  <si>
    <t>4/1/1875</t>
  </si>
  <si>
    <t>5/1/1875</t>
  </si>
  <si>
    <t>6/1/1875</t>
  </si>
  <si>
    <t>7/1/1875</t>
  </si>
  <si>
    <t>8/1/1875</t>
  </si>
  <si>
    <t>9/1/1875</t>
  </si>
  <si>
    <t>10/1/1875</t>
  </si>
  <si>
    <t>11/1/1875</t>
  </si>
  <si>
    <t>12/1/1875</t>
  </si>
  <si>
    <t>1/1/1876</t>
  </si>
  <si>
    <t>2/1/1876</t>
  </si>
  <si>
    <t>3/1/1876</t>
  </si>
  <si>
    <t>4/1/1876</t>
  </si>
  <si>
    <t>5/1/1876</t>
  </si>
  <si>
    <t>6/1/1876</t>
  </si>
  <si>
    <t>7/1/1876</t>
  </si>
  <si>
    <t>8/1/1876</t>
  </si>
  <si>
    <t>9/1/1876</t>
  </si>
  <si>
    <t>10/1/1876</t>
  </si>
  <si>
    <t>11/1/1876</t>
  </si>
  <si>
    <t>12/1/1876</t>
  </si>
  <si>
    <t>1/1/1877</t>
  </si>
  <si>
    <t>2/1/1877</t>
  </si>
  <si>
    <t>3/1/1877</t>
  </si>
  <si>
    <t>4/1/1877</t>
  </si>
  <si>
    <t>5/1/1877</t>
  </si>
  <si>
    <t>6/1/1877</t>
  </si>
  <si>
    <t>7/1/1877</t>
  </si>
  <si>
    <t>8/1/1877</t>
  </si>
  <si>
    <t>9/1/1877</t>
  </si>
  <si>
    <t>10/1/1877</t>
  </si>
  <si>
    <t>11/1/1877</t>
  </si>
  <si>
    <t>12/1/1877</t>
  </si>
  <si>
    <t>1/1/1878</t>
  </si>
  <si>
    <t>2/1/1878</t>
  </si>
  <si>
    <t>3/1/1878</t>
  </si>
  <si>
    <t>4/1/1878</t>
  </si>
  <si>
    <t>5/1/1878</t>
  </si>
  <si>
    <t>6/1/1878</t>
  </si>
  <si>
    <t>7/1/1878</t>
  </si>
  <si>
    <t>8/1/1878</t>
  </si>
  <si>
    <t>9/1/1878</t>
  </si>
  <si>
    <t>10/1/1878</t>
  </si>
  <si>
    <t>11/1/1878</t>
  </si>
  <si>
    <t>12/1/1878</t>
  </si>
  <si>
    <t>1/1/1879</t>
  </si>
  <si>
    <t>2/1/1879</t>
  </si>
  <si>
    <t>3/1/1879</t>
  </si>
  <si>
    <t>4/1/1879</t>
  </si>
  <si>
    <t>5/1/1879</t>
  </si>
  <si>
    <t>6/1/1879</t>
  </si>
  <si>
    <t>7/1/1879</t>
  </si>
  <si>
    <t>8/1/1879</t>
  </si>
  <si>
    <t>9/1/1879</t>
  </si>
  <si>
    <t>10/1/1879</t>
  </si>
  <si>
    <t>11/1/1879</t>
  </si>
  <si>
    <t>12/1/1879</t>
  </si>
  <si>
    <t>1/1/1880</t>
  </si>
  <si>
    <t>2/1/1880</t>
  </si>
  <si>
    <t>3/1/1880</t>
  </si>
  <si>
    <t>4/1/1880</t>
  </si>
  <si>
    <t>5/1/1880</t>
  </si>
  <si>
    <t>6/1/1880</t>
  </si>
  <si>
    <t>7/1/1880</t>
  </si>
  <si>
    <t>8/1/1880</t>
  </si>
  <si>
    <t>9/1/1880</t>
  </si>
  <si>
    <t>10/1/1880</t>
  </si>
  <si>
    <t>11/1/1880</t>
  </si>
  <si>
    <t>12/1/1880</t>
  </si>
  <si>
    <t>1/1/1881</t>
  </si>
  <si>
    <t>2/1/1881</t>
  </si>
  <si>
    <t>3/1/1881</t>
  </si>
  <si>
    <t>4/1/1881</t>
  </si>
  <si>
    <t>5/1/1881</t>
  </si>
  <si>
    <t>6/1/1881</t>
  </si>
  <si>
    <t>7/1/1881</t>
  </si>
  <si>
    <t>8/1/1881</t>
  </si>
  <si>
    <t>9/1/1881</t>
  </si>
  <si>
    <t>10/1/1881</t>
  </si>
  <si>
    <t>11/1/1881</t>
  </si>
  <si>
    <t>12/1/1881</t>
  </si>
  <si>
    <t>1/1/1882</t>
  </si>
  <si>
    <t>2/1/1882</t>
  </si>
  <si>
    <t>3/1/1882</t>
  </si>
  <si>
    <t>4/1/1882</t>
  </si>
  <si>
    <t>5/1/1882</t>
  </si>
  <si>
    <t>6/1/1882</t>
  </si>
  <si>
    <t>7/1/1882</t>
  </si>
  <si>
    <t>8/1/1882</t>
  </si>
  <si>
    <t>9/1/1882</t>
  </si>
  <si>
    <t>10/1/1882</t>
  </si>
  <si>
    <t>11/1/1882</t>
  </si>
  <si>
    <t>12/1/1882</t>
  </si>
  <si>
    <t>1/1/1883</t>
  </si>
  <si>
    <t>2/1/1883</t>
  </si>
  <si>
    <t>3/1/1883</t>
  </si>
  <si>
    <t>4/1/1883</t>
  </si>
  <si>
    <t>5/1/1883</t>
  </si>
  <si>
    <t>6/1/1883</t>
  </si>
  <si>
    <t>7/1/1883</t>
  </si>
  <si>
    <t>8/1/1883</t>
  </si>
  <si>
    <t>9/1/1883</t>
  </si>
  <si>
    <t>10/1/1883</t>
  </si>
  <si>
    <t>11/1/1883</t>
  </si>
  <si>
    <t>12/1/1883</t>
  </si>
  <si>
    <t>1/1/1884</t>
  </si>
  <si>
    <t>2/1/1884</t>
  </si>
  <si>
    <t>3/1/1884</t>
  </si>
  <si>
    <t>4/1/1884</t>
  </si>
  <si>
    <t>5/1/1884</t>
  </si>
  <si>
    <t>6/1/1884</t>
  </si>
  <si>
    <t>7/1/1884</t>
  </si>
  <si>
    <t>8/1/1884</t>
  </si>
  <si>
    <t>9/1/1884</t>
  </si>
  <si>
    <t>10/1/1884</t>
  </si>
  <si>
    <t>11/1/1884</t>
  </si>
  <si>
    <t>12/1/1884</t>
  </si>
  <si>
    <t>1/1/1885</t>
  </si>
  <si>
    <t>2/1/1885</t>
  </si>
  <si>
    <t>3/1/1885</t>
  </si>
  <si>
    <t>4/1/1885</t>
  </si>
  <si>
    <t>5/1/1885</t>
  </si>
  <si>
    <t>6/1/1885</t>
  </si>
  <si>
    <t>7/1/1885</t>
  </si>
  <si>
    <t>8/1/1885</t>
  </si>
  <si>
    <t>9/1/1885</t>
  </si>
  <si>
    <t>10/1/1885</t>
  </si>
  <si>
    <t>11/1/1885</t>
  </si>
  <si>
    <t>12/1/1885</t>
  </si>
  <si>
    <t>1/1/1886</t>
  </si>
  <si>
    <t>2/1/1886</t>
  </si>
  <si>
    <t>3/1/1886</t>
  </si>
  <si>
    <t>4/1/1886</t>
  </si>
  <si>
    <t>5/1/1886</t>
  </si>
  <si>
    <t>6/1/1886</t>
  </si>
  <si>
    <t>7/1/1886</t>
  </si>
  <si>
    <t>8/1/1886</t>
  </si>
  <si>
    <t>9/1/1886</t>
  </si>
  <si>
    <t>10/1/1886</t>
  </si>
  <si>
    <t>11/1/1886</t>
  </si>
  <si>
    <t>12/1/1886</t>
  </si>
  <si>
    <t>1/1/1887</t>
  </si>
  <si>
    <t>2/1/1887</t>
  </si>
  <si>
    <t>3/1/1887</t>
  </si>
  <si>
    <t>4/1/1887</t>
  </si>
  <si>
    <t>5/1/1887</t>
  </si>
  <si>
    <t>6/1/1887</t>
  </si>
  <si>
    <t>7/1/1887</t>
  </si>
  <si>
    <t>8/1/1887</t>
  </si>
  <si>
    <t>9/1/1887</t>
  </si>
  <si>
    <t>10/1/1887</t>
  </si>
  <si>
    <t>11/1/1887</t>
  </si>
  <si>
    <t>12/1/1887</t>
  </si>
  <si>
    <t>1/1/1888</t>
  </si>
  <si>
    <t>2/1/1888</t>
  </si>
  <si>
    <t>3/1/1888</t>
  </si>
  <si>
    <t>4/1/1888</t>
  </si>
  <si>
    <t>5/1/1888</t>
  </si>
  <si>
    <t>6/1/1888</t>
  </si>
  <si>
    <t>7/1/1888</t>
  </si>
  <si>
    <t>8/1/1888</t>
  </si>
  <si>
    <t>9/1/1888</t>
  </si>
  <si>
    <t>10/1/1888</t>
  </si>
  <si>
    <t>11/1/1888</t>
  </si>
  <si>
    <t>12/1/1888</t>
  </si>
  <si>
    <t>1/1/1889</t>
  </si>
  <si>
    <t>2/1/1889</t>
  </si>
  <si>
    <t>3/1/1889</t>
  </si>
  <si>
    <t>4/1/1889</t>
  </si>
  <si>
    <t>5/1/1889</t>
  </si>
  <si>
    <t>6/1/1889</t>
  </si>
  <si>
    <t>7/1/1889</t>
  </si>
  <si>
    <t>8/1/1889</t>
  </si>
  <si>
    <t>9/1/1889</t>
  </si>
  <si>
    <t>10/1/1889</t>
  </si>
  <si>
    <t>11/1/1889</t>
  </si>
  <si>
    <t>12/1/1889</t>
  </si>
  <si>
    <t>1/1/1890</t>
  </si>
  <si>
    <t>2/1/1890</t>
  </si>
  <si>
    <t>3/1/1890</t>
  </si>
  <si>
    <t>4/1/1890</t>
  </si>
  <si>
    <t>5/1/1890</t>
  </si>
  <si>
    <t>6/1/1890</t>
  </si>
  <si>
    <t>7/1/1890</t>
  </si>
  <si>
    <t>8/1/1890</t>
  </si>
  <si>
    <t>9/1/1890</t>
  </si>
  <si>
    <t>10/1/1890</t>
  </si>
  <si>
    <t>11/1/1890</t>
  </si>
  <si>
    <t>12/1/1890</t>
  </si>
  <si>
    <t>1/1/1891</t>
  </si>
  <si>
    <t>2/1/1891</t>
  </si>
  <si>
    <t>3/1/1891</t>
  </si>
  <si>
    <t>4/1/1891</t>
  </si>
  <si>
    <t>5/1/1891</t>
  </si>
  <si>
    <t>6/1/1891</t>
  </si>
  <si>
    <t>7/1/1891</t>
  </si>
  <si>
    <t>8/1/1891</t>
  </si>
  <si>
    <t>9/1/1891</t>
  </si>
  <si>
    <t>10/1/1891</t>
  </si>
  <si>
    <t>11/1/1891</t>
  </si>
  <si>
    <t>12/1/1891</t>
  </si>
  <si>
    <t>1/1/1892</t>
  </si>
  <si>
    <t>2/1/1892</t>
  </si>
  <si>
    <t>3/1/1892</t>
  </si>
  <si>
    <t>4/1/1892</t>
  </si>
  <si>
    <t>5/1/1892</t>
  </si>
  <si>
    <t>6/1/1892</t>
  </si>
  <si>
    <t>7/1/1892</t>
  </si>
  <si>
    <t>8/1/1892</t>
  </si>
  <si>
    <t>9/1/1892</t>
  </si>
  <si>
    <t>10/1/1892</t>
  </si>
  <si>
    <t>11/1/1892</t>
  </si>
  <si>
    <t>12/1/1892</t>
  </si>
  <si>
    <t>1/1/1893</t>
  </si>
  <si>
    <t>2/1/1893</t>
  </si>
  <si>
    <t>3/1/1893</t>
  </si>
  <si>
    <t>4/1/1893</t>
  </si>
  <si>
    <t>5/1/1893</t>
  </si>
  <si>
    <t>6/1/1893</t>
  </si>
  <si>
    <t>7/1/1893</t>
  </si>
  <si>
    <t>8/1/1893</t>
  </si>
  <si>
    <t>9/1/1893</t>
  </si>
  <si>
    <t>10/1/1893</t>
  </si>
  <si>
    <t>11/1/1893</t>
  </si>
  <si>
    <t>12/1/1893</t>
  </si>
  <si>
    <t>1/1/1894</t>
  </si>
  <si>
    <t>2/1/1894</t>
  </si>
  <si>
    <t>3/1/1894</t>
  </si>
  <si>
    <t>4/1/1894</t>
  </si>
  <si>
    <t>5/1/1894</t>
  </si>
  <si>
    <t>6/1/1894</t>
  </si>
  <si>
    <t>7/1/1894</t>
  </si>
  <si>
    <t>8/1/1894</t>
  </si>
  <si>
    <t>9/1/1894</t>
  </si>
  <si>
    <t>10/1/1894</t>
  </si>
  <si>
    <t>11/1/1894</t>
  </si>
  <si>
    <t>12/1/1894</t>
  </si>
  <si>
    <t>1/1/1895</t>
  </si>
  <si>
    <t>2/1/1895</t>
  </si>
  <si>
    <t>3/1/1895</t>
  </si>
  <si>
    <t>4/1/1895</t>
  </si>
  <si>
    <t>5/1/1895</t>
  </si>
  <si>
    <t>6/1/1895</t>
  </si>
  <si>
    <t>7/1/1895</t>
  </si>
  <si>
    <t>8/1/1895</t>
  </si>
  <si>
    <t>9/1/1895</t>
  </si>
  <si>
    <t>10/1/1895</t>
  </si>
  <si>
    <t>11/1/1895</t>
  </si>
  <si>
    <t>12/1/1895</t>
  </si>
  <si>
    <t>1/1/1896</t>
  </si>
  <si>
    <t>2/1/1896</t>
  </si>
  <si>
    <t>3/1/1896</t>
  </si>
  <si>
    <t>4/1/1896</t>
  </si>
  <si>
    <t>5/1/1896</t>
  </si>
  <si>
    <t>6/1/1896</t>
  </si>
  <si>
    <t>7/1/1896</t>
  </si>
  <si>
    <t>8/1/1896</t>
  </si>
  <si>
    <t>9/1/1896</t>
  </si>
  <si>
    <t>10/1/1896</t>
  </si>
  <si>
    <t>11/1/1896</t>
  </si>
  <si>
    <t>12/1/1896</t>
  </si>
  <si>
    <t>1/1/1897</t>
  </si>
  <si>
    <t>2/1/1897</t>
  </si>
  <si>
    <t>3/1/1897</t>
  </si>
  <si>
    <t>4/1/1897</t>
  </si>
  <si>
    <t>5/1/1897</t>
  </si>
  <si>
    <t>6/1/1897</t>
  </si>
  <si>
    <t>7/1/1897</t>
  </si>
  <si>
    <t>8/1/1897</t>
  </si>
  <si>
    <t>9/1/1897</t>
  </si>
  <si>
    <t>10/1/1897</t>
  </si>
  <si>
    <t>11/1/1897</t>
  </si>
  <si>
    <t>12/1/1897</t>
  </si>
  <si>
    <t>1/1/1898</t>
  </si>
  <si>
    <t>2/1/1898</t>
  </si>
  <si>
    <t>3/1/1898</t>
  </si>
  <si>
    <t>4/1/1898</t>
  </si>
  <si>
    <t>5/1/1898</t>
  </si>
  <si>
    <t>6/1/1898</t>
  </si>
  <si>
    <t>7/1/1898</t>
  </si>
  <si>
    <t>8/1/1898</t>
  </si>
  <si>
    <t>9/1/1898</t>
  </si>
  <si>
    <t>10/1/1898</t>
  </si>
  <si>
    <t>11/1/1898</t>
  </si>
  <si>
    <t>12/1/1898</t>
  </si>
  <si>
    <t>1/1/1899</t>
  </si>
  <si>
    <t>2/1/1899</t>
  </si>
  <si>
    <t>3/1/1899</t>
  </si>
  <si>
    <t>4/1/1899</t>
  </si>
  <si>
    <t>5/1/1899</t>
  </si>
  <si>
    <t>6/1/1899</t>
  </si>
  <si>
    <t>7/1/1899</t>
  </si>
  <si>
    <t>8/1/1899</t>
  </si>
  <si>
    <t>9/1/1899</t>
  </si>
  <si>
    <t>10/1/1899</t>
  </si>
  <si>
    <t>11/1/1899</t>
  </si>
  <si>
    <t>12/1/1899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</si>
</sst>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"/>
    <numFmt numFmtId="165" formatCode="0.0000"/>
    <numFmt numFmtId="167" formatCode="mm/dd/yyyy"/>
  </numFmts>
  <fonts count="11">
    <font>
      <sz val="10"/>
      <name val="Arial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3"/>
      <name val="Calibri"/>
      <family val="2"/>
      <scheme val="minor"/>
    </font>
    <font>
      <u/>
      <sz val="11"/>
      <color rgb="FF3333FF"/>
      <name val="Calibri"/>
      <family val="2"/>
      <scheme val="minor"/>
    </font>
    <font>
      <sz val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3" fillId="0" borderId="0"/>
    <xf numFmtId="0" fontId="10" fillId="0" borderId="0">
      <alignment vertical="center"/>
    </xf>
    <xf numFmtId="0" fontId="7" fillId="0" borderId="0" applyNumberFormat="0" applyFill="0" applyBorder="0" applyAlignment="0" applyProtection="0"/>
  </cellStyleXfs>
  <cellXfs count="16">
    <xf numFmtId="0" fontId="0" fillId="0" borderId="0" xfId="0"/>
    <xf numFmtId="2" fontId="4" fillId="0" borderId="0" xfId="0" applyNumberFormat="1" applyFont="1" applyAlignment="1">
      <alignment vertical="center" wrapText="1"/>
    </xf>
    <xf numFmtId="0" fontId="4" fillId="0" borderId="0" xfId="0" applyFont="1"/>
    <xf numFmtId="2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64" fontId="4" fillId="0" borderId="0" xfId="0" applyNumberFormat="1" applyFont="1" applyAlignment="1">
      <alignment horizontal="right"/>
    </xf>
    <xf numFmtId="0" fontId="5" fillId="0" borderId="0" xfId="0" applyFont="1"/>
    <xf numFmtId="165" fontId="4" fillId="0" borderId="0" xfId="0" applyNumberFormat="1" applyFont="1"/>
    <xf numFmtId="2" fontId="8" fillId="2" borderId="2" xfId="1" applyNumberFormat="1" applyFont="1" applyFill="1" applyBorder="1" applyAlignment="1">
      <alignment horizontal="center" vertical="center" wrapText="1"/>
    </xf>
    <xf numFmtId="2" fontId="8" fillId="2" borderId="3" xfId="1" applyNumberFormat="1" applyFont="1" applyFill="1" applyBorder="1" applyAlignment="1">
      <alignment horizontal="center" vertical="center" wrapText="1"/>
    </xf>
    <xf numFmtId="2" fontId="8" fillId="2" borderId="4" xfId="1" applyNumberFormat="1" applyFont="1" applyFill="1" applyBorder="1" applyAlignment="1">
      <alignment horizontal="center" vertical="center" wrapText="1"/>
    </xf>
    <xf numFmtId="0" fontId="9" fillId="0" borderId="0" xfId="2" applyFont="1" applyFill="1" applyBorder="1"/>
    <xf numFmtId="0" fontId="3" fillId="0" borderId="0" xfId="3"/>
    <xf numFmtId="14" fontId="3" fillId="0" borderId="0" xfId="3" applyNumberFormat="1"/>
    <xf numFmtId="167" fontId="0" fillId="0" borderId="0" xfId="0" applyNumberFormat="1"/>
    <xf numFmtId="4" fontId="0" fillId="0" borderId="0" xfId="0" applyNumberFormat="1"/>
  </cellXfs>
  <cellStyles count="6">
    <cellStyle name="Heading 2" xfId="1" builtinId="17"/>
    <cellStyle name="Hyperlink" xfId="2" builtinId="8"/>
    <cellStyle name="Hyperlink 2" xfId="5" xr:uid="{00000000-0005-0000-0000-000002000000}"/>
    <cellStyle name="Normal" xfId="0" builtinId="0"/>
    <cellStyle name="Normal 2" xfId="4" xr:uid="{00000000-0005-0000-0000-000004000000}"/>
    <cellStyle name="Normal 3" xfId="3" xr:uid="{00000000-0005-0000-0000-000005000000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Relative Strength</a:t>
            </a:r>
            <a:r>
              <a:rPr lang="en-CA" baseline="0"/>
              <a:t> Index of BP</a:t>
            </a:r>
            <a:endParaRPr lang="en-CA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RSI!$I$19:$I$1831</c:f>
              <c:numCache>
                <c:formatCode>0.00</c:formatCode>
                <c:ptCount val="1813"/>
                <c:pt idx="0">
                  <c:v>72.058823529411768</c:v>
                </c:pt>
                <c:pt idx="1">
                  <c:v>74.847250509164965</c:v>
                </c:pt>
                <c:pt idx="2">
                  <c:v>74.847250509164965</c:v>
                </c:pt>
                <c:pt idx="3">
                  <c:v>71.876193452070964</c:v>
                </c:pt>
                <c:pt idx="4">
                  <c:v>70.078741182627965</c:v>
                </c:pt>
                <c:pt idx="5">
                  <c:v>66.497040466439898</c:v>
                </c:pt>
                <c:pt idx="6">
                  <c:v>61.425632146924343</c:v>
                </c:pt>
                <c:pt idx="7">
                  <c:v>62.117052553167085</c:v>
                </c:pt>
                <c:pt idx="8">
                  <c:v>60.940705320840706</c:v>
                </c:pt>
                <c:pt idx="9">
                  <c:v>65.1991453721715</c:v>
                </c:pt>
                <c:pt idx="10">
                  <c:v>66.509855313978278</c:v>
                </c:pt>
                <c:pt idx="11">
                  <c:v>67.815277925189605</c:v>
                </c:pt>
                <c:pt idx="12">
                  <c:v>65.083232564128735</c:v>
                </c:pt>
                <c:pt idx="13">
                  <c:v>60.490508756322583</c:v>
                </c:pt>
                <c:pt idx="14">
                  <c:v>60.914834916810698</c:v>
                </c:pt>
                <c:pt idx="15">
                  <c:v>56.352430823738381</c:v>
                </c:pt>
                <c:pt idx="16">
                  <c:v>55.710491018393064</c:v>
                </c:pt>
                <c:pt idx="17">
                  <c:v>55.710491018393071</c:v>
                </c:pt>
                <c:pt idx="18">
                  <c:v>37.089990885734203</c:v>
                </c:pt>
                <c:pt idx="19">
                  <c:v>26.89840171353832</c:v>
                </c:pt>
                <c:pt idx="20">
                  <c:v>24.211661215694988</c:v>
                </c:pt>
                <c:pt idx="21">
                  <c:v>40.441670708554341</c:v>
                </c:pt>
                <c:pt idx="22">
                  <c:v>48.013781235097703</c:v>
                </c:pt>
                <c:pt idx="23">
                  <c:v>51.858753786404471</c:v>
                </c:pt>
                <c:pt idx="24">
                  <c:v>49.872561125771639</c:v>
                </c:pt>
                <c:pt idx="25">
                  <c:v>46.324128603772024</c:v>
                </c:pt>
                <c:pt idx="26">
                  <c:v>43.264102339672121</c:v>
                </c:pt>
                <c:pt idx="27">
                  <c:v>42.757158137546377</c:v>
                </c:pt>
                <c:pt idx="28">
                  <c:v>42.757158137546377</c:v>
                </c:pt>
                <c:pt idx="29">
                  <c:v>43.143482493863502</c:v>
                </c:pt>
                <c:pt idx="30">
                  <c:v>45.896077869451005</c:v>
                </c:pt>
                <c:pt idx="31">
                  <c:v>45.556763984736847</c:v>
                </c:pt>
                <c:pt idx="32">
                  <c:v>47.23711220164877</c:v>
                </c:pt>
                <c:pt idx="33">
                  <c:v>46.088189132654264</c:v>
                </c:pt>
                <c:pt idx="34">
                  <c:v>46.088189132654257</c:v>
                </c:pt>
                <c:pt idx="35">
                  <c:v>45.658869375321679</c:v>
                </c:pt>
                <c:pt idx="36">
                  <c:v>48.743988734415815</c:v>
                </c:pt>
                <c:pt idx="37">
                  <c:v>51.697237002978476</c:v>
                </c:pt>
                <c:pt idx="38">
                  <c:v>43.584094294927034</c:v>
                </c:pt>
                <c:pt idx="39">
                  <c:v>40.188049580958136</c:v>
                </c:pt>
                <c:pt idx="40">
                  <c:v>40.740565822128858</c:v>
                </c:pt>
                <c:pt idx="41">
                  <c:v>41.896606878210704</c:v>
                </c:pt>
                <c:pt idx="42">
                  <c:v>40.207199966968211</c:v>
                </c:pt>
                <c:pt idx="43">
                  <c:v>37.367501618758169</c:v>
                </c:pt>
                <c:pt idx="44">
                  <c:v>41.794573165180054</c:v>
                </c:pt>
                <c:pt idx="45">
                  <c:v>41.794573165180054</c:v>
                </c:pt>
                <c:pt idx="46">
                  <c:v>47.344351149588583</c:v>
                </c:pt>
                <c:pt idx="47">
                  <c:v>50.717956403058977</c:v>
                </c:pt>
                <c:pt idx="48">
                  <c:v>50.141350931384224</c:v>
                </c:pt>
                <c:pt idx="49">
                  <c:v>41.503012098290313</c:v>
                </c:pt>
                <c:pt idx="50">
                  <c:v>35.333188113802635</c:v>
                </c:pt>
                <c:pt idx="51">
                  <c:v>34.303472729659575</c:v>
                </c:pt>
                <c:pt idx="52">
                  <c:v>32.598320960052689</c:v>
                </c:pt>
                <c:pt idx="53">
                  <c:v>27.57878390984726</c:v>
                </c:pt>
                <c:pt idx="54">
                  <c:v>22.347147711375015</c:v>
                </c:pt>
                <c:pt idx="55">
                  <c:v>21.973074430929785</c:v>
                </c:pt>
                <c:pt idx="56">
                  <c:v>20.66898756682626</c:v>
                </c:pt>
                <c:pt idx="57">
                  <c:v>20.298313428436657</c:v>
                </c:pt>
                <c:pt idx="58">
                  <c:v>19.726826565476344</c:v>
                </c:pt>
                <c:pt idx="59">
                  <c:v>16.273025457189263</c:v>
                </c:pt>
                <c:pt idx="60">
                  <c:v>14.118106843840295</c:v>
                </c:pt>
                <c:pt idx="61">
                  <c:v>11.834699464025263</c:v>
                </c:pt>
                <c:pt idx="62">
                  <c:v>11.834699464025263</c:v>
                </c:pt>
                <c:pt idx="63">
                  <c:v>10.104206033855817</c:v>
                </c:pt>
                <c:pt idx="64">
                  <c:v>17.525490785932462</c:v>
                </c:pt>
                <c:pt idx="65">
                  <c:v>28.169004871000325</c:v>
                </c:pt>
                <c:pt idx="66">
                  <c:v>36.546755370004639</c:v>
                </c:pt>
                <c:pt idx="67">
                  <c:v>39.353175751761135</c:v>
                </c:pt>
                <c:pt idx="68">
                  <c:v>38.058366819120359</c:v>
                </c:pt>
                <c:pt idx="69">
                  <c:v>37.790558605681468</c:v>
                </c:pt>
                <c:pt idx="70">
                  <c:v>37.790558605681468</c:v>
                </c:pt>
                <c:pt idx="71">
                  <c:v>35.748363118883802</c:v>
                </c:pt>
                <c:pt idx="72">
                  <c:v>38.801141087671965</c:v>
                </c:pt>
                <c:pt idx="73">
                  <c:v>43.163433738039764</c:v>
                </c:pt>
                <c:pt idx="74">
                  <c:v>43.644110312152158</c:v>
                </c:pt>
                <c:pt idx="75">
                  <c:v>47.021692516173239</c:v>
                </c:pt>
                <c:pt idx="76">
                  <c:v>50.233770208758457</c:v>
                </c:pt>
                <c:pt idx="77">
                  <c:v>48.866338461866178</c:v>
                </c:pt>
                <c:pt idx="78">
                  <c:v>52.140072464531201</c:v>
                </c:pt>
                <c:pt idx="79">
                  <c:v>50.16368292969053</c:v>
                </c:pt>
                <c:pt idx="80">
                  <c:v>49.656919367381334</c:v>
                </c:pt>
                <c:pt idx="81">
                  <c:v>48.599463812128825</c:v>
                </c:pt>
                <c:pt idx="82">
                  <c:v>55.267574993415813</c:v>
                </c:pt>
                <c:pt idx="83">
                  <c:v>60.750961827411466</c:v>
                </c:pt>
                <c:pt idx="84">
                  <c:v>57.262080881202557</c:v>
                </c:pt>
                <c:pt idx="85">
                  <c:v>61.966576708573264</c:v>
                </c:pt>
                <c:pt idx="86">
                  <c:v>67.435442381614479</c:v>
                </c:pt>
                <c:pt idx="87">
                  <c:v>68.018084753733291</c:v>
                </c:pt>
                <c:pt idx="88">
                  <c:v>70.306637552959032</c:v>
                </c:pt>
                <c:pt idx="89">
                  <c:v>71.140624677498863</c:v>
                </c:pt>
                <c:pt idx="90">
                  <c:v>74.931829847715747</c:v>
                </c:pt>
                <c:pt idx="91">
                  <c:v>82.516905572502651</c:v>
                </c:pt>
                <c:pt idx="92">
                  <c:v>85.147241757563037</c:v>
                </c:pt>
                <c:pt idx="93">
                  <c:v>84.598961431363094</c:v>
                </c:pt>
                <c:pt idx="94">
                  <c:v>86.391908919504729</c:v>
                </c:pt>
                <c:pt idx="95">
                  <c:v>87.154749406465172</c:v>
                </c:pt>
                <c:pt idx="96">
                  <c:v>87.962217191399958</c:v>
                </c:pt>
                <c:pt idx="97">
                  <c:v>81.353392653048303</c:v>
                </c:pt>
                <c:pt idx="98">
                  <c:v>63.734140165802785</c:v>
                </c:pt>
                <c:pt idx="99">
                  <c:v>64.142109360210767</c:v>
                </c:pt>
                <c:pt idx="100">
                  <c:v>68.358696905700512</c:v>
                </c:pt>
                <c:pt idx="101">
                  <c:v>71.329328251948823</c:v>
                </c:pt>
                <c:pt idx="102">
                  <c:v>70.93090737015261</c:v>
                </c:pt>
                <c:pt idx="103">
                  <c:v>73.336728503782098</c:v>
                </c:pt>
                <c:pt idx="104">
                  <c:v>77.140016614864052</c:v>
                </c:pt>
                <c:pt idx="105">
                  <c:v>79.701356934007308</c:v>
                </c:pt>
                <c:pt idx="106">
                  <c:v>82.850348922234915</c:v>
                </c:pt>
                <c:pt idx="107">
                  <c:v>82.066884767162918</c:v>
                </c:pt>
                <c:pt idx="108">
                  <c:v>82.684080720658685</c:v>
                </c:pt>
                <c:pt idx="109">
                  <c:v>81.817655668076753</c:v>
                </c:pt>
                <c:pt idx="110">
                  <c:v>84.298319694745203</c:v>
                </c:pt>
                <c:pt idx="111">
                  <c:v>84.930908888093995</c:v>
                </c:pt>
                <c:pt idx="112">
                  <c:v>75.511738765653789</c:v>
                </c:pt>
                <c:pt idx="113">
                  <c:v>70.054988926125787</c:v>
                </c:pt>
                <c:pt idx="114">
                  <c:v>70.812144612316104</c:v>
                </c:pt>
                <c:pt idx="115">
                  <c:v>67.154907290071264</c:v>
                </c:pt>
                <c:pt idx="116">
                  <c:v>67.869739827718263</c:v>
                </c:pt>
                <c:pt idx="117">
                  <c:v>61.394437607250957</c:v>
                </c:pt>
                <c:pt idx="118">
                  <c:v>58.394511378579409</c:v>
                </c:pt>
                <c:pt idx="119">
                  <c:v>54.269519902258608</c:v>
                </c:pt>
                <c:pt idx="120">
                  <c:v>53.953791011987661</c:v>
                </c:pt>
                <c:pt idx="121">
                  <c:v>53.953791011987661</c:v>
                </c:pt>
                <c:pt idx="122">
                  <c:v>51.520437041011419</c:v>
                </c:pt>
                <c:pt idx="123">
                  <c:v>50.469870863125898</c:v>
                </c:pt>
                <c:pt idx="124">
                  <c:v>59.869870637885342</c:v>
                </c:pt>
                <c:pt idx="125">
                  <c:v>64.007722355217425</c:v>
                </c:pt>
                <c:pt idx="126">
                  <c:v>65.292394891467723</c:v>
                </c:pt>
                <c:pt idx="127">
                  <c:v>58.879826825913327</c:v>
                </c:pt>
                <c:pt idx="128">
                  <c:v>50.6814556099553</c:v>
                </c:pt>
                <c:pt idx="129">
                  <c:v>51.520247151169492</c:v>
                </c:pt>
                <c:pt idx="130">
                  <c:v>50.593579752137231</c:v>
                </c:pt>
                <c:pt idx="131">
                  <c:v>46.675762710688836</c:v>
                </c:pt>
                <c:pt idx="132">
                  <c:v>48.967349136906819</c:v>
                </c:pt>
                <c:pt idx="133">
                  <c:v>52.718549562291642</c:v>
                </c:pt>
                <c:pt idx="134">
                  <c:v>49.456088457503462</c:v>
                </c:pt>
                <c:pt idx="135">
                  <c:v>51.086020779650362</c:v>
                </c:pt>
                <c:pt idx="136">
                  <c:v>48.080453413638068</c:v>
                </c:pt>
                <c:pt idx="137">
                  <c:v>40.641531818519411</c:v>
                </c:pt>
                <c:pt idx="138">
                  <c:v>42.839395855767634</c:v>
                </c:pt>
                <c:pt idx="139">
                  <c:v>38.955955079593764</c:v>
                </c:pt>
                <c:pt idx="140">
                  <c:v>41.976998392583354</c:v>
                </c:pt>
                <c:pt idx="141">
                  <c:v>38.869581941357623</c:v>
                </c:pt>
                <c:pt idx="142">
                  <c:v>35.134926428355072</c:v>
                </c:pt>
                <c:pt idx="143">
                  <c:v>40.520144788954376</c:v>
                </c:pt>
                <c:pt idx="144">
                  <c:v>40.009124556927901</c:v>
                </c:pt>
                <c:pt idx="145">
                  <c:v>34.40226061780416</c:v>
                </c:pt>
                <c:pt idx="146">
                  <c:v>27.350681033066664</c:v>
                </c:pt>
                <c:pt idx="147">
                  <c:v>24.812490522949687</c:v>
                </c:pt>
                <c:pt idx="148">
                  <c:v>24.812490522949687</c:v>
                </c:pt>
                <c:pt idx="149">
                  <c:v>35.105405624233882</c:v>
                </c:pt>
                <c:pt idx="150">
                  <c:v>32.535769193378016</c:v>
                </c:pt>
                <c:pt idx="151">
                  <c:v>30.158430266100282</c:v>
                </c:pt>
                <c:pt idx="152">
                  <c:v>28.798741628250028</c:v>
                </c:pt>
                <c:pt idx="153">
                  <c:v>28.644212697578538</c:v>
                </c:pt>
                <c:pt idx="154">
                  <c:v>27.079408014623326</c:v>
                </c:pt>
                <c:pt idx="155">
                  <c:v>32.26018933665452</c:v>
                </c:pt>
                <c:pt idx="156">
                  <c:v>32.65654203534551</c:v>
                </c:pt>
                <c:pt idx="157">
                  <c:v>32.452055491627632</c:v>
                </c:pt>
                <c:pt idx="158">
                  <c:v>31.393558159178824</c:v>
                </c:pt>
                <c:pt idx="159">
                  <c:v>30.958574257494149</c:v>
                </c:pt>
                <c:pt idx="160">
                  <c:v>38.321359085099573</c:v>
                </c:pt>
                <c:pt idx="161">
                  <c:v>47.705473640690826</c:v>
                </c:pt>
                <c:pt idx="162">
                  <c:v>45.900496070154261</c:v>
                </c:pt>
                <c:pt idx="163">
                  <c:v>54.28307752010538</c:v>
                </c:pt>
                <c:pt idx="164">
                  <c:v>61.831562254460948</c:v>
                </c:pt>
                <c:pt idx="165">
                  <c:v>60.487125319627637</c:v>
                </c:pt>
                <c:pt idx="166">
                  <c:v>60.487125319627637</c:v>
                </c:pt>
                <c:pt idx="167">
                  <c:v>62.830421715498836</c:v>
                </c:pt>
                <c:pt idx="168">
                  <c:v>58.706129625817162</c:v>
                </c:pt>
                <c:pt idx="169">
                  <c:v>56.178911103523724</c:v>
                </c:pt>
                <c:pt idx="170">
                  <c:v>52.689364893619803</c:v>
                </c:pt>
                <c:pt idx="171">
                  <c:v>58.997720386072785</c:v>
                </c:pt>
                <c:pt idx="172">
                  <c:v>60.948216494722345</c:v>
                </c:pt>
                <c:pt idx="173">
                  <c:v>61.923539227013734</c:v>
                </c:pt>
                <c:pt idx="174">
                  <c:v>65.199548206707362</c:v>
                </c:pt>
                <c:pt idx="175">
                  <c:v>68.15058517830748</c:v>
                </c:pt>
                <c:pt idx="176">
                  <c:v>70.815743906789066</c:v>
                </c:pt>
                <c:pt idx="177">
                  <c:v>64.580271060967377</c:v>
                </c:pt>
                <c:pt idx="178">
                  <c:v>62.220249380033877</c:v>
                </c:pt>
                <c:pt idx="179">
                  <c:v>60.629529347123061</c:v>
                </c:pt>
                <c:pt idx="180">
                  <c:v>63.863090341038863</c:v>
                </c:pt>
                <c:pt idx="181">
                  <c:v>66.799643588179535</c:v>
                </c:pt>
                <c:pt idx="182">
                  <c:v>68.893646604067499</c:v>
                </c:pt>
                <c:pt idx="183">
                  <c:v>61.762004441232406</c:v>
                </c:pt>
                <c:pt idx="184">
                  <c:v>56.568627882874338</c:v>
                </c:pt>
                <c:pt idx="185">
                  <c:v>51.871405416086304</c:v>
                </c:pt>
                <c:pt idx="186">
                  <c:v>49.651411561694935</c:v>
                </c:pt>
                <c:pt idx="187">
                  <c:v>44.390370672800607</c:v>
                </c:pt>
                <c:pt idx="188">
                  <c:v>47.705555956840627</c:v>
                </c:pt>
                <c:pt idx="189">
                  <c:v>46.804093627010928</c:v>
                </c:pt>
                <c:pt idx="190">
                  <c:v>48.209343195084358</c:v>
                </c:pt>
                <c:pt idx="191">
                  <c:v>47.202217682561027</c:v>
                </c:pt>
                <c:pt idx="192">
                  <c:v>41.045966963713148</c:v>
                </c:pt>
                <c:pt idx="193">
                  <c:v>41.862539252903474</c:v>
                </c:pt>
                <c:pt idx="194">
                  <c:v>44.747158283055349</c:v>
                </c:pt>
                <c:pt idx="195">
                  <c:v>39.876815787198133</c:v>
                </c:pt>
                <c:pt idx="196">
                  <c:v>45.104824182124915</c:v>
                </c:pt>
                <c:pt idx="197">
                  <c:v>49.135200996511195</c:v>
                </c:pt>
                <c:pt idx="198">
                  <c:v>53.481984415770555</c:v>
                </c:pt>
                <c:pt idx="199">
                  <c:v>52.369756454215405</c:v>
                </c:pt>
                <c:pt idx="200">
                  <c:v>48.395571857395623</c:v>
                </c:pt>
                <c:pt idx="201">
                  <c:v>45.048680934037925</c:v>
                </c:pt>
                <c:pt idx="202">
                  <c:v>48.857599805320945</c:v>
                </c:pt>
                <c:pt idx="203">
                  <c:v>51.049963271792308</c:v>
                </c:pt>
                <c:pt idx="204">
                  <c:v>47.066426807181905</c:v>
                </c:pt>
                <c:pt idx="205">
                  <c:v>46.709588555397268</c:v>
                </c:pt>
                <c:pt idx="206">
                  <c:v>52.176186089353287</c:v>
                </c:pt>
                <c:pt idx="207">
                  <c:v>55.347320906199194</c:v>
                </c:pt>
                <c:pt idx="208">
                  <c:v>50.904474347731473</c:v>
                </c:pt>
                <c:pt idx="209">
                  <c:v>53.464471037786801</c:v>
                </c:pt>
                <c:pt idx="210">
                  <c:v>57.859183188087918</c:v>
                </c:pt>
                <c:pt idx="211">
                  <c:v>53.661139073973736</c:v>
                </c:pt>
                <c:pt idx="212">
                  <c:v>51.643492957379088</c:v>
                </c:pt>
                <c:pt idx="213">
                  <c:v>50.41856231217303</c:v>
                </c:pt>
                <c:pt idx="214">
                  <c:v>52.828417872937372</c:v>
                </c:pt>
                <c:pt idx="215">
                  <c:v>50.200771185706266</c:v>
                </c:pt>
                <c:pt idx="216">
                  <c:v>48.469899364723254</c:v>
                </c:pt>
                <c:pt idx="217">
                  <c:v>53.244176313539285</c:v>
                </c:pt>
                <c:pt idx="218">
                  <c:v>61.314864586823667</c:v>
                </c:pt>
                <c:pt idx="219">
                  <c:v>59.394695987535229</c:v>
                </c:pt>
                <c:pt idx="220">
                  <c:v>57.456932754306791</c:v>
                </c:pt>
                <c:pt idx="221">
                  <c:v>51.568428551475925</c:v>
                </c:pt>
                <c:pt idx="222">
                  <c:v>47.907823829713649</c:v>
                </c:pt>
                <c:pt idx="223">
                  <c:v>39.79532868402115</c:v>
                </c:pt>
                <c:pt idx="224">
                  <c:v>31.062427213630059</c:v>
                </c:pt>
                <c:pt idx="225">
                  <c:v>29.023279911933955</c:v>
                </c:pt>
                <c:pt idx="226">
                  <c:v>38.508199626150557</c:v>
                </c:pt>
                <c:pt idx="227">
                  <c:v>40.643745538955365</c:v>
                </c:pt>
                <c:pt idx="228">
                  <c:v>38.484728481280499</c:v>
                </c:pt>
                <c:pt idx="229">
                  <c:v>44.16336111971885</c:v>
                </c:pt>
                <c:pt idx="230">
                  <c:v>43.621292761100982</c:v>
                </c:pt>
                <c:pt idx="231">
                  <c:v>40.917019244734732</c:v>
                </c:pt>
                <c:pt idx="232">
                  <c:v>38.842425361512419</c:v>
                </c:pt>
                <c:pt idx="233">
                  <c:v>44.863612080908567</c:v>
                </c:pt>
                <c:pt idx="234">
                  <c:v>56.416249282498875</c:v>
                </c:pt>
                <c:pt idx="235">
                  <c:v>56.416249282498875</c:v>
                </c:pt>
                <c:pt idx="236">
                  <c:v>53.801462577620669</c:v>
                </c:pt>
                <c:pt idx="237">
                  <c:v>57.994712073638944</c:v>
                </c:pt>
                <c:pt idx="238">
                  <c:v>60.413166678938545</c:v>
                </c:pt>
                <c:pt idx="239">
                  <c:v>60.657107758146125</c:v>
                </c:pt>
                <c:pt idx="240">
                  <c:v>62.163643437617971</c:v>
                </c:pt>
                <c:pt idx="241">
                  <c:v>61.739308945145126</c:v>
                </c:pt>
                <c:pt idx="242">
                  <c:v>61.739308945145126</c:v>
                </c:pt>
                <c:pt idx="243">
                  <c:v>60.307020886031552</c:v>
                </c:pt>
                <c:pt idx="244">
                  <c:v>60.307020886031545</c:v>
                </c:pt>
                <c:pt idx="245">
                  <c:v>62.964243422785763</c:v>
                </c:pt>
                <c:pt idx="246">
                  <c:v>55.910345948310308</c:v>
                </c:pt>
                <c:pt idx="247">
                  <c:v>59.727928651739468</c:v>
                </c:pt>
                <c:pt idx="248">
                  <c:v>58.73217965929944</c:v>
                </c:pt>
                <c:pt idx="249">
                  <c:v>55.730454372184731</c:v>
                </c:pt>
                <c:pt idx="250">
                  <c:v>59.450229284816487</c:v>
                </c:pt>
                <c:pt idx="251">
                  <c:v>54.517031997704159</c:v>
                </c:pt>
                <c:pt idx="252">
                  <c:v>46.250779196280305</c:v>
                </c:pt>
                <c:pt idx="253">
                  <c:v>46.250779196280305</c:v>
                </c:pt>
                <c:pt idx="254">
                  <c:v>32.72651891982072</c:v>
                </c:pt>
                <c:pt idx="255">
                  <c:v>28.356688005105269</c:v>
                </c:pt>
                <c:pt idx="256">
                  <c:v>22.3485546395613</c:v>
                </c:pt>
                <c:pt idx="257">
                  <c:v>21.222407996057939</c:v>
                </c:pt>
                <c:pt idx="258">
                  <c:v>31.934093639770992</c:v>
                </c:pt>
                <c:pt idx="259">
                  <c:v>36.126884999435937</c:v>
                </c:pt>
                <c:pt idx="260">
                  <c:v>38.32975400116851</c:v>
                </c:pt>
                <c:pt idx="261">
                  <c:v>35.330412548534269</c:v>
                </c:pt>
                <c:pt idx="262">
                  <c:v>33.73147177006669</c:v>
                </c:pt>
                <c:pt idx="263">
                  <c:v>35.816911792126575</c:v>
                </c:pt>
                <c:pt idx="264">
                  <c:v>40.207416832893571</c:v>
                </c:pt>
                <c:pt idx="265">
                  <c:v>42.173550236519795</c:v>
                </c:pt>
                <c:pt idx="266">
                  <c:v>38.327954222760113</c:v>
                </c:pt>
                <c:pt idx="267">
                  <c:v>37.044060447197261</c:v>
                </c:pt>
                <c:pt idx="268">
                  <c:v>35.142450508605663</c:v>
                </c:pt>
                <c:pt idx="269">
                  <c:v>40.946251119241765</c:v>
                </c:pt>
                <c:pt idx="270">
                  <c:v>43.335311860810755</c:v>
                </c:pt>
                <c:pt idx="271">
                  <c:v>39.861928616074309</c:v>
                </c:pt>
                <c:pt idx="272">
                  <c:v>39.861928616074309</c:v>
                </c:pt>
                <c:pt idx="273">
                  <c:v>38.830625135687917</c:v>
                </c:pt>
                <c:pt idx="274">
                  <c:v>37.523764506743973</c:v>
                </c:pt>
                <c:pt idx="275">
                  <c:v>35.959761360169963</c:v>
                </c:pt>
                <c:pt idx="276">
                  <c:v>35.959761360169963</c:v>
                </c:pt>
                <c:pt idx="277">
                  <c:v>44.070538689766984</c:v>
                </c:pt>
                <c:pt idx="278">
                  <c:v>52.676674792697348</c:v>
                </c:pt>
                <c:pt idx="279">
                  <c:v>55.445377306079244</c:v>
                </c:pt>
                <c:pt idx="280">
                  <c:v>56.060592996272028</c:v>
                </c:pt>
                <c:pt idx="281">
                  <c:v>58.23432911840554</c:v>
                </c:pt>
                <c:pt idx="282">
                  <c:v>59.16667125875626</c:v>
                </c:pt>
                <c:pt idx="283">
                  <c:v>56.024051522653082</c:v>
                </c:pt>
                <c:pt idx="284">
                  <c:v>49.54619096104517</c:v>
                </c:pt>
                <c:pt idx="285">
                  <c:v>40.942907573924572</c:v>
                </c:pt>
                <c:pt idx="286">
                  <c:v>39.572534714722529</c:v>
                </c:pt>
                <c:pt idx="287">
                  <c:v>46.513097678057754</c:v>
                </c:pt>
                <c:pt idx="288">
                  <c:v>44.378372791133401</c:v>
                </c:pt>
                <c:pt idx="289">
                  <c:v>45.906153933255851</c:v>
                </c:pt>
                <c:pt idx="290">
                  <c:v>45.237091239592083</c:v>
                </c:pt>
                <c:pt idx="291">
                  <c:v>42.564757214443283</c:v>
                </c:pt>
                <c:pt idx="292">
                  <c:v>34.813144740749763</c:v>
                </c:pt>
                <c:pt idx="293">
                  <c:v>29.982891567063163</c:v>
                </c:pt>
                <c:pt idx="294">
                  <c:v>38.03418488370454</c:v>
                </c:pt>
                <c:pt idx="295">
                  <c:v>41.305027003699365</c:v>
                </c:pt>
                <c:pt idx="296">
                  <c:v>50.125401634466591</c:v>
                </c:pt>
                <c:pt idx="297">
                  <c:v>45.882349144515544</c:v>
                </c:pt>
                <c:pt idx="298">
                  <c:v>45.882349144515544</c:v>
                </c:pt>
                <c:pt idx="299">
                  <c:v>44.783228627130441</c:v>
                </c:pt>
                <c:pt idx="300">
                  <c:v>45.137065748367789</c:v>
                </c:pt>
                <c:pt idx="301">
                  <c:v>41.421018767528025</c:v>
                </c:pt>
                <c:pt idx="302">
                  <c:v>42.209292779281832</c:v>
                </c:pt>
                <c:pt idx="303">
                  <c:v>49.202636227364508</c:v>
                </c:pt>
                <c:pt idx="304">
                  <c:v>55.059312789532733</c:v>
                </c:pt>
                <c:pt idx="305">
                  <c:v>62.219257038403903</c:v>
                </c:pt>
                <c:pt idx="306">
                  <c:v>66.744555336338621</c:v>
                </c:pt>
                <c:pt idx="307">
                  <c:v>61.248524288012014</c:v>
                </c:pt>
                <c:pt idx="308">
                  <c:v>55.974554903517998</c:v>
                </c:pt>
                <c:pt idx="309">
                  <c:v>58.251828425821358</c:v>
                </c:pt>
                <c:pt idx="310">
                  <c:v>61.070946836813384</c:v>
                </c:pt>
                <c:pt idx="311">
                  <c:v>60.731220513885518</c:v>
                </c:pt>
                <c:pt idx="312">
                  <c:v>53.65916271914314</c:v>
                </c:pt>
                <c:pt idx="313">
                  <c:v>51.318907698941146</c:v>
                </c:pt>
                <c:pt idx="314">
                  <c:v>58.609116132223377</c:v>
                </c:pt>
                <c:pt idx="315">
                  <c:v>62.444991798651749</c:v>
                </c:pt>
                <c:pt idx="316">
                  <c:v>62.835427961119052</c:v>
                </c:pt>
                <c:pt idx="317">
                  <c:v>66.408337058624781</c:v>
                </c:pt>
                <c:pt idx="318">
                  <c:v>66.048433257597111</c:v>
                </c:pt>
                <c:pt idx="319">
                  <c:v>62.063875833186124</c:v>
                </c:pt>
                <c:pt idx="320">
                  <c:v>65.525330158078077</c:v>
                </c:pt>
                <c:pt idx="321">
                  <c:v>71.047838085638944</c:v>
                </c:pt>
                <c:pt idx="322">
                  <c:v>76.361514257925634</c:v>
                </c:pt>
                <c:pt idx="323">
                  <c:v>78.621639685514793</c:v>
                </c:pt>
                <c:pt idx="324">
                  <c:v>79.449642158947526</c:v>
                </c:pt>
                <c:pt idx="325">
                  <c:v>80.184322351800489</c:v>
                </c:pt>
                <c:pt idx="326">
                  <c:v>70.963447847426266</c:v>
                </c:pt>
                <c:pt idx="327">
                  <c:v>66.681540854680719</c:v>
                </c:pt>
                <c:pt idx="328">
                  <c:v>69.6407117679571</c:v>
                </c:pt>
                <c:pt idx="329">
                  <c:v>71.702829796233743</c:v>
                </c:pt>
                <c:pt idx="330">
                  <c:v>69.479314113192785</c:v>
                </c:pt>
                <c:pt idx="331">
                  <c:v>68.49893150916526</c:v>
                </c:pt>
                <c:pt idx="332">
                  <c:v>70.303956971085654</c:v>
                </c:pt>
                <c:pt idx="333">
                  <c:v>57.331859841273065</c:v>
                </c:pt>
                <c:pt idx="334">
                  <c:v>58.819652539488196</c:v>
                </c:pt>
                <c:pt idx="335">
                  <c:v>60.841516609860122</c:v>
                </c:pt>
                <c:pt idx="336">
                  <c:v>61.760558880469667</c:v>
                </c:pt>
                <c:pt idx="337">
                  <c:v>63.246866360462029</c:v>
                </c:pt>
                <c:pt idx="338">
                  <c:v>54.666013030608219</c:v>
                </c:pt>
                <c:pt idx="339">
                  <c:v>50.259961693645479</c:v>
                </c:pt>
                <c:pt idx="340">
                  <c:v>50.259961693645465</c:v>
                </c:pt>
                <c:pt idx="341">
                  <c:v>52.243986366394367</c:v>
                </c:pt>
                <c:pt idx="342">
                  <c:v>48.591223182486573</c:v>
                </c:pt>
                <c:pt idx="343">
                  <c:v>53.808276970888329</c:v>
                </c:pt>
                <c:pt idx="344">
                  <c:v>62.886203648396844</c:v>
                </c:pt>
                <c:pt idx="345">
                  <c:v>68.430447965616551</c:v>
                </c:pt>
                <c:pt idx="346">
                  <c:v>70.836457419606518</c:v>
                </c:pt>
                <c:pt idx="347">
                  <c:v>72.842524707041747</c:v>
                </c:pt>
                <c:pt idx="348">
                  <c:v>75.467540032265759</c:v>
                </c:pt>
                <c:pt idx="349">
                  <c:v>80.408960549591711</c:v>
                </c:pt>
                <c:pt idx="350">
                  <c:v>70.461934238700707</c:v>
                </c:pt>
                <c:pt idx="351">
                  <c:v>76.373252156145412</c:v>
                </c:pt>
                <c:pt idx="352">
                  <c:v>65.865098319591709</c:v>
                </c:pt>
                <c:pt idx="353">
                  <c:v>66.814045339320586</c:v>
                </c:pt>
                <c:pt idx="354">
                  <c:v>66.09449597388577</c:v>
                </c:pt>
                <c:pt idx="355">
                  <c:v>64.413612207437737</c:v>
                </c:pt>
                <c:pt idx="356">
                  <c:v>66.164031514485274</c:v>
                </c:pt>
                <c:pt idx="357">
                  <c:v>63.588220626796414</c:v>
                </c:pt>
                <c:pt idx="358">
                  <c:v>65.480754088598985</c:v>
                </c:pt>
                <c:pt idx="359">
                  <c:v>66.258433686311534</c:v>
                </c:pt>
                <c:pt idx="360">
                  <c:v>66.374977341457878</c:v>
                </c:pt>
                <c:pt idx="361">
                  <c:v>69.546734833615943</c:v>
                </c:pt>
                <c:pt idx="362">
                  <c:v>69.045742659730138</c:v>
                </c:pt>
                <c:pt idx="363">
                  <c:v>67.732111316387432</c:v>
                </c:pt>
                <c:pt idx="364">
                  <c:v>70.062958277519442</c:v>
                </c:pt>
                <c:pt idx="365">
                  <c:v>72.63944023854711</c:v>
                </c:pt>
                <c:pt idx="366">
                  <c:v>72.858188143481584</c:v>
                </c:pt>
                <c:pt idx="367">
                  <c:v>65.020597136714713</c:v>
                </c:pt>
                <c:pt idx="368">
                  <c:v>57.209485199625867</c:v>
                </c:pt>
                <c:pt idx="369">
                  <c:v>53.243485045745942</c:v>
                </c:pt>
                <c:pt idx="370">
                  <c:v>59.730898351846562</c:v>
                </c:pt>
                <c:pt idx="371">
                  <c:v>58.661949906860009</c:v>
                </c:pt>
                <c:pt idx="372">
                  <c:v>52.042194626419892</c:v>
                </c:pt>
                <c:pt idx="373">
                  <c:v>46.40301043524375</c:v>
                </c:pt>
                <c:pt idx="374">
                  <c:v>44.065664451847603</c:v>
                </c:pt>
                <c:pt idx="375">
                  <c:v>38.255209414222215</c:v>
                </c:pt>
                <c:pt idx="376">
                  <c:v>34.415381648529902</c:v>
                </c:pt>
                <c:pt idx="377">
                  <c:v>32.10200303300941</c:v>
                </c:pt>
                <c:pt idx="378">
                  <c:v>30.496447387162334</c:v>
                </c:pt>
                <c:pt idx="379">
                  <c:v>28.482901834387988</c:v>
                </c:pt>
                <c:pt idx="380">
                  <c:v>28.96394761770172</c:v>
                </c:pt>
                <c:pt idx="381">
                  <c:v>35.715947982688704</c:v>
                </c:pt>
                <c:pt idx="382">
                  <c:v>38.11861205809425</c:v>
                </c:pt>
                <c:pt idx="383">
                  <c:v>35.763078934960063</c:v>
                </c:pt>
                <c:pt idx="384">
                  <c:v>35.500578672060399</c:v>
                </c:pt>
                <c:pt idx="385">
                  <c:v>39.33672665904183</c:v>
                </c:pt>
                <c:pt idx="386">
                  <c:v>37.249121755485952</c:v>
                </c:pt>
                <c:pt idx="387">
                  <c:v>37.504249228622371</c:v>
                </c:pt>
                <c:pt idx="388">
                  <c:v>44.111330345055968</c:v>
                </c:pt>
                <c:pt idx="389">
                  <c:v>49.052510544375409</c:v>
                </c:pt>
                <c:pt idx="390">
                  <c:v>54.846963285746078</c:v>
                </c:pt>
                <c:pt idx="391">
                  <c:v>61.404203453749311</c:v>
                </c:pt>
                <c:pt idx="392">
                  <c:v>66.518690476631022</c:v>
                </c:pt>
                <c:pt idx="393">
                  <c:v>67.404708034189525</c:v>
                </c:pt>
                <c:pt idx="394">
                  <c:v>69.368839463708099</c:v>
                </c:pt>
                <c:pt idx="395">
                  <c:v>72.973902853232516</c:v>
                </c:pt>
                <c:pt idx="396">
                  <c:v>75.105819660545805</c:v>
                </c:pt>
                <c:pt idx="397">
                  <c:v>72.399615607386721</c:v>
                </c:pt>
                <c:pt idx="398">
                  <c:v>62.672023691743824</c:v>
                </c:pt>
                <c:pt idx="399">
                  <c:v>63.860480660876107</c:v>
                </c:pt>
                <c:pt idx="400">
                  <c:v>66.922643342694528</c:v>
                </c:pt>
                <c:pt idx="401">
                  <c:v>70.241522602346549</c:v>
                </c:pt>
                <c:pt idx="402">
                  <c:v>70.531002240448402</c:v>
                </c:pt>
                <c:pt idx="403">
                  <c:v>71.810674568363495</c:v>
                </c:pt>
                <c:pt idx="404">
                  <c:v>70.541878658687651</c:v>
                </c:pt>
                <c:pt idx="405">
                  <c:v>72.912761081745515</c:v>
                </c:pt>
                <c:pt idx="406">
                  <c:v>75.908718642893859</c:v>
                </c:pt>
                <c:pt idx="407">
                  <c:v>74.038059210379004</c:v>
                </c:pt>
                <c:pt idx="408">
                  <c:v>67.86309277994286</c:v>
                </c:pt>
                <c:pt idx="409">
                  <c:v>64.714628078764335</c:v>
                </c:pt>
                <c:pt idx="410">
                  <c:v>59.041722687940627</c:v>
                </c:pt>
                <c:pt idx="411">
                  <c:v>60.817236537724888</c:v>
                </c:pt>
                <c:pt idx="412">
                  <c:v>55.623768423623069</c:v>
                </c:pt>
                <c:pt idx="413">
                  <c:v>64.689168511690184</c:v>
                </c:pt>
                <c:pt idx="414">
                  <c:v>67.855619380613348</c:v>
                </c:pt>
                <c:pt idx="415">
                  <c:v>61.879788307416831</c:v>
                </c:pt>
                <c:pt idx="416">
                  <c:v>64.14670220912268</c:v>
                </c:pt>
                <c:pt idx="417">
                  <c:v>62.349850103503393</c:v>
                </c:pt>
                <c:pt idx="418">
                  <c:v>57.000321553361765</c:v>
                </c:pt>
                <c:pt idx="419">
                  <c:v>51.86570207751091</c:v>
                </c:pt>
                <c:pt idx="420">
                  <c:v>40.073538992272987</c:v>
                </c:pt>
                <c:pt idx="421">
                  <c:v>40.711634919501883</c:v>
                </c:pt>
                <c:pt idx="422">
                  <c:v>37.586811255741544</c:v>
                </c:pt>
                <c:pt idx="423">
                  <c:v>34.993501434106363</c:v>
                </c:pt>
                <c:pt idx="424">
                  <c:v>40.126663456199161</c:v>
                </c:pt>
                <c:pt idx="425">
                  <c:v>34.211188458230936</c:v>
                </c:pt>
                <c:pt idx="426">
                  <c:v>33.513406111077728</c:v>
                </c:pt>
                <c:pt idx="427">
                  <c:v>27.416109088913089</c:v>
                </c:pt>
                <c:pt idx="428">
                  <c:v>25.052706512455003</c:v>
                </c:pt>
                <c:pt idx="429">
                  <c:v>30.357588656216194</c:v>
                </c:pt>
                <c:pt idx="430">
                  <c:v>34.712154475999895</c:v>
                </c:pt>
                <c:pt idx="431">
                  <c:v>32.743528557012013</c:v>
                </c:pt>
                <c:pt idx="432">
                  <c:v>36.905342447140136</c:v>
                </c:pt>
                <c:pt idx="433">
                  <c:v>42.185066788093913</c:v>
                </c:pt>
                <c:pt idx="434">
                  <c:v>47.200369069129216</c:v>
                </c:pt>
                <c:pt idx="435">
                  <c:v>47.32654281184972</c:v>
                </c:pt>
                <c:pt idx="436">
                  <c:v>50.866960069914271</c:v>
                </c:pt>
                <c:pt idx="437">
                  <c:v>54.836631153634841</c:v>
                </c:pt>
                <c:pt idx="438">
                  <c:v>53.602075228687823</c:v>
                </c:pt>
                <c:pt idx="439">
                  <c:v>54.819202703848077</c:v>
                </c:pt>
                <c:pt idx="440">
                  <c:v>60.990550736986016</c:v>
                </c:pt>
                <c:pt idx="441">
                  <c:v>62.93764003788457</c:v>
                </c:pt>
                <c:pt idx="442">
                  <c:v>63.234080462205029</c:v>
                </c:pt>
                <c:pt idx="443">
                  <c:v>58.841451596442205</c:v>
                </c:pt>
                <c:pt idx="444">
                  <c:v>60.21512620243616</c:v>
                </c:pt>
                <c:pt idx="445">
                  <c:v>64.471713208386134</c:v>
                </c:pt>
                <c:pt idx="446">
                  <c:v>67.384162980790421</c:v>
                </c:pt>
                <c:pt idx="447">
                  <c:v>68.890258418443466</c:v>
                </c:pt>
                <c:pt idx="448">
                  <c:v>70.114178229155314</c:v>
                </c:pt>
                <c:pt idx="449">
                  <c:v>72.137845667635816</c:v>
                </c:pt>
                <c:pt idx="450">
                  <c:v>72.222246068574663</c:v>
                </c:pt>
                <c:pt idx="451">
                  <c:v>72.580046780550731</c:v>
                </c:pt>
                <c:pt idx="452">
                  <c:v>71.342988759440132</c:v>
                </c:pt>
                <c:pt idx="453">
                  <c:v>72.552130973305239</c:v>
                </c:pt>
                <c:pt idx="454">
                  <c:v>66.97293117104627</c:v>
                </c:pt>
                <c:pt idx="455">
                  <c:v>58.98024408635186</c:v>
                </c:pt>
                <c:pt idx="456">
                  <c:v>62.217504024256783</c:v>
                </c:pt>
                <c:pt idx="457">
                  <c:v>57.343836180284768</c:v>
                </c:pt>
                <c:pt idx="458">
                  <c:v>54.290593288355765</c:v>
                </c:pt>
                <c:pt idx="459">
                  <c:v>46.607244150243723</c:v>
                </c:pt>
                <c:pt idx="460">
                  <c:v>40.443317809309335</c:v>
                </c:pt>
                <c:pt idx="461">
                  <c:v>44.079307973248795</c:v>
                </c:pt>
                <c:pt idx="462">
                  <c:v>45.110403449506755</c:v>
                </c:pt>
                <c:pt idx="463">
                  <c:v>51.66844816695901</c:v>
                </c:pt>
                <c:pt idx="464">
                  <c:v>51.506807811601952</c:v>
                </c:pt>
                <c:pt idx="465">
                  <c:v>47.358417671611164</c:v>
                </c:pt>
                <c:pt idx="466">
                  <c:v>50.957730036637983</c:v>
                </c:pt>
                <c:pt idx="467">
                  <c:v>53.450529452479891</c:v>
                </c:pt>
                <c:pt idx="468">
                  <c:v>51.511956273197974</c:v>
                </c:pt>
                <c:pt idx="469">
                  <c:v>50.790574273735288</c:v>
                </c:pt>
                <c:pt idx="470">
                  <c:v>54.241116635322001</c:v>
                </c:pt>
                <c:pt idx="471">
                  <c:v>57.304026888226652</c:v>
                </c:pt>
                <c:pt idx="472">
                  <c:v>56.44739578742103</c:v>
                </c:pt>
                <c:pt idx="473">
                  <c:v>47.629460935755382</c:v>
                </c:pt>
                <c:pt idx="474">
                  <c:v>40.266339224276656</c:v>
                </c:pt>
                <c:pt idx="475">
                  <c:v>41.244520557669958</c:v>
                </c:pt>
                <c:pt idx="476">
                  <c:v>47.700742959264652</c:v>
                </c:pt>
                <c:pt idx="477">
                  <c:v>48.398602787925562</c:v>
                </c:pt>
                <c:pt idx="478">
                  <c:v>48.583317473123593</c:v>
                </c:pt>
                <c:pt idx="479">
                  <c:v>47.129832553893479</c:v>
                </c:pt>
                <c:pt idx="480">
                  <c:v>52.14116829869991</c:v>
                </c:pt>
                <c:pt idx="481">
                  <c:v>57.033158489173246</c:v>
                </c:pt>
                <c:pt idx="482">
                  <c:v>56.817487269884708</c:v>
                </c:pt>
                <c:pt idx="483">
                  <c:v>56.817487269884708</c:v>
                </c:pt>
                <c:pt idx="484">
                  <c:v>57.006043786625391</c:v>
                </c:pt>
                <c:pt idx="485">
                  <c:v>61.036876430389185</c:v>
                </c:pt>
                <c:pt idx="486">
                  <c:v>61.910893961595853</c:v>
                </c:pt>
                <c:pt idx="487">
                  <c:v>61.318375761059599</c:v>
                </c:pt>
                <c:pt idx="488">
                  <c:v>58.028902576320782</c:v>
                </c:pt>
                <c:pt idx="489">
                  <c:v>49.018297179038363</c:v>
                </c:pt>
                <c:pt idx="490">
                  <c:v>47.213683984427604</c:v>
                </c:pt>
                <c:pt idx="491">
                  <c:v>40.577481449173568</c:v>
                </c:pt>
                <c:pt idx="492">
                  <c:v>37.642220965339618</c:v>
                </c:pt>
                <c:pt idx="493">
                  <c:v>37.47051437004427</c:v>
                </c:pt>
                <c:pt idx="494">
                  <c:v>33.518713898344345</c:v>
                </c:pt>
                <c:pt idx="495">
                  <c:v>27.851215513649592</c:v>
                </c:pt>
                <c:pt idx="496">
                  <c:v>31.062427370896899</c:v>
                </c:pt>
                <c:pt idx="497">
                  <c:v>37.092937166013165</c:v>
                </c:pt>
                <c:pt idx="498">
                  <c:v>39.176568814870507</c:v>
                </c:pt>
                <c:pt idx="499">
                  <c:v>34.966993443428237</c:v>
                </c:pt>
                <c:pt idx="500">
                  <c:v>32.079751961113914</c:v>
                </c:pt>
                <c:pt idx="501">
                  <c:v>31.944486748323385</c:v>
                </c:pt>
                <c:pt idx="502">
                  <c:v>40.813519474255116</c:v>
                </c:pt>
                <c:pt idx="503">
                  <c:v>43.458623459939496</c:v>
                </c:pt>
                <c:pt idx="504">
                  <c:v>40.61532684806015</c:v>
                </c:pt>
                <c:pt idx="505">
                  <c:v>37.32777228176105</c:v>
                </c:pt>
                <c:pt idx="506">
                  <c:v>38.664429712462464</c:v>
                </c:pt>
                <c:pt idx="507">
                  <c:v>37.966802081239791</c:v>
                </c:pt>
                <c:pt idx="508">
                  <c:v>31.156093872604558</c:v>
                </c:pt>
                <c:pt idx="509">
                  <c:v>31.156093872604558</c:v>
                </c:pt>
                <c:pt idx="510">
                  <c:v>31.156093872604558</c:v>
                </c:pt>
                <c:pt idx="511">
                  <c:v>31.156093872604558</c:v>
                </c:pt>
                <c:pt idx="512">
                  <c:v>31.156093872604558</c:v>
                </c:pt>
                <c:pt idx="513">
                  <c:v>26.169456361558346</c:v>
                </c:pt>
                <c:pt idx="514">
                  <c:v>30.863896351774102</c:v>
                </c:pt>
                <c:pt idx="515">
                  <c:v>29.319544424577202</c:v>
                </c:pt>
                <c:pt idx="516">
                  <c:v>35.884020752061247</c:v>
                </c:pt>
                <c:pt idx="517">
                  <c:v>50.682254936060509</c:v>
                </c:pt>
                <c:pt idx="518">
                  <c:v>46.804382121011372</c:v>
                </c:pt>
                <c:pt idx="519">
                  <c:v>48.802672136366354</c:v>
                </c:pt>
                <c:pt idx="520">
                  <c:v>48.153331726698255</c:v>
                </c:pt>
                <c:pt idx="521">
                  <c:v>55.396665553913593</c:v>
                </c:pt>
                <c:pt idx="522">
                  <c:v>60.77718131980901</c:v>
                </c:pt>
                <c:pt idx="523">
                  <c:v>67.345621269660597</c:v>
                </c:pt>
                <c:pt idx="524">
                  <c:v>70.850319698602732</c:v>
                </c:pt>
                <c:pt idx="525">
                  <c:v>71.059384869091858</c:v>
                </c:pt>
                <c:pt idx="526">
                  <c:v>67.168405937063994</c:v>
                </c:pt>
                <c:pt idx="527">
                  <c:v>63.902583068562336</c:v>
                </c:pt>
                <c:pt idx="528">
                  <c:v>63.139639757683341</c:v>
                </c:pt>
                <c:pt idx="529">
                  <c:v>60.544779430591007</c:v>
                </c:pt>
                <c:pt idx="530">
                  <c:v>63.753233561506377</c:v>
                </c:pt>
                <c:pt idx="531">
                  <c:v>65.127502127453056</c:v>
                </c:pt>
                <c:pt idx="532">
                  <c:v>61.500352474406277</c:v>
                </c:pt>
                <c:pt idx="533">
                  <c:v>62.704814724139574</c:v>
                </c:pt>
                <c:pt idx="534">
                  <c:v>68.47131746748164</c:v>
                </c:pt>
                <c:pt idx="535">
                  <c:v>72.134428106431159</c:v>
                </c:pt>
                <c:pt idx="536">
                  <c:v>74.573486975708832</c:v>
                </c:pt>
                <c:pt idx="537">
                  <c:v>63.84535024876201</c:v>
                </c:pt>
                <c:pt idx="538">
                  <c:v>58.740249701326363</c:v>
                </c:pt>
                <c:pt idx="539">
                  <c:v>48.861680753641878</c:v>
                </c:pt>
                <c:pt idx="540">
                  <c:v>53.251760989023325</c:v>
                </c:pt>
                <c:pt idx="541">
                  <c:v>50.898937164444334</c:v>
                </c:pt>
                <c:pt idx="542">
                  <c:v>46.04740477575448</c:v>
                </c:pt>
                <c:pt idx="543">
                  <c:v>49.082239271125083</c:v>
                </c:pt>
                <c:pt idx="544">
                  <c:v>45.273195138248198</c:v>
                </c:pt>
                <c:pt idx="545">
                  <c:v>41.65281620590649</c:v>
                </c:pt>
                <c:pt idx="546">
                  <c:v>36.672584051008982</c:v>
                </c:pt>
                <c:pt idx="547">
                  <c:v>32.220251029548407</c:v>
                </c:pt>
                <c:pt idx="548">
                  <c:v>27.071813389245335</c:v>
                </c:pt>
                <c:pt idx="549">
                  <c:v>25.43076313411359</c:v>
                </c:pt>
                <c:pt idx="550">
                  <c:v>32.912515654644963</c:v>
                </c:pt>
                <c:pt idx="551">
                  <c:v>36.588992227065368</c:v>
                </c:pt>
                <c:pt idx="552">
                  <c:v>35.17365146886678</c:v>
                </c:pt>
                <c:pt idx="553">
                  <c:v>34.502906064627837</c:v>
                </c:pt>
                <c:pt idx="554">
                  <c:v>38.643077258163359</c:v>
                </c:pt>
                <c:pt idx="555">
                  <c:v>38.824141706923307</c:v>
                </c:pt>
                <c:pt idx="556">
                  <c:v>39.968817370442643</c:v>
                </c:pt>
                <c:pt idx="557">
                  <c:v>41.34767393676956</c:v>
                </c:pt>
                <c:pt idx="558">
                  <c:v>40.771379753757905</c:v>
                </c:pt>
                <c:pt idx="559">
                  <c:v>47.121043140309624</c:v>
                </c:pt>
                <c:pt idx="560">
                  <c:v>50.679878718596449</c:v>
                </c:pt>
                <c:pt idx="561">
                  <c:v>47.902362233357159</c:v>
                </c:pt>
                <c:pt idx="562">
                  <c:v>47.034850119689956</c:v>
                </c:pt>
                <c:pt idx="563">
                  <c:v>47.647471588523146</c:v>
                </c:pt>
                <c:pt idx="564">
                  <c:v>52.391638021225781</c:v>
                </c:pt>
                <c:pt idx="565">
                  <c:v>57.10143538191064</c:v>
                </c:pt>
                <c:pt idx="566">
                  <c:v>65.090733381725016</c:v>
                </c:pt>
                <c:pt idx="567">
                  <c:v>67.76589148840614</c:v>
                </c:pt>
                <c:pt idx="568">
                  <c:v>70.780155738847483</c:v>
                </c:pt>
                <c:pt idx="569">
                  <c:v>58.263088990123663</c:v>
                </c:pt>
                <c:pt idx="570">
                  <c:v>59.932325725949546</c:v>
                </c:pt>
                <c:pt idx="571">
                  <c:v>64.899660467166456</c:v>
                </c:pt>
                <c:pt idx="572">
                  <c:v>60.021864212415906</c:v>
                </c:pt>
                <c:pt idx="573">
                  <c:v>55.676338593068643</c:v>
                </c:pt>
                <c:pt idx="574">
                  <c:v>54.265997836485255</c:v>
                </c:pt>
                <c:pt idx="575">
                  <c:v>44.43414719190018</c:v>
                </c:pt>
                <c:pt idx="576">
                  <c:v>51.780427772877104</c:v>
                </c:pt>
                <c:pt idx="577">
                  <c:v>50.890601994006168</c:v>
                </c:pt>
                <c:pt idx="578">
                  <c:v>44.532892789720961</c:v>
                </c:pt>
                <c:pt idx="579">
                  <c:v>43.031920215642643</c:v>
                </c:pt>
                <c:pt idx="580">
                  <c:v>42.920640836218162</c:v>
                </c:pt>
                <c:pt idx="581">
                  <c:v>39.509700782629324</c:v>
                </c:pt>
                <c:pt idx="582">
                  <c:v>43.705912810747634</c:v>
                </c:pt>
                <c:pt idx="583">
                  <c:v>43.861242833009626</c:v>
                </c:pt>
                <c:pt idx="584">
                  <c:v>39.201710641895843</c:v>
                </c:pt>
                <c:pt idx="585">
                  <c:v>32.897584569562298</c:v>
                </c:pt>
                <c:pt idx="586">
                  <c:v>37.726548315008827</c:v>
                </c:pt>
                <c:pt idx="587">
                  <c:v>37.245462451628093</c:v>
                </c:pt>
                <c:pt idx="588">
                  <c:v>35.490858081324632</c:v>
                </c:pt>
                <c:pt idx="589">
                  <c:v>36.031741658442499</c:v>
                </c:pt>
                <c:pt idx="590">
                  <c:v>39.834615761835352</c:v>
                </c:pt>
                <c:pt idx="591">
                  <c:v>33.937177699117825</c:v>
                </c:pt>
                <c:pt idx="592">
                  <c:v>33.748380513268103</c:v>
                </c:pt>
                <c:pt idx="593">
                  <c:v>32.958552383654364</c:v>
                </c:pt>
                <c:pt idx="594">
                  <c:v>36.175766366890429</c:v>
                </c:pt>
                <c:pt idx="595">
                  <c:v>37.978719763511712</c:v>
                </c:pt>
                <c:pt idx="596">
                  <c:v>44.707133272396256</c:v>
                </c:pt>
                <c:pt idx="597">
                  <c:v>48.856524427768989</c:v>
                </c:pt>
                <c:pt idx="598">
                  <c:v>48.699096836163591</c:v>
                </c:pt>
                <c:pt idx="599">
                  <c:v>51.397586652232327</c:v>
                </c:pt>
                <c:pt idx="600">
                  <c:v>55.781137704736047</c:v>
                </c:pt>
                <c:pt idx="601">
                  <c:v>61.979912472128127</c:v>
                </c:pt>
                <c:pt idx="602">
                  <c:v>65.52361173939245</c:v>
                </c:pt>
                <c:pt idx="603">
                  <c:v>63.919618214362373</c:v>
                </c:pt>
                <c:pt idx="604">
                  <c:v>64.619168225633658</c:v>
                </c:pt>
                <c:pt idx="605">
                  <c:v>68.164396041988539</c:v>
                </c:pt>
                <c:pt idx="606">
                  <c:v>70.45584517621387</c:v>
                </c:pt>
                <c:pt idx="607">
                  <c:v>72.321480786447353</c:v>
                </c:pt>
                <c:pt idx="608">
                  <c:v>62.539590162321389</c:v>
                </c:pt>
                <c:pt idx="609">
                  <c:v>62.146016852989838</c:v>
                </c:pt>
                <c:pt idx="610">
                  <c:v>63.625151580374407</c:v>
                </c:pt>
                <c:pt idx="611">
                  <c:v>67.902324124341163</c:v>
                </c:pt>
                <c:pt idx="612">
                  <c:v>69.430375740816089</c:v>
                </c:pt>
                <c:pt idx="613">
                  <c:v>62.393044703326112</c:v>
                </c:pt>
                <c:pt idx="614">
                  <c:v>54.623787889588854</c:v>
                </c:pt>
                <c:pt idx="615">
                  <c:v>49.526798588970905</c:v>
                </c:pt>
                <c:pt idx="616">
                  <c:v>45.635756422449127</c:v>
                </c:pt>
                <c:pt idx="617">
                  <c:v>46.285000357936518</c:v>
                </c:pt>
                <c:pt idx="618">
                  <c:v>47.134882011474424</c:v>
                </c:pt>
                <c:pt idx="619">
                  <c:v>45.283079143823741</c:v>
                </c:pt>
                <c:pt idx="620">
                  <c:v>49.55193526752894</c:v>
                </c:pt>
                <c:pt idx="621">
                  <c:v>54.055485464829161</c:v>
                </c:pt>
                <c:pt idx="622">
                  <c:v>58.085100935328413</c:v>
                </c:pt>
                <c:pt idx="623">
                  <c:v>58.643139413221256</c:v>
                </c:pt>
                <c:pt idx="624">
                  <c:v>55.27494132910499</c:v>
                </c:pt>
                <c:pt idx="625">
                  <c:v>51.525485329442461</c:v>
                </c:pt>
                <c:pt idx="626">
                  <c:v>50.967008630172266</c:v>
                </c:pt>
                <c:pt idx="627">
                  <c:v>53.840609484773211</c:v>
                </c:pt>
                <c:pt idx="628">
                  <c:v>60.131256240196919</c:v>
                </c:pt>
                <c:pt idx="629">
                  <c:v>64.202897392722633</c:v>
                </c:pt>
                <c:pt idx="630">
                  <c:v>62.216314355241643</c:v>
                </c:pt>
                <c:pt idx="631">
                  <c:v>59.569640108413999</c:v>
                </c:pt>
                <c:pt idx="632">
                  <c:v>66.158616280747339</c:v>
                </c:pt>
                <c:pt idx="633">
                  <c:v>71.295283619589625</c:v>
                </c:pt>
                <c:pt idx="634">
                  <c:v>74.643089694239507</c:v>
                </c:pt>
                <c:pt idx="635">
                  <c:v>75.307669315401412</c:v>
                </c:pt>
                <c:pt idx="636">
                  <c:v>69.228608436880222</c:v>
                </c:pt>
                <c:pt idx="637">
                  <c:v>66.942389420658941</c:v>
                </c:pt>
                <c:pt idx="638">
                  <c:v>70.129390783140295</c:v>
                </c:pt>
                <c:pt idx="639">
                  <c:v>71.814254069774961</c:v>
                </c:pt>
                <c:pt idx="640">
                  <c:v>74.281013382463854</c:v>
                </c:pt>
                <c:pt idx="641">
                  <c:v>75.438476682922115</c:v>
                </c:pt>
                <c:pt idx="642">
                  <c:v>77.341933370979262</c:v>
                </c:pt>
                <c:pt idx="643">
                  <c:v>79.805254425013629</c:v>
                </c:pt>
                <c:pt idx="644">
                  <c:v>81.871845604472128</c:v>
                </c:pt>
                <c:pt idx="645">
                  <c:v>82.891030530345517</c:v>
                </c:pt>
                <c:pt idx="646">
                  <c:v>83.821588770623066</c:v>
                </c:pt>
                <c:pt idx="647">
                  <c:v>83.920728369613428</c:v>
                </c:pt>
                <c:pt idx="648">
                  <c:v>65.370600720671547</c:v>
                </c:pt>
                <c:pt idx="649">
                  <c:v>59.899196205336608</c:v>
                </c:pt>
                <c:pt idx="650">
                  <c:v>60.756712654223371</c:v>
                </c:pt>
                <c:pt idx="651">
                  <c:v>66.120630173296561</c:v>
                </c:pt>
                <c:pt idx="652">
                  <c:v>70.189535820189633</c:v>
                </c:pt>
                <c:pt idx="653">
                  <c:v>73.544190776273908</c:v>
                </c:pt>
                <c:pt idx="654">
                  <c:v>74.767359838471933</c:v>
                </c:pt>
                <c:pt idx="655">
                  <c:v>69.571329447379711</c:v>
                </c:pt>
                <c:pt idx="656">
                  <c:v>70.809316906843662</c:v>
                </c:pt>
                <c:pt idx="657">
                  <c:v>72.904345389075019</c:v>
                </c:pt>
                <c:pt idx="658">
                  <c:v>71.252193949750179</c:v>
                </c:pt>
                <c:pt idx="659">
                  <c:v>73.145533427186493</c:v>
                </c:pt>
                <c:pt idx="660">
                  <c:v>74.600584181208106</c:v>
                </c:pt>
                <c:pt idx="661">
                  <c:v>76.79300919352886</c:v>
                </c:pt>
                <c:pt idx="662">
                  <c:v>79.534713951127046</c:v>
                </c:pt>
                <c:pt idx="663">
                  <c:v>80.49687604006516</c:v>
                </c:pt>
                <c:pt idx="664">
                  <c:v>82.07330923376243</c:v>
                </c:pt>
                <c:pt idx="665">
                  <c:v>85.229255127840403</c:v>
                </c:pt>
                <c:pt idx="666">
                  <c:v>87.822918906664341</c:v>
                </c:pt>
                <c:pt idx="667">
                  <c:v>83.32115022164183</c:v>
                </c:pt>
                <c:pt idx="668">
                  <c:v>84.566349610029889</c:v>
                </c:pt>
                <c:pt idx="669">
                  <c:v>85.770609387437659</c:v>
                </c:pt>
                <c:pt idx="670">
                  <c:v>85.97682456298871</c:v>
                </c:pt>
                <c:pt idx="671">
                  <c:v>82.13135611206809</c:v>
                </c:pt>
                <c:pt idx="672">
                  <c:v>85.272842130420145</c:v>
                </c:pt>
                <c:pt idx="673">
                  <c:v>88.066696678268812</c:v>
                </c:pt>
                <c:pt idx="674">
                  <c:v>89.216163016396138</c:v>
                </c:pt>
                <c:pt idx="675">
                  <c:v>76.2901763053531</c:v>
                </c:pt>
                <c:pt idx="676">
                  <c:v>76.807141244861313</c:v>
                </c:pt>
                <c:pt idx="677">
                  <c:v>78.991737743214358</c:v>
                </c:pt>
                <c:pt idx="678">
                  <c:v>82.884182015850882</c:v>
                </c:pt>
                <c:pt idx="679">
                  <c:v>83.879256693651925</c:v>
                </c:pt>
                <c:pt idx="680">
                  <c:v>86.705443973747265</c:v>
                </c:pt>
                <c:pt idx="681">
                  <c:v>86.858390204858125</c:v>
                </c:pt>
                <c:pt idx="682">
                  <c:v>89.362450674270875</c:v>
                </c:pt>
                <c:pt idx="683">
                  <c:v>89.525848777017714</c:v>
                </c:pt>
                <c:pt idx="684">
                  <c:v>90.081188896896634</c:v>
                </c:pt>
                <c:pt idx="685">
                  <c:v>88.361202184736101</c:v>
                </c:pt>
                <c:pt idx="686">
                  <c:v>88.937467603680474</c:v>
                </c:pt>
                <c:pt idx="687">
                  <c:v>89.649152136217097</c:v>
                </c:pt>
                <c:pt idx="688">
                  <c:v>92.214134543073484</c:v>
                </c:pt>
                <c:pt idx="689">
                  <c:v>93.4326768891748</c:v>
                </c:pt>
                <c:pt idx="690">
                  <c:v>94.1615951841206</c:v>
                </c:pt>
                <c:pt idx="691">
                  <c:v>70.814045696634281</c:v>
                </c:pt>
                <c:pt idx="692">
                  <c:v>44.320234215069931</c:v>
                </c:pt>
                <c:pt idx="693">
                  <c:v>46.696846124186081</c:v>
                </c:pt>
                <c:pt idx="694">
                  <c:v>47.607312827161969</c:v>
                </c:pt>
                <c:pt idx="695">
                  <c:v>51.519671086484841</c:v>
                </c:pt>
                <c:pt idx="696">
                  <c:v>53.891658976463432</c:v>
                </c:pt>
                <c:pt idx="697">
                  <c:v>57.778441068342268</c:v>
                </c:pt>
                <c:pt idx="698">
                  <c:v>52.969786278251775</c:v>
                </c:pt>
                <c:pt idx="699">
                  <c:v>46.355066503598337</c:v>
                </c:pt>
                <c:pt idx="700">
                  <c:v>45.199632141213954</c:v>
                </c:pt>
                <c:pt idx="701">
                  <c:v>44.498525140665109</c:v>
                </c:pt>
                <c:pt idx="702">
                  <c:v>44.471011546273338</c:v>
                </c:pt>
                <c:pt idx="703">
                  <c:v>37.356864367323148</c:v>
                </c:pt>
                <c:pt idx="704">
                  <c:v>34.643954879250742</c:v>
                </c:pt>
                <c:pt idx="705">
                  <c:v>32.475337790197358</c:v>
                </c:pt>
                <c:pt idx="706">
                  <c:v>34.349272758230597</c:v>
                </c:pt>
                <c:pt idx="707">
                  <c:v>39.075662857175168</c:v>
                </c:pt>
                <c:pt idx="708">
                  <c:v>40.327091303443517</c:v>
                </c:pt>
                <c:pt idx="709">
                  <c:v>36.267182802091924</c:v>
                </c:pt>
                <c:pt idx="710">
                  <c:v>32.990270169298569</c:v>
                </c:pt>
                <c:pt idx="711">
                  <c:v>32.0525679265223</c:v>
                </c:pt>
                <c:pt idx="712">
                  <c:v>34.070666842199728</c:v>
                </c:pt>
                <c:pt idx="713">
                  <c:v>33.081543451914129</c:v>
                </c:pt>
                <c:pt idx="714">
                  <c:v>28.753885304294045</c:v>
                </c:pt>
                <c:pt idx="715">
                  <c:v>25.962120836399052</c:v>
                </c:pt>
                <c:pt idx="716">
                  <c:v>26.641772990766782</c:v>
                </c:pt>
                <c:pt idx="717">
                  <c:v>23.417286534196748</c:v>
                </c:pt>
                <c:pt idx="718">
                  <c:v>23.200182970958693</c:v>
                </c:pt>
                <c:pt idx="719">
                  <c:v>23.084940165448117</c:v>
                </c:pt>
                <c:pt idx="720">
                  <c:v>23.260873107011207</c:v>
                </c:pt>
                <c:pt idx="721">
                  <c:v>20.007993831337203</c:v>
                </c:pt>
                <c:pt idx="722">
                  <c:v>18.901019906017154</c:v>
                </c:pt>
                <c:pt idx="723">
                  <c:v>17.877343911228763</c:v>
                </c:pt>
                <c:pt idx="724">
                  <c:v>19.401978837053861</c:v>
                </c:pt>
                <c:pt idx="725">
                  <c:v>33.386274100802467</c:v>
                </c:pt>
                <c:pt idx="726">
                  <c:v>36.806805031121378</c:v>
                </c:pt>
                <c:pt idx="727">
                  <c:v>33.880954676735726</c:v>
                </c:pt>
                <c:pt idx="728">
                  <c:v>33.703788593764926</c:v>
                </c:pt>
                <c:pt idx="729">
                  <c:v>33.091500403998822</c:v>
                </c:pt>
                <c:pt idx="730">
                  <c:v>34.593665217821126</c:v>
                </c:pt>
                <c:pt idx="731">
                  <c:v>32.173552902921642</c:v>
                </c:pt>
                <c:pt idx="732">
                  <c:v>32.115943281851045</c:v>
                </c:pt>
                <c:pt idx="733">
                  <c:v>36.177288185341723</c:v>
                </c:pt>
                <c:pt idx="734">
                  <c:v>46.515311236658761</c:v>
                </c:pt>
                <c:pt idx="735">
                  <c:v>52.831785882401334</c:v>
                </c:pt>
                <c:pt idx="736">
                  <c:v>55.929315460775449</c:v>
                </c:pt>
                <c:pt idx="737">
                  <c:v>53.411110578929261</c:v>
                </c:pt>
                <c:pt idx="738">
                  <c:v>52.998109579859836</c:v>
                </c:pt>
                <c:pt idx="739">
                  <c:v>48.386785317978756</c:v>
                </c:pt>
                <c:pt idx="740">
                  <c:v>49.44459651331384</c:v>
                </c:pt>
                <c:pt idx="741">
                  <c:v>50.34986649257754</c:v>
                </c:pt>
                <c:pt idx="742">
                  <c:v>53.065130662753248</c:v>
                </c:pt>
                <c:pt idx="743">
                  <c:v>56.565627206068605</c:v>
                </c:pt>
                <c:pt idx="744">
                  <c:v>53.377675239212905</c:v>
                </c:pt>
                <c:pt idx="745">
                  <c:v>54.239617165979148</c:v>
                </c:pt>
                <c:pt idx="746">
                  <c:v>48.308423522987141</c:v>
                </c:pt>
                <c:pt idx="747">
                  <c:v>49.011660044861699</c:v>
                </c:pt>
                <c:pt idx="748">
                  <c:v>46.546161767356232</c:v>
                </c:pt>
                <c:pt idx="749">
                  <c:v>44.642279021621313</c:v>
                </c:pt>
                <c:pt idx="750">
                  <c:v>43.50286943939679</c:v>
                </c:pt>
                <c:pt idx="751">
                  <c:v>43.992691403976458</c:v>
                </c:pt>
                <c:pt idx="752">
                  <c:v>45.800022106410232</c:v>
                </c:pt>
                <c:pt idx="753">
                  <c:v>46.248334529079301</c:v>
                </c:pt>
                <c:pt idx="754">
                  <c:v>46.248334529079294</c:v>
                </c:pt>
                <c:pt idx="755">
                  <c:v>44.266650220616242</c:v>
                </c:pt>
                <c:pt idx="756">
                  <c:v>40.465421924170869</c:v>
                </c:pt>
                <c:pt idx="757">
                  <c:v>45.986224381086338</c:v>
                </c:pt>
                <c:pt idx="758">
                  <c:v>51.450359482047418</c:v>
                </c:pt>
                <c:pt idx="759">
                  <c:v>54.0586087511236</c:v>
                </c:pt>
                <c:pt idx="760">
                  <c:v>57.574600485256354</c:v>
                </c:pt>
                <c:pt idx="761">
                  <c:v>61.846485565611246</c:v>
                </c:pt>
                <c:pt idx="762">
                  <c:v>63.177463188680115</c:v>
                </c:pt>
                <c:pt idx="763">
                  <c:v>64.881606004736042</c:v>
                </c:pt>
                <c:pt idx="764">
                  <c:v>70.240330181903502</c:v>
                </c:pt>
                <c:pt idx="765">
                  <c:v>70.240330181903502</c:v>
                </c:pt>
                <c:pt idx="766">
                  <c:v>73.280129707749026</c:v>
                </c:pt>
                <c:pt idx="767">
                  <c:v>76.157808313495266</c:v>
                </c:pt>
                <c:pt idx="768">
                  <c:v>77.195681578359</c:v>
                </c:pt>
                <c:pt idx="769">
                  <c:v>77.264444876268726</c:v>
                </c:pt>
                <c:pt idx="770">
                  <c:v>68.480523289694702</c:v>
                </c:pt>
                <c:pt idx="771">
                  <c:v>71.162049216173031</c:v>
                </c:pt>
                <c:pt idx="772">
                  <c:v>74.543852668204508</c:v>
                </c:pt>
                <c:pt idx="773">
                  <c:v>75.640046964586375</c:v>
                </c:pt>
                <c:pt idx="774">
                  <c:v>76.278791456983498</c:v>
                </c:pt>
                <c:pt idx="775">
                  <c:v>79.040754318224714</c:v>
                </c:pt>
                <c:pt idx="776">
                  <c:v>80.414832868359042</c:v>
                </c:pt>
                <c:pt idx="777">
                  <c:v>76.947171714511555</c:v>
                </c:pt>
                <c:pt idx="778">
                  <c:v>78.69508392288779</c:v>
                </c:pt>
                <c:pt idx="779">
                  <c:v>80.275305013951595</c:v>
                </c:pt>
                <c:pt idx="780">
                  <c:v>80.029438642317587</c:v>
                </c:pt>
                <c:pt idx="781">
                  <c:v>67.930189086425074</c:v>
                </c:pt>
                <c:pt idx="782">
                  <c:v>60.947263776584954</c:v>
                </c:pt>
                <c:pt idx="783">
                  <c:v>55.973785991494999</c:v>
                </c:pt>
                <c:pt idx="784">
                  <c:v>61.175533451433061</c:v>
                </c:pt>
                <c:pt idx="785">
                  <c:v>62.058020945446266</c:v>
                </c:pt>
                <c:pt idx="786">
                  <c:v>46.268401418420559</c:v>
                </c:pt>
                <c:pt idx="787">
                  <c:v>37.264150443481121</c:v>
                </c:pt>
                <c:pt idx="788">
                  <c:v>33.622825348358262</c:v>
                </c:pt>
                <c:pt idx="789">
                  <c:v>33.04328342450485</c:v>
                </c:pt>
                <c:pt idx="790">
                  <c:v>34.987556747397534</c:v>
                </c:pt>
                <c:pt idx="791">
                  <c:v>33.997720358024438</c:v>
                </c:pt>
                <c:pt idx="792">
                  <c:v>31.410307305973262</c:v>
                </c:pt>
                <c:pt idx="793">
                  <c:v>29.995854942771587</c:v>
                </c:pt>
                <c:pt idx="794">
                  <c:v>30.715847409013179</c:v>
                </c:pt>
                <c:pt idx="795">
                  <c:v>32.62300185185677</c:v>
                </c:pt>
                <c:pt idx="796">
                  <c:v>46.595720133820834</c:v>
                </c:pt>
                <c:pt idx="797">
                  <c:v>47.00385174792013</c:v>
                </c:pt>
                <c:pt idx="798">
                  <c:v>44.100232146096509</c:v>
                </c:pt>
                <c:pt idx="799">
                  <c:v>51.628030754517894</c:v>
                </c:pt>
                <c:pt idx="800">
                  <c:v>51.681522235121854</c:v>
                </c:pt>
                <c:pt idx="801">
                  <c:v>49.443973536355017</c:v>
                </c:pt>
                <c:pt idx="802">
                  <c:v>48.317562481935546</c:v>
                </c:pt>
                <c:pt idx="803">
                  <c:v>47.701609371481773</c:v>
                </c:pt>
                <c:pt idx="804">
                  <c:v>47.636211361585318</c:v>
                </c:pt>
                <c:pt idx="805">
                  <c:v>38.718401611013128</c:v>
                </c:pt>
                <c:pt idx="806">
                  <c:v>41.730587074552339</c:v>
                </c:pt>
                <c:pt idx="807">
                  <c:v>43.233043624555243</c:v>
                </c:pt>
                <c:pt idx="808">
                  <c:v>45.357296318425412</c:v>
                </c:pt>
                <c:pt idx="809">
                  <c:v>44.274030106104291</c:v>
                </c:pt>
                <c:pt idx="810">
                  <c:v>53.017181158563581</c:v>
                </c:pt>
                <c:pt idx="811">
                  <c:v>53.84148085000264</c:v>
                </c:pt>
                <c:pt idx="812">
                  <c:v>52.099867079339518</c:v>
                </c:pt>
                <c:pt idx="813">
                  <c:v>49.835475345135279</c:v>
                </c:pt>
                <c:pt idx="814">
                  <c:v>49.297084520823745</c:v>
                </c:pt>
                <c:pt idx="815">
                  <c:v>48.650209487267212</c:v>
                </c:pt>
                <c:pt idx="816">
                  <c:v>48.056000097282066</c:v>
                </c:pt>
                <c:pt idx="817">
                  <c:v>49.201444587042481</c:v>
                </c:pt>
                <c:pt idx="818">
                  <c:v>36.870255710531211</c:v>
                </c:pt>
                <c:pt idx="819">
                  <c:v>32.191713418639267</c:v>
                </c:pt>
                <c:pt idx="820">
                  <c:v>35.300757470395325</c:v>
                </c:pt>
                <c:pt idx="821">
                  <c:v>37.331466213987994</c:v>
                </c:pt>
                <c:pt idx="822">
                  <c:v>41.388119947917311</c:v>
                </c:pt>
                <c:pt idx="823">
                  <c:v>42.323172451372074</c:v>
                </c:pt>
                <c:pt idx="824">
                  <c:v>44.698439393253828</c:v>
                </c:pt>
                <c:pt idx="825">
                  <c:v>41.393944666119225</c:v>
                </c:pt>
                <c:pt idx="826">
                  <c:v>41.600588921048903</c:v>
                </c:pt>
                <c:pt idx="827">
                  <c:v>36.968173849164266</c:v>
                </c:pt>
                <c:pt idx="828">
                  <c:v>37.647926462665716</c:v>
                </c:pt>
                <c:pt idx="829">
                  <c:v>35.516750321768697</c:v>
                </c:pt>
                <c:pt idx="830">
                  <c:v>34.10817819106262</c:v>
                </c:pt>
                <c:pt idx="831">
                  <c:v>38.252420459442291</c:v>
                </c:pt>
                <c:pt idx="832">
                  <c:v>43.999488780770243</c:v>
                </c:pt>
                <c:pt idx="833">
                  <c:v>43.562844938960104</c:v>
                </c:pt>
                <c:pt idx="834">
                  <c:v>43.922432622912112</c:v>
                </c:pt>
                <c:pt idx="835">
                  <c:v>40.156735546667406</c:v>
                </c:pt>
                <c:pt idx="836">
                  <c:v>36.387369493370549</c:v>
                </c:pt>
                <c:pt idx="837">
                  <c:v>32.086214579774534</c:v>
                </c:pt>
                <c:pt idx="838">
                  <c:v>34.412998065969873</c:v>
                </c:pt>
                <c:pt idx="839">
                  <c:v>32.441515409496134</c:v>
                </c:pt>
                <c:pt idx="840">
                  <c:v>29.397128337058618</c:v>
                </c:pt>
                <c:pt idx="841">
                  <c:v>27.394381827446566</c:v>
                </c:pt>
                <c:pt idx="842">
                  <c:v>28.777585219125442</c:v>
                </c:pt>
                <c:pt idx="843">
                  <c:v>34.729226437496763</c:v>
                </c:pt>
                <c:pt idx="844">
                  <c:v>38.984675164768326</c:v>
                </c:pt>
                <c:pt idx="845">
                  <c:v>38.548136232961205</c:v>
                </c:pt>
                <c:pt idx="846">
                  <c:v>39.853691400993227</c:v>
                </c:pt>
                <c:pt idx="847">
                  <c:v>48.270052406210098</c:v>
                </c:pt>
                <c:pt idx="848">
                  <c:v>50.034785782055685</c:v>
                </c:pt>
                <c:pt idx="849">
                  <c:v>50.639266008133738</c:v>
                </c:pt>
                <c:pt idx="850">
                  <c:v>57.022554566088345</c:v>
                </c:pt>
                <c:pt idx="851">
                  <c:v>62.517379851857001</c:v>
                </c:pt>
                <c:pt idx="852">
                  <c:v>65.523800243593968</c:v>
                </c:pt>
                <c:pt idx="853">
                  <c:v>68.198472416177793</c:v>
                </c:pt>
                <c:pt idx="854">
                  <c:v>71.13183545883571</c:v>
                </c:pt>
                <c:pt idx="855">
                  <c:v>72.41077158013367</c:v>
                </c:pt>
                <c:pt idx="856">
                  <c:v>73.89357145770056</c:v>
                </c:pt>
                <c:pt idx="857">
                  <c:v>64.749236090998878</c:v>
                </c:pt>
                <c:pt idx="858">
                  <c:v>66.574869028095549</c:v>
                </c:pt>
                <c:pt idx="859">
                  <c:v>64.980225898029175</c:v>
                </c:pt>
                <c:pt idx="860">
                  <c:v>57.556797943002735</c:v>
                </c:pt>
                <c:pt idx="861">
                  <c:v>58.934679081663631</c:v>
                </c:pt>
                <c:pt idx="862">
                  <c:v>62.194914679625775</c:v>
                </c:pt>
                <c:pt idx="863">
                  <c:v>61.066038121349372</c:v>
                </c:pt>
                <c:pt idx="864">
                  <c:v>63.971074188202593</c:v>
                </c:pt>
                <c:pt idx="865">
                  <c:v>60.85908290949962</c:v>
                </c:pt>
                <c:pt idx="866">
                  <c:v>62.807554792177463</c:v>
                </c:pt>
                <c:pt idx="867">
                  <c:v>67.532077026930637</c:v>
                </c:pt>
                <c:pt idx="868">
                  <c:v>69.914831945522423</c:v>
                </c:pt>
                <c:pt idx="869">
                  <c:v>66.871895741816189</c:v>
                </c:pt>
                <c:pt idx="870">
                  <c:v>63.578209689150206</c:v>
                </c:pt>
                <c:pt idx="871">
                  <c:v>66.222974454468329</c:v>
                </c:pt>
                <c:pt idx="872">
                  <c:v>64.75286308791253</c:v>
                </c:pt>
                <c:pt idx="873">
                  <c:v>67.192969047279746</c:v>
                </c:pt>
                <c:pt idx="874">
                  <c:v>70.279252608716305</c:v>
                </c:pt>
                <c:pt idx="875">
                  <c:v>73.389882106532596</c:v>
                </c:pt>
                <c:pt idx="876">
                  <c:v>73.206519620157238</c:v>
                </c:pt>
                <c:pt idx="877">
                  <c:v>75.512577005127184</c:v>
                </c:pt>
                <c:pt idx="878">
                  <c:v>78.576277537628158</c:v>
                </c:pt>
                <c:pt idx="879">
                  <c:v>79.928469663573665</c:v>
                </c:pt>
                <c:pt idx="880">
                  <c:v>74.142287981585184</c:v>
                </c:pt>
                <c:pt idx="881">
                  <c:v>74.463392753116665</c:v>
                </c:pt>
                <c:pt idx="882">
                  <c:v>79.894689208890355</c:v>
                </c:pt>
                <c:pt idx="883">
                  <c:v>82.512169874962126</c:v>
                </c:pt>
                <c:pt idx="884">
                  <c:v>84.311789078543768</c:v>
                </c:pt>
                <c:pt idx="885">
                  <c:v>85.19303987247325</c:v>
                </c:pt>
                <c:pt idx="886">
                  <c:v>87.056100583515033</c:v>
                </c:pt>
                <c:pt idx="887">
                  <c:v>87.181960747885583</c:v>
                </c:pt>
                <c:pt idx="888">
                  <c:v>78.32413355784584</c:v>
                </c:pt>
                <c:pt idx="889">
                  <c:v>82.362509385845215</c:v>
                </c:pt>
                <c:pt idx="890">
                  <c:v>82.486892012592548</c:v>
                </c:pt>
                <c:pt idx="891">
                  <c:v>80.649381188529617</c:v>
                </c:pt>
                <c:pt idx="892">
                  <c:v>72.922796202851217</c:v>
                </c:pt>
                <c:pt idx="893">
                  <c:v>68.271210692765649</c:v>
                </c:pt>
                <c:pt idx="894">
                  <c:v>45.144999241761113</c:v>
                </c:pt>
                <c:pt idx="895">
                  <c:v>43.096967456163682</c:v>
                </c:pt>
                <c:pt idx="896">
                  <c:v>42.728581946338458</c:v>
                </c:pt>
                <c:pt idx="897">
                  <c:v>46.350257789455853</c:v>
                </c:pt>
                <c:pt idx="898">
                  <c:v>47.006428474021128</c:v>
                </c:pt>
                <c:pt idx="899">
                  <c:v>51.698420102415348</c:v>
                </c:pt>
                <c:pt idx="900">
                  <c:v>46.852467597760715</c:v>
                </c:pt>
                <c:pt idx="901">
                  <c:v>43.049981881139004</c:v>
                </c:pt>
                <c:pt idx="902">
                  <c:v>41.371166672280708</c:v>
                </c:pt>
                <c:pt idx="903">
                  <c:v>45.752357138034967</c:v>
                </c:pt>
                <c:pt idx="904">
                  <c:v>52.81521533364414</c:v>
                </c:pt>
                <c:pt idx="905">
                  <c:v>50.456994762597382</c:v>
                </c:pt>
                <c:pt idx="906">
                  <c:v>47.509271424549262</c:v>
                </c:pt>
                <c:pt idx="907">
                  <c:v>50.543037420446971</c:v>
                </c:pt>
                <c:pt idx="908">
                  <c:v>49.131627358894882</c:v>
                </c:pt>
                <c:pt idx="909">
                  <c:v>47.237529271717499</c:v>
                </c:pt>
                <c:pt idx="910">
                  <c:v>45.657880617735309</c:v>
                </c:pt>
                <c:pt idx="911">
                  <c:v>40.35352801638156</c:v>
                </c:pt>
                <c:pt idx="912">
                  <c:v>42.3302981132138</c:v>
                </c:pt>
                <c:pt idx="913">
                  <c:v>51.793249928713124</c:v>
                </c:pt>
                <c:pt idx="914">
                  <c:v>56.976880906862306</c:v>
                </c:pt>
                <c:pt idx="915">
                  <c:v>61.010308325813803</c:v>
                </c:pt>
                <c:pt idx="916">
                  <c:v>57.541928596648475</c:v>
                </c:pt>
                <c:pt idx="917">
                  <c:v>53.603841953029459</c:v>
                </c:pt>
                <c:pt idx="918">
                  <c:v>52.162150602056627</c:v>
                </c:pt>
                <c:pt idx="919">
                  <c:v>55.257950508069236</c:v>
                </c:pt>
                <c:pt idx="920">
                  <c:v>48.223662245266418</c:v>
                </c:pt>
                <c:pt idx="921">
                  <c:v>47.500122665041211</c:v>
                </c:pt>
                <c:pt idx="922">
                  <c:v>48.903664821289397</c:v>
                </c:pt>
                <c:pt idx="923">
                  <c:v>44.461087199520755</c:v>
                </c:pt>
                <c:pt idx="924">
                  <c:v>45.721129507608282</c:v>
                </c:pt>
                <c:pt idx="925">
                  <c:v>45.562099848361875</c:v>
                </c:pt>
                <c:pt idx="926">
                  <c:v>44.642379312518315</c:v>
                </c:pt>
                <c:pt idx="927">
                  <c:v>38.482252481372967</c:v>
                </c:pt>
                <c:pt idx="928">
                  <c:v>46.269593645862592</c:v>
                </c:pt>
                <c:pt idx="929">
                  <c:v>50.77190255859712</c:v>
                </c:pt>
                <c:pt idx="930">
                  <c:v>52.393056560717298</c:v>
                </c:pt>
                <c:pt idx="931">
                  <c:v>55.546139417960532</c:v>
                </c:pt>
                <c:pt idx="932">
                  <c:v>57.224211012897804</c:v>
                </c:pt>
                <c:pt idx="933">
                  <c:v>60.372859612693368</c:v>
                </c:pt>
                <c:pt idx="934">
                  <c:v>62.710146323956025</c:v>
                </c:pt>
                <c:pt idx="935">
                  <c:v>64.875595206090082</c:v>
                </c:pt>
                <c:pt idx="936">
                  <c:v>65.78340084940092</c:v>
                </c:pt>
                <c:pt idx="937">
                  <c:v>68.820798298262474</c:v>
                </c:pt>
                <c:pt idx="938">
                  <c:v>72.088132307760517</c:v>
                </c:pt>
                <c:pt idx="939">
                  <c:v>73.578978479087098</c:v>
                </c:pt>
                <c:pt idx="940">
                  <c:v>58.360665565879962</c:v>
                </c:pt>
                <c:pt idx="941">
                  <c:v>64.470589835221844</c:v>
                </c:pt>
                <c:pt idx="942">
                  <c:v>67.636484626877163</c:v>
                </c:pt>
                <c:pt idx="943">
                  <c:v>71.016772201125107</c:v>
                </c:pt>
                <c:pt idx="944">
                  <c:v>70.614601842987611</c:v>
                </c:pt>
                <c:pt idx="945">
                  <c:v>69.763673192056331</c:v>
                </c:pt>
                <c:pt idx="946">
                  <c:v>75.553470912532987</c:v>
                </c:pt>
                <c:pt idx="947">
                  <c:v>78.007439882684011</c:v>
                </c:pt>
                <c:pt idx="948">
                  <c:v>74.248224171393048</c:v>
                </c:pt>
                <c:pt idx="949">
                  <c:v>75.254770268812322</c:v>
                </c:pt>
                <c:pt idx="950">
                  <c:v>75.29063559177861</c:v>
                </c:pt>
                <c:pt idx="951">
                  <c:v>71.074951051470279</c:v>
                </c:pt>
                <c:pt idx="952">
                  <c:v>72.719919143932685</c:v>
                </c:pt>
                <c:pt idx="953">
                  <c:v>76.375222480823908</c:v>
                </c:pt>
                <c:pt idx="954">
                  <c:v>78.299684237045909</c:v>
                </c:pt>
                <c:pt idx="955">
                  <c:v>76.927112951018344</c:v>
                </c:pt>
                <c:pt idx="956">
                  <c:v>69.790561740740529</c:v>
                </c:pt>
                <c:pt idx="957">
                  <c:v>72.725110434623303</c:v>
                </c:pt>
                <c:pt idx="958">
                  <c:v>75.572570753781051</c:v>
                </c:pt>
                <c:pt idx="959">
                  <c:v>71.065481681001899</c:v>
                </c:pt>
                <c:pt idx="960">
                  <c:v>71.316695993154383</c:v>
                </c:pt>
                <c:pt idx="961">
                  <c:v>70.547142135473408</c:v>
                </c:pt>
                <c:pt idx="962">
                  <c:v>70.430220872313114</c:v>
                </c:pt>
                <c:pt idx="963">
                  <c:v>73.504125390451875</c:v>
                </c:pt>
                <c:pt idx="964">
                  <c:v>76.354841025878073</c:v>
                </c:pt>
                <c:pt idx="965">
                  <c:v>76.739853435835386</c:v>
                </c:pt>
                <c:pt idx="966">
                  <c:v>71.709983152276294</c:v>
                </c:pt>
                <c:pt idx="967">
                  <c:v>65.682785704883969</c:v>
                </c:pt>
                <c:pt idx="968">
                  <c:v>69.738754970778501</c:v>
                </c:pt>
                <c:pt idx="969">
                  <c:v>74.068186283890526</c:v>
                </c:pt>
                <c:pt idx="970">
                  <c:v>74.610425385185493</c:v>
                </c:pt>
                <c:pt idx="971">
                  <c:v>70.958123347269037</c:v>
                </c:pt>
                <c:pt idx="972">
                  <c:v>71.567052971448263</c:v>
                </c:pt>
                <c:pt idx="973">
                  <c:v>58.549804951453879</c:v>
                </c:pt>
                <c:pt idx="974">
                  <c:v>59.358333975192529</c:v>
                </c:pt>
                <c:pt idx="975">
                  <c:v>51.895104963914228</c:v>
                </c:pt>
                <c:pt idx="976">
                  <c:v>54.26105102776495</c:v>
                </c:pt>
                <c:pt idx="977">
                  <c:v>54.962658302508061</c:v>
                </c:pt>
                <c:pt idx="978">
                  <c:v>46.381341850867159</c:v>
                </c:pt>
                <c:pt idx="979">
                  <c:v>51.480167712622091</c:v>
                </c:pt>
                <c:pt idx="980">
                  <c:v>54.971597338686351</c:v>
                </c:pt>
                <c:pt idx="981">
                  <c:v>57.044256980031371</c:v>
                </c:pt>
                <c:pt idx="982">
                  <c:v>60.757937721654159</c:v>
                </c:pt>
                <c:pt idx="983">
                  <c:v>63.7573453495461</c:v>
                </c:pt>
                <c:pt idx="984">
                  <c:v>66.468163325895517</c:v>
                </c:pt>
                <c:pt idx="985">
                  <c:v>70.974179268668877</c:v>
                </c:pt>
                <c:pt idx="986">
                  <c:v>74.764066285616423</c:v>
                </c:pt>
                <c:pt idx="987">
                  <c:v>75.484835776868891</c:v>
                </c:pt>
                <c:pt idx="988">
                  <c:v>78.801654212876343</c:v>
                </c:pt>
                <c:pt idx="989">
                  <c:v>80.275471336166973</c:v>
                </c:pt>
                <c:pt idx="990">
                  <c:v>81.901575375835094</c:v>
                </c:pt>
                <c:pt idx="991">
                  <c:v>83.396175064140635</c:v>
                </c:pt>
                <c:pt idx="992">
                  <c:v>85.605735836101601</c:v>
                </c:pt>
                <c:pt idx="993">
                  <c:v>87.739354115760392</c:v>
                </c:pt>
                <c:pt idx="994">
                  <c:v>88.495537923806282</c:v>
                </c:pt>
                <c:pt idx="995">
                  <c:v>89.777990725001644</c:v>
                </c:pt>
                <c:pt idx="996">
                  <c:v>87.226127544653991</c:v>
                </c:pt>
                <c:pt idx="997">
                  <c:v>88.725599029128304</c:v>
                </c:pt>
                <c:pt idx="998">
                  <c:v>87.323810711945583</c:v>
                </c:pt>
                <c:pt idx="999">
                  <c:v>89.709398714037306</c:v>
                </c:pt>
                <c:pt idx="1000">
                  <c:v>91.900593958231326</c:v>
                </c:pt>
                <c:pt idx="1001">
                  <c:v>90.055511979598876</c:v>
                </c:pt>
                <c:pt idx="1002">
                  <c:v>91.418535802026938</c:v>
                </c:pt>
                <c:pt idx="1003">
                  <c:v>77.979776309420032</c:v>
                </c:pt>
                <c:pt idx="1004">
                  <c:v>81.674478395392271</c:v>
                </c:pt>
                <c:pt idx="1005">
                  <c:v>82.151432616036402</c:v>
                </c:pt>
                <c:pt idx="1006">
                  <c:v>75.966464176938729</c:v>
                </c:pt>
                <c:pt idx="1007">
                  <c:v>76.405515930195946</c:v>
                </c:pt>
                <c:pt idx="1008">
                  <c:v>80.580732199067967</c:v>
                </c:pt>
                <c:pt idx="1009">
                  <c:v>81.235164222697634</c:v>
                </c:pt>
                <c:pt idx="1010">
                  <c:v>73.994100177947274</c:v>
                </c:pt>
                <c:pt idx="1011">
                  <c:v>72.745464479179404</c:v>
                </c:pt>
                <c:pt idx="1012">
                  <c:v>76.684407908145147</c:v>
                </c:pt>
                <c:pt idx="1013">
                  <c:v>75.329790422000698</c:v>
                </c:pt>
                <c:pt idx="1014">
                  <c:v>67.972567533051517</c:v>
                </c:pt>
                <c:pt idx="1015">
                  <c:v>65.468580540422522</c:v>
                </c:pt>
                <c:pt idx="1016">
                  <c:v>63.454685825380032</c:v>
                </c:pt>
                <c:pt idx="1017">
                  <c:v>65.092897430563085</c:v>
                </c:pt>
                <c:pt idx="1018">
                  <c:v>60.737831583022995</c:v>
                </c:pt>
                <c:pt idx="1019">
                  <c:v>53.287044745449862</c:v>
                </c:pt>
                <c:pt idx="1020">
                  <c:v>54.98609484961051</c:v>
                </c:pt>
                <c:pt idx="1021">
                  <c:v>57.983758305683757</c:v>
                </c:pt>
                <c:pt idx="1022">
                  <c:v>62.540260181484584</c:v>
                </c:pt>
                <c:pt idx="1023">
                  <c:v>64.391235231869018</c:v>
                </c:pt>
                <c:pt idx="1024">
                  <c:v>66.60667842777535</c:v>
                </c:pt>
                <c:pt idx="1025">
                  <c:v>56.144225493575611</c:v>
                </c:pt>
                <c:pt idx="1026">
                  <c:v>50.225522217261656</c:v>
                </c:pt>
                <c:pt idx="1027">
                  <c:v>43.029250455923901</c:v>
                </c:pt>
                <c:pt idx="1028">
                  <c:v>40.975572902327116</c:v>
                </c:pt>
                <c:pt idx="1029">
                  <c:v>40.928299501257811</c:v>
                </c:pt>
                <c:pt idx="1030">
                  <c:v>43.691713206300818</c:v>
                </c:pt>
                <c:pt idx="1031">
                  <c:v>44.189982609502671</c:v>
                </c:pt>
                <c:pt idx="1032">
                  <c:v>47.242457077726684</c:v>
                </c:pt>
                <c:pt idx="1033">
                  <c:v>48.070114925528202</c:v>
                </c:pt>
                <c:pt idx="1034">
                  <c:v>52.786687327260196</c:v>
                </c:pt>
                <c:pt idx="1035">
                  <c:v>56.101747744460965</c:v>
                </c:pt>
                <c:pt idx="1036">
                  <c:v>59.673777079330648</c:v>
                </c:pt>
                <c:pt idx="1037">
                  <c:v>64.075895821973916</c:v>
                </c:pt>
                <c:pt idx="1038">
                  <c:v>66.924350834582469</c:v>
                </c:pt>
                <c:pt idx="1039">
                  <c:v>70.854923518224794</c:v>
                </c:pt>
                <c:pt idx="1040">
                  <c:v>73.496780999373385</c:v>
                </c:pt>
                <c:pt idx="1041">
                  <c:v>75.052258053420388</c:v>
                </c:pt>
                <c:pt idx="1042">
                  <c:v>78.038688157130082</c:v>
                </c:pt>
                <c:pt idx="1043">
                  <c:v>74.220402447472807</c:v>
                </c:pt>
                <c:pt idx="1044">
                  <c:v>76.265522015231909</c:v>
                </c:pt>
                <c:pt idx="1045">
                  <c:v>77.56188515523047</c:v>
                </c:pt>
                <c:pt idx="1046">
                  <c:v>78.707726044933779</c:v>
                </c:pt>
                <c:pt idx="1047">
                  <c:v>76.269113059679967</c:v>
                </c:pt>
                <c:pt idx="1048">
                  <c:v>79.402972988287203</c:v>
                </c:pt>
                <c:pt idx="1049">
                  <c:v>77.753986751996464</c:v>
                </c:pt>
                <c:pt idx="1050">
                  <c:v>67.343945453137422</c:v>
                </c:pt>
                <c:pt idx="1051">
                  <c:v>67.137984491423595</c:v>
                </c:pt>
                <c:pt idx="1052">
                  <c:v>67.628432081037857</c:v>
                </c:pt>
                <c:pt idx="1053">
                  <c:v>71.298776022311301</c:v>
                </c:pt>
                <c:pt idx="1054">
                  <c:v>66.713874519105644</c:v>
                </c:pt>
                <c:pt idx="1055">
                  <c:v>57.947629813409861</c:v>
                </c:pt>
                <c:pt idx="1056">
                  <c:v>55.30417958660923</c:v>
                </c:pt>
                <c:pt idx="1057">
                  <c:v>57.265478319006057</c:v>
                </c:pt>
                <c:pt idx="1058">
                  <c:v>55.385430562434031</c:v>
                </c:pt>
                <c:pt idx="1059">
                  <c:v>60.913209585420056</c:v>
                </c:pt>
                <c:pt idx="1060">
                  <c:v>55.736470338093454</c:v>
                </c:pt>
                <c:pt idx="1061">
                  <c:v>57.568790497266676</c:v>
                </c:pt>
                <c:pt idx="1062">
                  <c:v>51.718710469796875</c:v>
                </c:pt>
                <c:pt idx="1063">
                  <c:v>48.356759253307885</c:v>
                </c:pt>
                <c:pt idx="1064">
                  <c:v>53.591026126347018</c:v>
                </c:pt>
                <c:pt idx="1065">
                  <c:v>57.164824150117525</c:v>
                </c:pt>
                <c:pt idx="1066">
                  <c:v>63.762643762627278</c:v>
                </c:pt>
                <c:pt idx="1067">
                  <c:v>68.189883674214485</c:v>
                </c:pt>
                <c:pt idx="1068">
                  <c:v>71.205268815347097</c:v>
                </c:pt>
                <c:pt idx="1069">
                  <c:v>73.571195256801943</c:v>
                </c:pt>
                <c:pt idx="1070">
                  <c:v>74.456774290782903</c:v>
                </c:pt>
                <c:pt idx="1071">
                  <c:v>71.087505705518495</c:v>
                </c:pt>
                <c:pt idx="1072">
                  <c:v>70.385902418842036</c:v>
                </c:pt>
                <c:pt idx="1073">
                  <c:v>73.994537459560647</c:v>
                </c:pt>
                <c:pt idx="1074">
                  <c:v>71.867525930761047</c:v>
                </c:pt>
                <c:pt idx="1075">
                  <c:v>73.033104798660872</c:v>
                </c:pt>
                <c:pt idx="1076">
                  <c:v>77.25677062132678</c:v>
                </c:pt>
                <c:pt idx="1077">
                  <c:v>78.050127349721151</c:v>
                </c:pt>
                <c:pt idx="1078">
                  <c:v>67.753394488633887</c:v>
                </c:pt>
                <c:pt idx="1079">
                  <c:v>69.612855121985604</c:v>
                </c:pt>
                <c:pt idx="1080">
                  <c:v>69.727284948548444</c:v>
                </c:pt>
                <c:pt idx="1081">
                  <c:v>61.717965653557222</c:v>
                </c:pt>
                <c:pt idx="1082">
                  <c:v>48.238472039111251</c:v>
                </c:pt>
                <c:pt idx="1083">
                  <c:v>35.942091366814225</c:v>
                </c:pt>
                <c:pt idx="1084">
                  <c:v>38.991300362803706</c:v>
                </c:pt>
                <c:pt idx="1085">
                  <c:v>42.406376740573563</c:v>
                </c:pt>
                <c:pt idx="1086">
                  <c:v>41.565754929400704</c:v>
                </c:pt>
                <c:pt idx="1087">
                  <c:v>38.6612146045006</c:v>
                </c:pt>
                <c:pt idx="1088">
                  <c:v>47.082620931931778</c:v>
                </c:pt>
                <c:pt idx="1089">
                  <c:v>51.86413358976931</c:v>
                </c:pt>
                <c:pt idx="1090">
                  <c:v>55.861814790445884</c:v>
                </c:pt>
                <c:pt idx="1091">
                  <c:v>57.221482741308911</c:v>
                </c:pt>
                <c:pt idx="1092">
                  <c:v>56.674925582039521</c:v>
                </c:pt>
                <c:pt idx="1093">
                  <c:v>61.561914785904101</c:v>
                </c:pt>
                <c:pt idx="1094">
                  <c:v>63.539909362750343</c:v>
                </c:pt>
                <c:pt idx="1095">
                  <c:v>63.463452952962491</c:v>
                </c:pt>
                <c:pt idx="1096">
                  <c:v>60.735080300926832</c:v>
                </c:pt>
                <c:pt idx="1097">
                  <c:v>63.812085674989206</c:v>
                </c:pt>
                <c:pt idx="1098">
                  <c:v>66.573945194893014</c:v>
                </c:pt>
                <c:pt idx="1099">
                  <c:v>66.836316523598086</c:v>
                </c:pt>
                <c:pt idx="1100">
                  <c:v>65.573741331058869</c:v>
                </c:pt>
                <c:pt idx="1101">
                  <c:v>68.032342497106924</c:v>
                </c:pt>
                <c:pt idx="1102">
                  <c:v>71.281345930182979</c:v>
                </c:pt>
                <c:pt idx="1103">
                  <c:v>72.521320846471511</c:v>
                </c:pt>
                <c:pt idx="1104">
                  <c:v>74.312914792306628</c:v>
                </c:pt>
                <c:pt idx="1105">
                  <c:v>75.692818431868346</c:v>
                </c:pt>
                <c:pt idx="1106">
                  <c:v>76.618334189683992</c:v>
                </c:pt>
                <c:pt idx="1107">
                  <c:v>74.732557024302267</c:v>
                </c:pt>
                <c:pt idx="1108">
                  <c:v>78.302964455085984</c:v>
                </c:pt>
                <c:pt idx="1109">
                  <c:v>73.710815672423337</c:v>
                </c:pt>
                <c:pt idx="1110">
                  <c:v>75.499204304014057</c:v>
                </c:pt>
                <c:pt idx="1111">
                  <c:v>77.204727535144315</c:v>
                </c:pt>
                <c:pt idx="1112">
                  <c:v>77.884021585458626</c:v>
                </c:pt>
                <c:pt idx="1113">
                  <c:v>72.081321178137614</c:v>
                </c:pt>
                <c:pt idx="1114">
                  <c:v>75.007906175007946</c:v>
                </c:pt>
                <c:pt idx="1115">
                  <c:v>75.80456291164819</c:v>
                </c:pt>
                <c:pt idx="1116">
                  <c:v>75.909576896591048</c:v>
                </c:pt>
                <c:pt idx="1117">
                  <c:v>77.41394330895325</c:v>
                </c:pt>
                <c:pt idx="1118">
                  <c:v>79.03415824714881</c:v>
                </c:pt>
                <c:pt idx="1119">
                  <c:v>63.225245957613076</c:v>
                </c:pt>
                <c:pt idx="1120">
                  <c:v>62.810405661948977</c:v>
                </c:pt>
                <c:pt idx="1121">
                  <c:v>65.751633625723201</c:v>
                </c:pt>
                <c:pt idx="1122">
                  <c:v>70.367939121860829</c:v>
                </c:pt>
                <c:pt idx="1123">
                  <c:v>73.085185223644288</c:v>
                </c:pt>
                <c:pt idx="1124">
                  <c:v>74.053997838928041</c:v>
                </c:pt>
                <c:pt idx="1125">
                  <c:v>72.500853245995131</c:v>
                </c:pt>
                <c:pt idx="1126">
                  <c:v>74.666975390906174</c:v>
                </c:pt>
                <c:pt idx="1127">
                  <c:v>72.238895732092317</c:v>
                </c:pt>
                <c:pt idx="1128">
                  <c:v>59.613425580489029</c:v>
                </c:pt>
                <c:pt idx="1129">
                  <c:v>64.397379984723173</c:v>
                </c:pt>
                <c:pt idx="1130">
                  <c:v>52.524083458673317</c:v>
                </c:pt>
                <c:pt idx="1131">
                  <c:v>51.011087257812946</c:v>
                </c:pt>
                <c:pt idx="1132">
                  <c:v>50.53210261214322</c:v>
                </c:pt>
                <c:pt idx="1133">
                  <c:v>40.799278861192576</c:v>
                </c:pt>
                <c:pt idx="1134">
                  <c:v>36.640476618836495</c:v>
                </c:pt>
                <c:pt idx="1135">
                  <c:v>35.702083951551515</c:v>
                </c:pt>
                <c:pt idx="1136">
                  <c:v>44.405996460649867</c:v>
                </c:pt>
                <c:pt idx="1137">
                  <c:v>45.110820413665792</c:v>
                </c:pt>
                <c:pt idx="1138">
                  <c:v>51.222150158357152</c:v>
                </c:pt>
                <c:pt idx="1139">
                  <c:v>56.128459638201058</c:v>
                </c:pt>
                <c:pt idx="1140">
                  <c:v>59.253004688481369</c:v>
                </c:pt>
                <c:pt idx="1141">
                  <c:v>61.46265660112563</c:v>
                </c:pt>
                <c:pt idx="1142">
                  <c:v>63.706092038181296</c:v>
                </c:pt>
                <c:pt idx="1143">
                  <c:v>60.985199918932501</c:v>
                </c:pt>
                <c:pt idx="1144">
                  <c:v>63.285336830421798</c:v>
                </c:pt>
                <c:pt idx="1145">
                  <c:v>65.34626861881344</c:v>
                </c:pt>
                <c:pt idx="1146">
                  <c:v>67.119089288998026</c:v>
                </c:pt>
                <c:pt idx="1147">
                  <c:v>66.701497072928333</c:v>
                </c:pt>
                <c:pt idx="1148">
                  <c:v>58.819402726300069</c:v>
                </c:pt>
                <c:pt idx="1149">
                  <c:v>62.966705582665362</c:v>
                </c:pt>
                <c:pt idx="1150">
                  <c:v>62.301242568761538</c:v>
                </c:pt>
                <c:pt idx="1151">
                  <c:v>52.451221007737956</c:v>
                </c:pt>
                <c:pt idx="1152">
                  <c:v>49.209154953435721</c:v>
                </c:pt>
                <c:pt idx="1153">
                  <c:v>59.812825349195649</c:v>
                </c:pt>
                <c:pt idx="1154">
                  <c:v>62.622538923069449</c:v>
                </c:pt>
                <c:pt idx="1155">
                  <c:v>65.709076102761344</c:v>
                </c:pt>
                <c:pt idx="1156">
                  <c:v>65.267689765382499</c:v>
                </c:pt>
                <c:pt idx="1157">
                  <c:v>60.477158229526104</c:v>
                </c:pt>
                <c:pt idx="1158">
                  <c:v>64.557875123119203</c:v>
                </c:pt>
                <c:pt idx="1159">
                  <c:v>67.398776819553177</c:v>
                </c:pt>
                <c:pt idx="1160">
                  <c:v>69.105571489724326</c:v>
                </c:pt>
                <c:pt idx="1161">
                  <c:v>70.258411216076411</c:v>
                </c:pt>
                <c:pt idx="1162">
                  <c:v>60.338892243656176</c:v>
                </c:pt>
                <c:pt idx="1163">
                  <c:v>59.336457578017146</c:v>
                </c:pt>
                <c:pt idx="1164">
                  <c:v>55.006255300707274</c:v>
                </c:pt>
                <c:pt idx="1165">
                  <c:v>58.006525552255184</c:v>
                </c:pt>
                <c:pt idx="1166">
                  <c:v>62.455163673814461</c:v>
                </c:pt>
                <c:pt idx="1167">
                  <c:v>52.538101580205208</c:v>
                </c:pt>
                <c:pt idx="1168">
                  <c:v>46.136934234096579</c:v>
                </c:pt>
                <c:pt idx="1169">
                  <c:v>45.423874670682103</c:v>
                </c:pt>
                <c:pt idx="1170">
                  <c:v>45.983664429108913</c:v>
                </c:pt>
                <c:pt idx="1171">
                  <c:v>47.750107980999402</c:v>
                </c:pt>
                <c:pt idx="1172">
                  <c:v>48.977680737036309</c:v>
                </c:pt>
                <c:pt idx="1173">
                  <c:v>41.261346826165834</c:v>
                </c:pt>
                <c:pt idx="1174">
                  <c:v>40.191668186851928</c:v>
                </c:pt>
                <c:pt idx="1175">
                  <c:v>36.211002360653019</c:v>
                </c:pt>
                <c:pt idx="1176">
                  <c:v>39.274725876718023</c:v>
                </c:pt>
                <c:pt idx="1177">
                  <c:v>35.909067026098882</c:v>
                </c:pt>
                <c:pt idx="1178">
                  <c:v>26.836971004881974</c:v>
                </c:pt>
                <c:pt idx="1179">
                  <c:v>26.494405253644317</c:v>
                </c:pt>
                <c:pt idx="1180">
                  <c:v>26.772833218708087</c:v>
                </c:pt>
                <c:pt idx="1181">
                  <c:v>31.501487974123506</c:v>
                </c:pt>
                <c:pt idx="1182">
                  <c:v>40.296087833371011</c:v>
                </c:pt>
                <c:pt idx="1183">
                  <c:v>43.307119139462742</c:v>
                </c:pt>
                <c:pt idx="1184">
                  <c:v>43.189179012310213</c:v>
                </c:pt>
                <c:pt idx="1185">
                  <c:v>52.180531589772087</c:v>
                </c:pt>
                <c:pt idx="1186">
                  <c:v>56.591519422959628</c:v>
                </c:pt>
                <c:pt idx="1187">
                  <c:v>60.699805065809151</c:v>
                </c:pt>
                <c:pt idx="1188">
                  <c:v>63.274519090537652</c:v>
                </c:pt>
                <c:pt idx="1189">
                  <c:v>66.501686466697933</c:v>
                </c:pt>
                <c:pt idx="1190">
                  <c:v>64.007556671648658</c:v>
                </c:pt>
                <c:pt idx="1191">
                  <c:v>60.714542388243231</c:v>
                </c:pt>
                <c:pt idx="1192">
                  <c:v>59.453018141569579</c:v>
                </c:pt>
                <c:pt idx="1193">
                  <c:v>56.369732875123347</c:v>
                </c:pt>
                <c:pt idx="1194">
                  <c:v>59.168464649391488</c:v>
                </c:pt>
                <c:pt idx="1195">
                  <c:v>55.428077070300589</c:v>
                </c:pt>
                <c:pt idx="1196">
                  <c:v>48.38707536991717</c:v>
                </c:pt>
                <c:pt idx="1197">
                  <c:v>56.766820548054078</c:v>
                </c:pt>
                <c:pt idx="1198">
                  <c:v>61.156425238558775</c:v>
                </c:pt>
                <c:pt idx="1199">
                  <c:v>63.016802102043279</c:v>
                </c:pt>
                <c:pt idx="1200">
                  <c:v>65.367195158407739</c:v>
                </c:pt>
                <c:pt idx="1201">
                  <c:v>66.379649915407043</c:v>
                </c:pt>
                <c:pt idx="1202">
                  <c:v>64.35362103539434</c:v>
                </c:pt>
                <c:pt idx="1203">
                  <c:v>64.670332277779323</c:v>
                </c:pt>
                <c:pt idx="1204">
                  <c:v>63.061301304840796</c:v>
                </c:pt>
                <c:pt idx="1205">
                  <c:v>67.231818747658778</c:v>
                </c:pt>
                <c:pt idx="1206">
                  <c:v>63.957500398799972</c:v>
                </c:pt>
                <c:pt idx="1207">
                  <c:v>64.192256931782566</c:v>
                </c:pt>
                <c:pt idx="1208">
                  <c:v>69.982476370881727</c:v>
                </c:pt>
                <c:pt idx="1209">
                  <c:v>72.102390642619099</c:v>
                </c:pt>
                <c:pt idx="1210">
                  <c:v>72.875985123148325</c:v>
                </c:pt>
                <c:pt idx="1211">
                  <c:v>63.962216745476582</c:v>
                </c:pt>
                <c:pt idx="1212">
                  <c:v>60.544325425780997</c:v>
                </c:pt>
                <c:pt idx="1213">
                  <c:v>56.735253157423401</c:v>
                </c:pt>
                <c:pt idx="1214">
                  <c:v>51.57671628840118</c:v>
                </c:pt>
                <c:pt idx="1215">
                  <c:v>47.942362478831257</c:v>
                </c:pt>
                <c:pt idx="1216">
                  <c:v>49.537918716185196</c:v>
                </c:pt>
                <c:pt idx="1217">
                  <c:v>46.470191083427046</c:v>
                </c:pt>
                <c:pt idx="1218">
                  <c:v>49.501200520472011</c:v>
                </c:pt>
                <c:pt idx="1219">
                  <c:v>55.791341770905824</c:v>
                </c:pt>
                <c:pt idx="1220">
                  <c:v>44.664501960545458</c:v>
                </c:pt>
                <c:pt idx="1221">
                  <c:v>37.25744937740761</c:v>
                </c:pt>
                <c:pt idx="1222">
                  <c:v>39.255867649671565</c:v>
                </c:pt>
                <c:pt idx="1223">
                  <c:v>36.73571200870844</c:v>
                </c:pt>
                <c:pt idx="1224">
                  <c:v>42.680062802696455</c:v>
                </c:pt>
                <c:pt idx="1225">
                  <c:v>37.894205529751261</c:v>
                </c:pt>
                <c:pt idx="1226">
                  <c:v>35.492960585236347</c:v>
                </c:pt>
                <c:pt idx="1227">
                  <c:v>35.68174218218671</c:v>
                </c:pt>
                <c:pt idx="1228">
                  <c:v>27.980333754164661</c:v>
                </c:pt>
                <c:pt idx="1229">
                  <c:v>26.082856813947188</c:v>
                </c:pt>
                <c:pt idx="1230">
                  <c:v>22.177019747949132</c:v>
                </c:pt>
                <c:pt idx="1231">
                  <c:v>24.216482855002639</c:v>
                </c:pt>
                <c:pt idx="1232">
                  <c:v>27.768485686665144</c:v>
                </c:pt>
                <c:pt idx="1233">
                  <c:v>25.187113247191604</c:v>
                </c:pt>
                <c:pt idx="1234">
                  <c:v>33.064710370280721</c:v>
                </c:pt>
                <c:pt idx="1235">
                  <c:v>42.084489932432575</c:v>
                </c:pt>
                <c:pt idx="1236">
                  <c:v>45.915182521173151</c:v>
                </c:pt>
                <c:pt idx="1237">
                  <c:v>46.881659760055207</c:v>
                </c:pt>
                <c:pt idx="1238">
                  <c:v>52.151786885535941</c:v>
                </c:pt>
                <c:pt idx="1239">
                  <c:v>54.24192315721973</c:v>
                </c:pt>
                <c:pt idx="1240">
                  <c:v>54.326000171535298</c:v>
                </c:pt>
                <c:pt idx="1241">
                  <c:v>47.278359063460726</c:v>
                </c:pt>
                <c:pt idx="1242">
                  <c:v>46.286435705134743</c:v>
                </c:pt>
                <c:pt idx="1243">
                  <c:v>50.482039084368445</c:v>
                </c:pt>
                <c:pt idx="1244">
                  <c:v>52.033911779264059</c:v>
                </c:pt>
                <c:pt idx="1245">
                  <c:v>50.477914844107616</c:v>
                </c:pt>
                <c:pt idx="1246">
                  <c:v>58.448084791965869</c:v>
                </c:pt>
                <c:pt idx="1247">
                  <c:v>61.506015585303054</c:v>
                </c:pt>
                <c:pt idx="1248">
                  <c:v>61.909600770999148</c:v>
                </c:pt>
                <c:pt idx="1249">
                  <c:v>62.585507660246364</c:v>
                </c:pt>
                <c:pt idx="1250">
                  <c:v>61.556221720752987</c:v>
                </c:pt>
                <c:pt idx="1251">
                  <c:v>62.131109055399428</c:v>
                </c:pt>
                <c:pt idx="1252">
                  <c:v>64.422884616701424</c:v>
                </c:pt>
                <c:pt idx="1253">
                  <c:v>62.885937278936176</c:v>
                </c:pt>
                <c:pt idx="1254">
                  <c:v>65.079091673339803</c:v>
                </c:pt>
                <c:pt idx="1255">
                  <c:v>58.941264429114305</c:v>
                </c:pt>
                <c:pt idx="1256">
                  <c:v>57.799755271153622</c:v>
                </c:pt>
                <c:pt idx="1257">
                  <c:v>61.784946048177794</c:v>
                </c:pt>
                <c:pt idx="1258">
                  <c:v>60.210366641203414</c:v>
                </c:pt>
                <c:pt idx="1259">
                  <c:v>55.473736039947674</c:v>
                </c:pt>
                <c:pt idx="1260">
                  <c:v>54.810378470826983</c:v>
                </c:pt>
                <c:pt idx="1261">
                  <c:v>52.205240298021394</c:v>
                </c:pt>
                <c:pt idx="1262">
                  <c:v>51.71002540635542</c:v>
                </c:pt>
                <c:pt idx="1263">
                  <c:v>52.595071016223727</c:v>
                </c:pt>
                <c:pt idx="1264">
                  <c:v>54.148918764506192</c:v>
                </c:pt>
                <c:pt idx="1265">
                  <c:v>49.449380470629357</c:v>
                </c:pt>
                <c:pt idx="1266">
                  <c:v>46.739137159213904</c:v>
                </c:pt>
                <c:pt idx="1267">
                  <c:v>42.618312649108795</c:v>
                </c:pt>
                <c:pt idx="1268">
                  <c:v>43.776033895200392</c:v>
                </c:pt>
                <c:pt idx="1269">
                  <c:v>42.980513994196642</c:v>
                </c:pt>
                <c:pt idx="1270">
                  <c:v>37.313257490716772</c:v>
                </c:pt>
                <c:pt idx="1271">
                  <c:v>35.519010165851782</c:v>
                </c:pt>
                <c:pt idx="1272">
                  <c:v>35.288782894007625</c:v>
                </c:pt>
                <c:pt idx="1273">
                  <c:v>44.677606433949251</c:v>
                </c:pt>
                <c:pt idx="1274">
                  <c:v>53.463029096807723</c:v>
                </c:pt>
                <c:pt idx="1275">
                  <c:v>53.882550203708483</c:v>
                </c:pt>
                <c:pt idx="1276">
                  <c:v>52.916741029406815</c:v>
                </c:pt>
                <c:pt idx="1277">
                  <c:v>63.088833512997645</c:v>
                </c:pt>
                <c:pt idx="1278">
                  <c:v>63.088833512997645</c:v>
                </c:pt>
                <c:pt idx="1279">
                  <c:v>56.167501590569067</c:v>
                </c:pt>
                <c:pt idx="1280">
                  <c:v>46.385914224612065</c:v>
                </c:pt>
                <c:pt idx="1281">
                  <c:v>48.673933296764162</c:v>
                </c:pt>
                <c:pt idx="1282">
                  <c:v>54.09851907876925</c:v>
                </c:pt>
                <c:pt idx="1283">
                  <c:v>51.680290009935838</c:v>
                </c:pt>
                <c:pt idx="1284">
                  <c:v>54.450785978903113</c:v>
                </c:pt>
                <c:pt idx="1285">
                  <c:v>57.272504648702402</c:v>
                </c:pt>
                <c:pt idx="1286">
                  <c:v>53.076480534356044</c:v>
                </c:pt>
                <c:pt idx="1287">
                  <c:v>55.964482392440303</c:v>
                </c:pt>
                <c:pt idx="1288">
                  <c:v>57.397847695853244</c:v>
                </c:pt>
                <c:pt idx="1289">
                  <c:v>63.423909798620748</c:v>
                </c:pt>
                <c:pt idx="1290">
                  <c:v>64.793203601500963</c:v>
                </c:pt>
                <c:pt idx="1291">
                  <c:v>56.94862054361024</c:v>
                </c:pt>
                <c:pt idx="1292">
                  <c:v>55.535745252899325</c:v>
                </c:pt>
                <c:pt idx="1293">
                  <c:v>60.890953915101676</c:v>
                </c:pt>
                <c:pt idx="1294">
                  <c:v>64.383770946466115</c:v>
                </c:pt>
                <c:pt idx="1295">
                  <c:v>68.661839845054061</c:v>
                </c:pt>
                <c:pt idx="1296">
                  <c:v>52.348526653041134</c:v>
                </c:pt>
                <c:pt idx="1297">
                  <c:v>50.285078279000665</c:v>
                </c:pt>
                <c:pt idx="1298">
                  <c:v>55.506828870093564</c:v>
                </c:pt>
                <c:pt idx="1299">
                  <c:v>61.843157708129922</c:v>
                </c:pt>
                <c:pt idx="1300">
                  <c:v>65.79641362787271</c:v>
                </c:pt>
                <c:pt idx="1301">
                  <c:v>68.312113568947936</c:v>
                </c:pt>
                <c:pt idx="1302">
                  <c:v>70.224395804400999</c:v>
                </c:pt>
                <c:pt idx="1303">
                  <c:v>72.433920569421645</c:v>
                </c:pt>
                <c:pt idx="1304">
                  <c:v>75.360834395545169</c:v>
                </c:pt>
                <c:pt idx="1305">
                  <c:v>72.064719744345368</c:v>
                </c:pt>
                <c:pt idx="1306">
                  <c:v>71.301434467162579</c:v>
                </c:pt>
                <c:pt idx="1307">
                  <c:v>64.529750519684626</c:v>
                </c:pt>
                <c:pt idx="1308">
                  <c:v>67.95026152516354</c:v>
                </c:pt>
                <c:pt idx="1309">
                  <c:v>68.761305344676416</c:v>
                </c:pt>
                <c:pt idx="1310">
                  <c:v>64.788606279576257</c:v>
                </c:pt>
                <c:pt idx="1311">
                  <c:v>65.268818581752271</c:v>
                </c:pt>
                <c:pt idx="1312">
                  <c:v>60.527630841218652</c:v>
                </c:pt>
                <c:pt idx="1313">
                  <c:v>61.004284578843169</c:v>
                </c:pt>
                <c:pt idx="1314">
                  <c:v>47.14752132150528</c:v>
                </c:pt>
                <c:pt idx="1315">
                  <c:v>48.809733085957539</c:v>
                </c:pt>
                <c:pt idx="1316">
                  <c:v>52.158471015257291</c:v>
                </c:pt>
                <c:pt idx="1317">
                  <c:v>53.117366481536358</c:v>
                </c:pt>
                <c:pt idx="1318">
                  <c:v>45.953601942856928</c:v>
                </c:pt>
                <c:pt idx="1319">
                  <c:v>43.24778744214332</c:v>
                </c:pt>
                <c:pt idx="1320">
                  <c:v>39.904109348700104</c:v>
                </c:pt>
                <c:pt idx="1321">
                  <c:v>46.522837859414864</c:v>
                </c:pt>
                <c:pt idx="1322">
                  <c:v>46.637913813747751</c:v>
                </c:pt>
                <c:pt idx="1323">
                  <c:v>40.369856931862003</c:v>
                </c:pt>
                <c:pt idx="1324">
                  <c:v>40.109914792902813</c:v>
                </c:pt>
                <c:pt idx="1325">
                  <c:v>40.522352104095084</c:v>
                </c:pt>
                <c:pt idx="1326">
                  <c:v>54.733946346708436</c:v>
                </c:pt>
                <c:pt idx="1327">
                  <c:v>62.549575522648752</c:v>
                </c:pt>
                <c:pt idx="1328">
                  <c:v>65.876103261024738</c:v>
                </c:pt>
                <c:pt idx="1329">
                  <c:v>66.644241700403882</c:v>
                </c:pt>
                <c:pt idx="1330">
                  <c:v>69.436887585830803</c:v>
                </c:pt>
                <c:pt idx="1331">
                  <c:v>70.781010117836203</c:v>
                </c:pt>
                <c:pt idx="1332">
                  <c:v>73.355351449965866</c:v>
                </c:pt>
                <c:pt idx="1333">
                  <c:v>75.950431294719309</c:v>
                </c:pt>
                <c:pt idx="1334">
                  <c:v>78.445154190126701</c:v>
                </c:pt>
                <c:pt idx="1335">
                  <c:v>79.27710563269035</c:v>
                </c:pt>
                <c:pt idx="1336">
                  <c:v>79.499399630337678</c:v>
                </c:pt>
                <c:pt idx="1337">
                  <c:v>73.031287439340915</c:v>
                </c:pt>
                <c:pt idx="1338">
                  <c:v>75.290445893756598</c:v>
                </c:pt>
                <c:pt idx="1339">
                  <c:v>75.520485559490297</c:v>
                </c:pt>
                <c:pt idx="1340">
                  <c:v>71.915409239020278</c:v>
                </c:pt>
                <c:pt idx="1341">
                  <c:v>70.751497659890504</c:v>
                </c:pt>
                <c:pt idx="1342">
                  <c:v>71.972744080295257</c:v>
                </c:pt>
                <c:pt idx="1343">
                  <c:v>59.74848260179332</c:v>
                </c:pt>
                <c:pt idx="1344">
                  <c:v>59.829226192427285</c:v>
                </c:pt>
                <c:pt idx="1345">
                  <c:v>60.002039953700155</c:v>
                </c:pt>
                <c:pt idx="1346">
                  <c:v>58.643590861428336</c:v>
                </c:pt>
                <c:pt idx="1347">
                  <c:v>54.032681347337515</c:v>
                </c:pt>
                <c:pt idx="1348">
                  <c:v>51.538957772073523</c:v>
                </c:pt>
                <c:pt idx="1349">
                  <c:v>63.577374403939977</c:v>
                </c:pt>
                <c:pt idx="1350">
                  <c:v>64.78165456540745</c:v>
                </c:pt>
                <c:pt idx="1351">
                  <c:v>63.064457794857326</c:v>
                </c:pt>
                <c:pt idx="1352">
                  <c:v>64.242255579526969</c:v>
                </c:pt>
                <c:pt idx="1353">
                  <c:v>61.699673117938147</c:v>
                </c:pt>
                <c:pt idx="1354">
                  <c:v>67.212051679202929</c:v>
                </c:pt>
                <c:pt idx="1355">
                  <c:v>72.745375011239403</c:v>
                </c:pt>
                <c:pt idx="1356">
                  <c:v>70.673695359124267</c:v>
                </c:pt>
                <c:pt idx="1357">
                  <c:v>71.375994741947835</c:v>
                </c:pt>
                <c:pt idx="1358">
                  <c:v>73.797470147760194</c:v>
                </c:pt>
                <c:pt idx="1359">
                  <c:v>75.84457705913789</c:v>
                </c:pt>
                <c:pt idx="1360">
                  <c:v>77.544929378607719</c:v>
                </c:pt>
                <c:pt idx="1361">
                  <c:v>71.244007623137293</c:v>
                </c:pt>
                <c:pt idx="1362">
                  <c:v>65.511399649648084</c:v>
                </c:pt>
                <c:pt idx="1363">
                  <c:v>66.943632775198154</c:v>
                </c:pt>
                <c:pt idx="1364">
                  <c:v>73.355559867733632</c:v>
                </c:pt>
                <c:pt idx="1365">
                  <c:v>77.442169032831742</c:v>
                </c:pt>
                <c:pt idx="1366">
                  <c:v>77.779236318221763</c:v>
                </c:pt>
                <c:pt idx="1367">
                  <c:v>81.48660323899793</c:v>
                </c:pt>
                <c:pt idx="1368">
                  <c:v>84.660992739032181</c:v>
                </c:pt>
                <c:pt idx="1369">
                  <c:v>85.818111661535212</c:v>
                </c:pt>
                <c:pt idx="1370">
                  <c:v>85.918460124328774</c:v>
                </c:pt>
                <c:pt idx="1371">
                  <c:v>87.240746491922238</c:v>
                </c:pt>
                <c:pt idx="1372">
                  <c:v>81.090516134618369</c:v>
                </c:pt>
                <c:pt idx="1373">
                  <c:v>82.35157052371892</c:v>
                </c:pt>
                <c:pt idx="1374">
                  <c:v>74.848241462991652</c:v>
                </c:pt>
                <c:pt idx="1375">
                  <c:v>73.87453233416548</c:v>
                </c:pt>
                <c:pt idx="1376">
                  <c:v>76.670809458387893</c:v>
                </c:pt>
                <c:pt idx="1377">
                  <c:v>77.832257045151948</c:v>
                </c:pt>
                <c:pt idx="1378">
                  <c:v>82.17402816128839</c:v>
                </c:pt>
                <c:pt idx="1379">
                  <c:v>85.359252984348132</c:v>
                </c:pt>
                <c:pt idx="1380">
                  <c:v>87.113250900635151</c:v>
                </c:pt>
                <c:pt idx="1381">
                  <c:v>84.119343366443161</c:v>
                </c:pt>
                <c:pt idx="1382">
                  <c:v>83.925205043447491</c:v>
                </c:pt>
                <c:pt idx="1383">
                  <c:v>86.056514655305094</c:v>
                </c:pt>
                <c:pt idx="1384">
                  <c:v>87.335559934679409</c:v>
                </c:pt>
                <c:pt idx="1385">
                  <c:v>89.612056043477395</c:v>
                </c:pt>
                <c:pt idx="1386">
                  <c:v>80.926767253979165</c:v>
                </c:pt>
                <c:pt idx="1387">
                  <c:v>58.831865435761387</c:v>
                </c:pt>
                <c:pt idx="1388">
                  <c:v>46.367273608876566</c:v>
                </c:pt>
                <c:pt idx="1389">
                  <c:v>45.195450197742922</c:v>
                </c:pt>
                <c:pt idx="1390">
                  <c:v>48.522910561613536</c:v>
                </c:pt>
                <c:pt idx="1391">
                  <c:v>51.081743411334642</c:v>
                </c:pt>
                <c:pt idx="1392">
                  <c:v>53.567370080002988</c:v>
                </c:pt>
                <c:pt idx="1393">
                  <c:v>52.397840784232436</c:v>
                </c:pt>
                <c:pt idx="1394">
                  <c:v>49.93599505492444</c:v>
                </c:pt>
                <c:pt idx="1395">
                  <c:v>55.045140549145728</c:v>
                </c:pt>
                <c:pt idx="1396">
                  <c:v>54.39006100546451</c:v>
                </c:pt>
                <c:pt idx="1397">
                  <c:v>52.134977124368078</c:v>
                </c:pt>
                <c:pt idx="1398">
                  <c:v>53.778393352855986</c:v>
                </c:pt>
                <c:pt idx="1399">
                  <c:v>57.235087612752345</c:v>
                </c:pt>
                <c:pt idx="1400">
                  <c:v>54.259787209363914</c:v>
                </c:pt>
                <c:pt idx="1401">
                  <c:v>56.35934174899797</c:v>
                </c:pt>
                <c:pt idx="1402">
                  <c:v>59.591645361340866</c:v>
                </c:pt>
                <c:pt idx="1403">
                  <c:v>62.483251727490988</c:v>
                </c:pt>
                <c:pt idx="1404">
                  <c:v>61.763750974356853</c:v>
                </c:pt>
                <c:pt idx="1405">
                  <c:v>64.97150915267882</c:v>
                </c:pt>
                <c:pt idx="1406">
                  <c:v>68.419146968039882</c:v>
                </c:pt>
                <c:pt idx="1407">
                  <c:v>71.014704781294867</c:v>
                </c:pt>
                <c:pt idx="1408">
                  <c:v>73.013318198378983</c:v>
                </c:pt>
                <c:pt idx="1409">
                  <c:v>76.183712640464478</c:v>
                </c:pt>
                <c:pt idx="1410">
                  <c:v>76.326337310806096</c:v>
                </c:pt>
                <c:pt idx="1411">
                  <c:v>76.348128089678397</c:v>
                </c:pt>
                <c:pt idx="1412">
                  <c:v>71.262052560488868</c:v>
                </c:pt>
                <c:pt idx="1413">
                  <c:v>73.481594199831221</c:v>
                </c:pt>
                <c:pt idx="1414">
                  <c:v>67.696751270140567</c:v>
                </c:pt>
                <c:pt idx="1415">
                  <c:v>61.906955018089945</c:v>
                </c:pt>
                <c:pt idx="1416">
                  <c:v>64.646673786328392</c:v>
                </c:pt>
                <c:pt idx="1417">
                  <c:v>64.472114720343811</c:v>
                </c:pt>
                <c:pt idx="1418">
                  <c:v>68.429526505018302</c:v>
                </c:pt>
                <c:pt idx="1419">
                  <c:v>71.3198029531153</c:v>
                </c:pt>
                <c:pt idx="1420">
                  <c:v>71.071031732124482</c:v>
                </c:pt>
                <c:pt idx="1421">
                  <c:v>54.438762619343379</c:v>
                </c:pt>
                <c:pt idx="1422">
                  <c:v>48.08917939275652</c:v>
                </c:pt>
                <c:pt idx="1423">
                  <c:v>45.032322056020568</c:v>
                </c:pt>
                <c:pt idx="1424">
                  <c:v>48.506352871647948</c:v>
                </c:pt>
                <c:pt idx="1425">
                  <c:v>53.698306854797153</c:v>
                </c:pt>
                <c:pt idx="1426">
                  <c:v>52.322298040411773</c:v>
                </c:pt>
                <c:pt idx="1427">
                  <c:v>63.639740812448856</c:v>
                </c:pt>
                <c:pt idx="1428">
                  <c:v>66.007690344268894</c:v>
                </c:pt>
                <c:pt idx="1429">
                  <c:v>67.681643940092528</c:v>
                </c:pt>
                <c:pt idx="1430">
                  <c:v>66.871718772667862</c:v>
                </c:pt>
                <c:pt idx="1431">
                  <c:v>66.947332343113743</c:v>
                </c:pt>
                <c:pt idx="1432">
                  <c:v>67.464490773358904</c:v>
                </c:pt>
                <c:pt idx="1433">
                  <c:v>69.86467849641069</c:v>
                </c:pt>
                <c:pt idx="1434">
                  <c:v>68.557955636500552</c:v>
                </c:pt>
                <c:pt idx="1435">
                  <c:v>68.357681379946087</c:v>
                </c:pt>
                <c:pt idx="1436">
                  <c:v>67.71856353341488</c:v>
                </c:pt>
                <c:pt idx="1437">
                  <c:v>68.57229158361281</c:v>
                </c:pt>
                <c:pt idx="1438">
                  <c:v>75.883674393658964</c:v>
                </c:pt>
                <c:pt idx="1439">
                  <c:v>73.531598157601366</c:v>
                </c:pt>
                <c:pt idx="1440">
                  <c:v>70.076041888222505</c:v>
                </c:pt>
                <c:pt idx="1441">
                  <c:v>70.090596581537781</c:v>
                </c:pt>
                <c:pt idx="1442">
                  <c:v>72.242444784450541</c:v>
                </c:pt>
                <c:pt idx="1443">
                  <c:v>67.612641920491086</c:v>
                </c:pt>
                <c:pt idx="1444">
                  <c:v>69.775210916625454</c:v>
                </c:pt>
                <c:pt idx="1445">
                  <c:v>70.671066885948008</c:v>
                </c:pt>
                <c:pt idx="1446">
                  <c:v>70.848766601519458</c:v>
                </c:pt>
                <c:pt idx="1447">
                  <c:v>66.15545583738762</c:v>
                </c:pt>
                <c:pt idx="1448">
                  <c:v>69.871863341530059</c:v>
                </c:pt>
                <c:pt idx="1449">
                  <c:v>73.719100810631602</c:v>
                </c:pt>
                <c:pt idx="1450">
                  <c:v>73.395800217424096</c:v>
                </c:pt>
                <c:pt idx="1451">
                  <c:v>75.241084162096101</c:v>
                </c:pt>
                <c:pt idx="1452">
                  <c:v>77.444129157909714</c:v>
                </c:pt>
                <c:pt idx="1453">
                  <c:v>71.694679819922101</c:v>
                </c:pt>
                <c:pt idx="1454">
                  <c:v>72.371702220892516</c:v>
                </c:pt>
                <c:pt idx="1455">
                  <c:v>73.26350875175703</c:v>
                </c:pt>
                <c:pt idx="1456">
                  <c:v>72.572225476018559</c:v>
                </c:pt>
                <c:pt idx="1457">
                  <c:v>74.84301550204674</c:v>
                </c:pt>
                <c:pt idx="1458">
                  <c:v>76.414062009577464</c:v>
                </c:pt>
                <c:pt idx="1459">
                  <c:v>77.777019954869644</c:v>
                </c:pt>
                <c:pt idx="1460">
                  <c:v>76.741920435845529</c:v>
                </c:pt>
                <c:pt idx="1461">
                  <c:v>77.709817490463621</c:v>
                </c:pt>
                <c:pt idx="1462">
                  <c:v>79.793285940559173</c:v>
                </c:pt>
                <c:pt idx="1463">
                  <c:v>78.216392942530391</c:v>
                </c:pt>
                <c:pt idx="1464">
                  <c:v>70.006105155042093</c:v>
                </c:pt>
                <c:pt idx="1465">
                  <c:v>56.401159295298775</c:v>
                </c:pt>
                <c:pt idx="1466">
                  <c:v>58.331504339060125</c:v>
                </c:pt>
                <c:pt idx="1467">
                  <c:v>60.355697504246116</c:v>
                </c:pt>
                <c:pt idx="1468">
                  <c:v>57.720225514807638</c:v>
                </c:pt>
                <c:pt idx="1469">
                  <c:v>64.048839820904831</c:v>
                </c:pt>
                <c:pt idx="1470">
                  <c:v>65.23596022139381</c:v>
                </c:pt>
                <c:pt idx="1471">
                  <c:v>62.65566992412645</c:v>
                </c:pt>
                <c:pt idx="1472">
                  <c:v>60.369891818019902</c:v>
                </c:pt>
                <c:pt idx="1473">
                  <c:v>55.812127102137246</c:v>
                </c:pt>
                <c:pt idx="1474">
                  <c:v>61.256963550183286</c:v>
                </c:pt>
                <c:pt idx="1475">
                  <c:v>68.240530286706502</c:v>
                </c:pt>
                <c:pt idx="1476">
                  <c:v>71.91344576158005</c:v>
                </c:pt>
                <c:pt idx="1477">
                  <c:v>75.864283332898836</c:v>
                </c:pt>
                <c:pt idx="1478">
                  <c:v>79.250359616726215</c:v>
                </c:pt>
                <c:pt idx="1479">
                  <c:v>81.920111279397418</c:v>
                </c:pt>
                <c:pt idx="1480">
                  <c:v>84.4229554403191</c:v>
                </c:pt>
                <c:pt idx="1481">
                  <c:v>84.644007764211409</c:v>
                </c:pt>
                <c:pt idx="1482">
                  <c:v>86.905157179393143</c:v>
                </c:pt>
                <c:pt idx="1483">
                  <c:v>87.329289730058917</c:v>
                </c:pt>
                <c:pt idx="1484">
                  <c:v>88.543527921524031</c:v>
                </c:pt>
                <c:pt idx="1485">
                  <c:v>90.088063695163328</c:v>
                </c:pt>
                <c:pt idx="1486">
                  <c:v>89.985137278668589</c:v>
                </c:pt>
                <c:pt idx="1487">
                  <c:v>92.224946056993218</c:v>
                </c:pt>
                <c:pt idx="1488">
                  <c:v>90.688750552870744</c:v>
                </c:pt>
                <c:pt idx="1489">
                  <c:v>90.695507935014177</c:v>
                </c:pt>
                <c:pt idx="1490">
                  <c:v>91.616710209053537</c:v>
                </c:pt>
                <c:pt idx="1491">
                  <c:v>92.054740545104366</c:v>
                </c:pt>
                <c:pt idx="1492">
                  <c:v>77.416270314741908</c:v>
                </c:pt>
                <c:pt idx="1493">
                  <c:v>80.022423437655291</c:v>
                </c:pt>
                <c:pt idx="1494">
                  <c:v>81.527402219194073</c:v>
                </c:pt>
                <c:pt idx="1495">
                  <c:v>84.30206348181008</c:v>
                </c:pt>
                <c:pt idx="1496">
                  <c:v>87.007088355565884</c:v>
                </c:pt>
                <c:pt idx="1497">
                  <c:v>87.520228671205572</c:v>
                </c:pt>
                <c:pt idx="1498">
                  <c:v>88.945057264973158</c:v>
                </c:pt>
                <c:pt idx="1499">
                  <c:v>90.569056711028352</c:v>
                </c:pt>
                <c:pt idx="1500">
                  <c:v>87.87674698260129</c:v>
                </c:pt>
                <c:pt idx="1501">
                  <c:v>76.744116780523456</c:v>
                </c:pt>
                <c:pt idx="1502">
                  <c:v>82.569881496758313</c:v>
                </c:pt>
                <c:pt idx="1503">
                  <c:v>85.083505529522213</c:v>
                </c:pt>
                <c:pt idx="1504">
                  <c:v>87.317586484173646</c:v>
                </c:pt>
                <c:pt idx="1505">
                  <c:v>87.398473443244455</c:v>
                </c:pt>
                <c:pt idx="1506">
                  <c:v>87.818116430755126</c:v>
                </c:pt>
                <c:pt idx="1507">
                  <c:v>88.418615751053025</c:v>
                </c:pt>
                <c:pt idx="1508">
                  <c:v>84.534016074678732</c:v>
                </c:pt>
                <c:pt idx="1509">
                  <c:v>85.819428258745944</c:v>
                </c:pt>
                <c:pt idx="1510">
                  <c:v>85.872810604782273</c:v>
                </c:pt>
                <c:pt idx="1511">
                  <c:v>88.673382606995119</c:v>
                </c:pt>
                <c:pt idx="1512">
                  <c:v>90.4635096344647</c:v>
                </c:pt>
                <c:pt idx="1513">
                  <c:v>91.434757947568784</c:v>
                </c:pt>
                <c:pt idx="1514">
                  <c:v>90.375422591045151</c:v>
                </c:pt>
                <c:pt idx="1515">
                  <c:v>90.366474227407977</c:v>
                </c:pt>
                <c:pt idx="1516">
                  <c:v>91.775234684873837</c:v>
                </c:pt>
                <c:pt idx="1517">
                  <c:v>72.386862452914613</c:v>
                </c:pt>
                <c:pt idx="1518">
                  <c:v>62.953786788487335</c:v>
                </c:pt>
                <c:pt idx="1519">
                  <c:v>64.059183212998278</c:v>
                </c:pt>
                <c:pt idx="1520">
                  <c:v>72.440442883531418</c:v>
                </c:pt>
                <c:pt idx="1521">
                  <c:v>74.998789930603181</c:v>
                </c:pt>
                <c:pt idx="1522">
                  <c:v>77.849111292571678</c:v>
                </c:pt>
                <c:pt idx="1523">
                  <c:v>77.494261062439406</c:v>
                </c:pt>
                <c:pt idx="1524">
                  <c:v>79.134896642288552</c:v>
                </c:pt>
                <c:pt idx="1525">
                  <c:v>81.351018269816507</c:v>
                </c:pt>
                <c:pt idx="1526">
                  <c:v>80.882346026392298</c:v>
                </c:pt>
                <c:pt idx="1527">
                  <c:v>79.144558589052664</c:v>
                </c:pt>
                <c:pt idx="1528">
                  <c:v>81.738380452450286</c:v>
                </c:pt>
                <c:pt idx="1529">
                  <c:v>72.810597681164069</c:v>
                </c:pt>
                <c:pt idx="1530">
                  <c:v>71.348589536703798</c:v>
                </c:pt>
                <c:pt idx="1531">
                  <c:v>68.463884915795603</c:v>
                </c:pt>
                <c:pt idx="1532">
                  <c:v>74.111716290843162</c:v>
                </c:pt>
                <c:pt idx="1533">
                  <c:v>76.026447583999982</c:v>
                </c:pt>
                <c:pt idx="1534">
                  <c:v>75.533076131788846</c:v>
                </c:pt>
                <c:pt idx="1535">
                  <c:v>69.741097237039</c:v>
                </c:pt>
                <c:pt idx="1536">
                  <c:v>72.982080073592158</c:v>
                </c:pt>
                <c:pt idx="1537">
                  <c:v>74.056448967405331</c:v>
                </c:pt>
                <c:pt idx="1538">
                  <c:v>67.576550291485944</c:v>
                </c:pt>
                <c:pt idx="1539">
                  <c:v>70.404373837601298</c:v>
                </c:pt>
                <c:pt idx="1540">
                  <c:v>71.093738837561631</c:v>
                </c:pt>
                <c:pt idx="1541">
                  <c:v>71.889573381251395</c:v>
                </c:pt>
                <c:pt idx="1542">
                  <c:v>69.029791958776599</c:v>
                </c:pt>
                <c:pt idx="1543">
                  <c:v>57.92496424137078</c:v>
                </c:pt>
                <c:pt idx="1544">
                  <c:v>56.407260114122657</c:v>
                </c:pt>
                <c:pt idx="1545">
                  <c:v>50.823829268438622</c:v>
                </c:pt>
                <c:pt idx="1546">
                  <c:v>51.341312125252898</c:v>
                </c:pt>
                <c:pt idx="1547">
                  <c:v>47.890968883290824</c:v>
                </c:pt>
                <c:pt idx="1548">
                  <c:v>37.112851010974097</c:v>
                </c:pt>
                <c:pt idx="1549">
                  <c:v>37.616004959018355</c:v>
                </c:pt>
                <c:pt idx="1550">
                  <c:v>46.857648854260049</c:v>
                </c:pt>
                <c:pt idx="1551">
                  <c:v>44.09213960506812</c:v>
                </c:pt>
                <c:pt idx="1552">
                  <c:v>41.254684349110256</c:v>
                </c:pt>
                <c:pt idx="1553">
                  <c:v>39.19710529358877</c:v>
                </c:pt>
                <c:pt idx="1554">
                  <c:v>30.693120909701193</c:v>
                </c:pt>
                <c:pt idx="1555">
                  <c:v>34.353968595066505</c:v>
                </c:pt>
                <c:pt idx="1556">
                  <c:v>40.023092299874655</c:v>
                </c:pt>
                <c:pt idx="1557">
                  <c:v>41.583663460487955</c:v>
                </c:pt>
                <c:pt idx="1558">
                  <c:v>41.226120025674582</c:v>
                </c:pt>
                <c:pt idx="1559">
                  <c:v>38.258467938933883</c:v>
                </c:pt>
                <c:pt idx="1560">
                  <c:v>44.082142885128739</c:v>
                </c:pt>
                <c:pt idx="1561">
                  <c:v>40.81501923773714</c:v>
                </c:pt>
                <c:pt idx="1562">
                  <c:v>38.420940798675325</c:v>
                </c:pt>
                <c:pt idx="1563">
                  <c:v>34.118997816151605</c:v>
                </c:pt>
                <c:pt idx="1564">
                  <c:v>28.334821608810032</c:v>
                </c:pt>
                <c:pt idx="1565">
                  <c:v>29.380920927454397</c:v>
                </c:pt>
                <c:pt idx="1566">
                  <c:v>27.242540404302815</c:v>
                </c:pt>
                <c:pt idx="1567">
                  <c:v>26.627706980412981</c:v>
                </c:pt>
                <c:pt idx="1568">
                  <c:v>33.417611114053187</c:v>
                </c:pt>
                <c:pt idx="1569">
                  <c:v>32.782511585391632</c:v>
                </c:pt>
                <c:pt idx="1570">
                  <c:v>32.575364721590958</c:v>
                </c:pt>
                <c:pt idx="1571">
                  <c:v>29.089849315332771</c:v>
                </c:pt>
                <c:pt idx="1572">
                  <c:v>30.399024555301153</c:v>
                </c:pt>
                <c:pt idx="1573">
                  <c:v>36.139221135879595</c:v>
                </c:pt>
                <c:pt idx="1574">
                  <c:v>41.626055841874901</c:v>
                </c:pt>
                <c:pt idx="1575">
                  <c:v>47.165091390648811</c:v>
                </c:pt>
                <c:pt idx="1576">
                  <c:v>47.631949353236401</c:v>
                </c:pt>
                <c:pt idx="1577">
                  <c:v>47.33332436657691</c:v>
                </c:pt>
                <c:pt idx="1578">
                  <c:v>50.644612370618326</c:v>
                </c:pt>
                <c:pt idx="1579">
                  <c:v>52.709677819141518</c:v>
                </c:pt>
                <c:pt idx="1580">
                  <c:v>53.912193965833318</c:v>
                </c:pt>
                <c:pt idx="1581">
                  <c:v>57.142065534668411</c:v>
                </c:pt>
                <c:pt idx="1582">
                  <c:v>61.984272149729676</c:v>
                </c:pt>
                <c:pt idx="1583">
                  <c:v>62.926782985411776</c:v>
                </c:pt>
                <c:pt idx="1584">
                  <c:v>60.05985681994418</c:v>
                </c:pt>
                <c:pt idx="1585">
                  <c:v>60.98632725350609</c:v>
                </c:pt>
                <c:pt idx="1586">
                  <c:v>56.393595721574783</c:v>
                </c:pt>
                <c:pt idx="1587">
                  <c:v>59.605342797460082</c:v>
                </c:pt>
                <c:pt idx="1588">
                  <c:v>55.643712782539446</c:v>
                </c:pt>
                <c:pt idx="1589">
                  <c:v>53.248676302183199</c:v>
                </c:pt>
                <c:pt idx="1590">
                  <c:v>56.660637348158346</c:v>
                </c:pt>
                <c:pt idx="1591">
                  <c:v>56.590947442129163</c:v>
                </c:pt>
                <c:pt idx="1592">
                  <c:v>62.327231031763596</c:v>
                </c:pt>
                <c:pt idx="1593">
                  <c:v>65.223203979649469</c:v>
                </c:pt>
                <c:pt idx="1594">
                  <c:v>62.19546825599906</c:v>
                </c:pt>
                <c:pt idx="1595">
                  <c:v>64.035812805424541</c:v>
                </c:pt>
                <c:pt idx="1596">
                  <c:v>63.175998156774284</c:v>
                </c:pt>
                <c:pt idx="1597">
                  <c:v>57.792672095245209</c:v>
                </c:pt>
                <c:pt idx="1598">
                  <c:v>59.482726885718542</c:v>
                </c:pt>
                <c:pt idx="1599">
                  <c:v>62.296551017088284</c:v>
                </c:pt>
                <c:pt idx="1600">
                  <c:v>64.510108747421299</c:v>
                </c:pt>
                <c:pt idx="1601">
                  <c:v>64.736522518411107</c:v>
                </c:pt>
                <c:pt idx="1602">
                  <c:v>64.932351696649846</c:v>
                </c:pt>
                <c:pt idx="1603">
                  <c:v>57.815834793327554</c:v>
                </c:pt>
                <c:pt idx="1604">
                  <c:v>63.566015874348828</c:v>
                </c:pt>
                <c:pt idx="1605">
                  <c:v>66.260070329926663</c:v>
                </c:pt>
                <c:pt idx="1606">
                  <c:v>67.979898794653963</c:v>
                </c:pt>
                <c:pt idx="1607">
                  <c:v>67.517168216080847</c:v>
                </c:pt>
                <c:pt idx="1608">
                  <c:v>69.362459761633914</c:v>
                </c:pt>
                <c:pt idx="1609">
                  <c:v>70.259936489347183</c:v>
                </c:pt>
                <c:pt idx="1610">
                  <c:v>67.20190758594444</c:v>
                </c:pt>
                <c:pt idx="1611">
                  <c:v>58.845530232514307</c:v>
                </c:pt>
                <c:pt idx="1612">
                  <c:v>59.876670813224607</c:v>
                </c:pt>
                <c:pt idx="1613">
                  <c:v>63.613631656609357</c:v>
                </c:pt>
                <c:pt idx="1614">
                  <c:v>67.337709005046804</c:v>
                </c:pt>
                <c:pt idx="1615">
                  <c:v>71.950428580587356</c:v>
                </c:pt>
                <c:pt idx="1616">
                  <c:v>74.128186839254681</c:v>
                </c:pt>
                <c:pt idx="1617">
                  <c:v>76.30684876900105</c:v>
                </c:pt>
                <c:pt idx="1618">
                  <c:v>76.890753725579714</c:v>
                </c:pt>
                <c:pt idx="1619">
                  <c:v>78.418181839635565</c:v>
                </c:pt>
                <c:pt idx="1620">
                  <c:v>69.363985421049762</c:v>
                </c:pt>
                <c:pt idx="1621">
                  <c:v>74.173712006181887</c:v>
                </c:pt>
                <c:pt idx="1622">
                  <c:v>77.378383990608739</c:v>
                </c:pt>
                <c:pt idx="1623">
                  <c:v>77.570837381267779</c:v>
                </c:pt>
                <c:pt idx="1624">
                  <c:v>78.0016850973754</c:v>
                </c:pt>
                <c:pt idx="1625">
                  <c:v>64.480571721028255</c:v>
                </c:pt>
                <c:pt idx="1626">
                  <c:v>68.287516562332257</c:v>
                </c:pt>
                <c:pt idx="1627">
                  <c:v>71.571885340110811</c:v>
                </c:pt>
                <c:pt idx="1628">
                  <c:v>59.644780187900849</c:v>
                </c:pt>
                <c:pt idx="1629">
                  <c:v>61.093957413432207</c:v>
                </c:pt>
                <c:pt idx="1630">
                  <c:v>49.054707808498542</c:v>
                </c:pt>
                <c:pt idx="1631">
                  <c:v>46.697992973841437</c:v>
                </c:pt>
                <c:pt idx="1632">
                  <c:v>43.153201142306877</c:v>
                </c:pt>
                <c:pt idx="1633">
                  <c:v>49.033220999563689</c:v>
                </c:pt>
                <c:pt idx="1634">
                  <c:v>52.285038058085085</c:v>
                </c:pt>
                <c:pt idx="1635">
                  <c:v>46.269326920569114</c:v>
                </c:pt>
                <c:pt idx="1636">
                  <c:v>39.621114391139294</c:v>
                </c:pt>
                <c:pt idx="1637">
                  <c:v>42.194116997387056</c:v>
                </c:pt>
                <c:pt idx="1638">
                  <c:v>37.584113827261397</c:v>
                </c:pt>
                <c:pt idx="1639">
                  <c:v>25.87480963100333</c:v>
                </c:pt>
                <c:pt idx="1640">
                  <c:v>23.186289990892263</c:v>
                </c:pt>
                <c:pt idx="1641">
                  <c:v>23.021681000392036</c:v>
                </c:pt>
                <c:pt idx="1642">
                  <c:v>22.643219756304021</c:v>
                </c:pt>
                <c:pt idx="1643">
                  <c:v>20.789149280062617</c:v>
                </c:pt>
                <c:pt idx="1644">
                  <c:v>19.42400273959413</c:v>
                </c:pt>
                <c:pt idx="1645">
                  <c:v>28.934009134339419</c:v>
                </c:pt>
                <c:pt idx="1646">
                  <c:v>33.939477978415951</c:v>
                </c:pt>
                <c:pt idx="1647">
                  <c:v>36.05881523937046</c:v>
                </c:pt>
                <c:pt idx="1648">
                  <c:v>36.950000557726746</c:v>
                </c:pt>
                <c:pt idx="1649">
                  <c:v>43.420831536177033</c:v>
                </c:pt>
                <c:pt idx="1650">
                  <c:v>46.221084446344314</c:v>
                </c:pt>
                <c:pt idx="1651">
                  <c:v>48.058514947092526</c:v>
                </c:pt>
                <c:pt idx="1652">
                  <c:v>49.69327008580332</c:v>
                </c:pt>
                <c:pt idx="1653">
                  <c:v>51.490511003365171</c:v>
                </c:pt>
                <c:pt idx="1654">
                  <c:v>52.570180243047609</c:v>
                </c:pt>
                <c:pt idx="1655">
                  <c:v>49.477778973630713</c:v>
                </c:pt>
                <c:pt idx="1656">
                  <c:v>54.718949419500703</c:v>
                </c:pt>
                <c:pt idx="1657">
                  <c:v>58.08936657557112</c:v>
                </c:pt>
                <c:pt idx="1658">
                  <c:v>51.499961410463584</c:v>
                </c:pt>
                <c:pt idx="1659">
                  <c:v>48.108446831220228</c:v>
                </c:pt>
                <c:pt idx="1660">
                  <c:v>47.818922413893517</c:v>
                </c:pt>
                <c:pt idx="1661">
                  <c:v>48.519956362526905</c:v>
                </c:pt>
                <c:pt idx="1662">
                  <c:v>51.766611143161001</c:v>
                </c:pt>
                <c:pt idx="1663">
                  <c:v>56.015786684326542</c:v>
                </c:pt>
                <c:pt idx="1664">
                  <c:v>58.203536317603636</c:v>
                </c:pt>
                <c:pt idx="1665">
                  <c:v>61.429340734829552</c:v>
                </c:pt>
                <c:pt idx="1666">
                  <c:v>64.289547781483137</c:v>
                </c:pt>
                <c:pt idx="1667">
                  <c:v>66.775581796379299</c:v>
                </c:pt>
                <c:pt idx="1668">
                  <c:v>64.680965800492103</c:v>
                </c:pt>
                <c:pt idx="1669">
                  <c:v>66.518636336084072</c:v>
                </c:pt>
                <c:pt idx="1670">
                  <c:v>66.984210393364634</c:v>
                </c:pt>
                <c:pt idx="1671">
                  <c:v>60.218242456878272</c:v>
                </c:pt>
                <c:pt idx="1672">
                  <c:v>63.192491643501874</c:v>
                </c:pt>
                <c:pt idx="1673">
                  <c:v>48.715928557451413</c:v>
                </c:pt>
                <c:pt idx="1674">
                  <c:v>47.753256706669042</c:v>
                </c:pt>
                <c:pt idx="1675">
                  <c:v>50.806881619327022</c:v>
                </c:pt>
                <c:pt idx="1676">
                  <c:v>52.527631247903379</c:v>
                </c:pt>
                <c:pt idx="1677">
                  <c:v>54.051185083846626</c:v>
                </c:pt>
                <c:pt idx="1678">
                  <c:v>58.867861926848754</c:v>
                </c:pt>
                <c:pt idx="1679">
                  <c:v>62.686620071530029</c:v>
                </c:pt>
                <c:pt idx="1680">
                  <c:v>65.153197753223878</c:v>
                </c:pt>
                <c:pt idx="1681">
                  <c:v>64.80046806854952</c:v>
                </c:pt>
                <c:pt idx="1682">
                  <c:v>59.248862674804748</c:v>
                </c:pt>
                <c:pt idx="1683">
                  <c:v>57.170971878611461</c:v>
                </c:pt>
                <c:pt idx="1684">
                  <c:v>60.235434332968957</c:v>
                </c:pt>
                <c:pt idx="1685">
                  <c:v>63.608873159613005</c:v>
                </c:pt>
                <c:pt idx="1686">
                  <c:v>66.417089533591806</c:v>
                </c:pt>
                <c:pt idx="1687">
                  <c:v>65.652680017393209</c:v>
                </c:pt>
                <c:pt idx="1688">
                  <c:v>59.90980951478744</c:v>
                </c:pt>
                <c:pt idx="1689">
                  <c:v>62.194167238244738</c:v>
                </c:pt>
                <c:pt idx="1690">
                  <c:v>66.494880454721311</c:v>
                </c:pt>
                <c:pt idx="1691">
                  <c:v>68.606802297261268</c:v>
                </c:pt>
                <c:pt idx="1692">
                  <c:v>70.984420294764632</c:v>
                </c:pt>
                <c:pt idx="1693">
                  <c:v>72.155903137371325</c:v>
                </c:pt>
                <c:pt idx="1694">
                  <c:v>75.814949194496634</c:v>
                </c:pt>
                <c:pt idx="1695">
                  <c:v>72.680422123345281</c:v>
                </c:pt>
                <c:pt idx="1696">
                  <c:v>75.286889564109146</c:v>
                </c:pt>
                <c:pt idx="1697">
                  <c:v>75.358415438742441</c:v>
                </c:pt>
                <c:pt idx="1698">
                  <c:v>76.254940564127025</c:v>
                </c:pt>
                <c:pt idx="1699">
                  <c:v>77.919385262727673</c:v>
                </c:pt>
                <c:pt idx="1700">
                  <c:v>80.730766746349985</c:v>
                </c:pt>
                <c:pt idx="1701">
                  <c:v>81.68905164393324</c:v>
                </c:pt>
                <c:pt idx="1702">
                  <c:v>82.260505339746871</c:v>
                </c:pt>
                <c:pt idx="1703">
                  <c:v>81.263937515252294</c:v>
                </c:pt>
                <c:pt idx="1704">
                  <c:v>83.181073548756387</c:v>
                </c:pt>
                <c:pt idx="1705">
                  <c:v>83.210528744078104</c:v>
                </c:pt>
                <c:pt idx="1706">
                  <c:v>84.235490188340677</c:v>
                </c:pt>
                <c:pt idx="1707">
                  <c:v>86.264545763633464</c:v>
                </c:pt>
                <c:pt idx="1708">
                  <c:v>87.077346387794861</c:v>
                </c:pt>
                <c:pt idx="1709">
                  <c:v>84.676944977729676</c:v>
                </c:pt>
                <c:pt idx="1710">
                  <c:v>85.829531367936809</c:v>
                </c:pt>
                <c:pt idx="1711">
                  <c:v>75.091557011711075</c:v>
                </c:pt>
                <c:pt idx="1712">
                  <c:v>80.205321969934573</c:v>
                </c:pt>
                <c:pt idx="1713">
                  <c:v>80.593208429301569</c:v>
                </c:pt>
                <c:pt idx="1714">
                  <c:v>76.264431158760203</c:v>
                </c:pt>
                <c:pt idx="1715">
                  <c:v>78.803091008120461</c:v>
                </c:pt>
                <c:pt idx="1716">
                  <c:v>78.433493693070588</c:v>
                </c:pt>
                <c:pt idx="1717">
                  <c:v>79.142343844932469</c:v>
                </c:pt>
                <c:pt idx="1718">
                  <c:v>79.957224635608071</c:v>
                </c:pt>
                <c:pt idx="1719">
                  <c:v>77.540945998862739</c:v>
                </c:pt>
                <c:pt idx="1720">
                  <c:v>76.527021767936589</c:v>
                </c:pt>
                <c:pt idx="1721">
                  <c:v>66.638390520873173</c:v>
                </c:pt>
                <c:pt idx="1722">
                  <c:v>53.534471963123906</c:v>
                </c:pt>
                <c:pt idx="1723">
                  <c:v>60.567609276034077</c:v>
                </c:pt>
                <c:pt idx="1724">
                  <c:v>64.575887466389361</c:v>
                </c:pt>
                <c:pt idx="1725">
                  <c:v>61.380603356246034</c:v>
                </c:pt>
                <c:pt idx="1726">
                  <c:v>48.254498825017471</c:v>
                </c:pt>
                <c:pt idx="1727">
                  <c:v>47.118745158159356</c:v>
                </c:pt>
                <c:pt idx="1728">
                  <c:v>56.299701643807502</c:v>
                </c:pt>
                <c:pt idx="1729">
                  <c:v>59.732589258406442</c:v>
                </c:pt>
                <c:pt idx="1730">
                  <c:v>58.805209947031003</c:v>
                </c:pt>
                <c:pt idx="1731">
                  <c:v>60.032018525867379</c:v>
                </c:pt>
                <c:pt idx="1732">
                  <c:v>64.111924870906421</c:v>
                </c:pt>
                <c:pt idx="1733">
                  <c:v>65.401963004833476</c:v>
                </c:pt>
                <c:pt idx="1734">
                  <c:v>63.91408081891953</c:v>
                </c:pt>
                <c:pt idx="1735">
                  <c:v>62.227408382806125</c:v>
                </c:pt>
                <c:pt idx="1736">
                  <c:v>63.769442026448125</c:v>
                </c:pt>
                <c:pt idx="1737">
                  <c:v>68.857259427783362</c:v>
                </c:pt>
                <c:pt idx="1738">
                  <c:v>70.418435101141611</c:v>
                </c:pt>
                <c:pt idx="1739">
                  <c:v>73.200778095403209</c:v>
                </c:pt>
                <c:pt idx="1740">
                  <c:v>74.912651750656238</c:v>
                </c:pt>
                <c:pt idx="1741">
                  <c:v>73.878584780334322</c:v>
                </c:pt>
                <c:pt idx="1742">
                  <c:v>75.617959197851263</c:v>
                </c:pt>
                <c:pt idx="1743">
                  <c:v>77.358702398791706</c:v>
                </c:pt>
                <c:pt idx="1744">
                  <c:v>78.229838363022722</c:v>
                </c:pt>
                <c:pt idx="1745">
                  <c:v>78.324519146905345</c:v>
                </c:pt>
                <c:pt idx="1746">
                  <c:v>79.94688638670948</c:v>
                </c:pt>
                <c:pt idx="1747">
                  <c:v>82.428428901770758</c:v>
                </c:pt>
                <c:pt idx="1748">
                  <c:v>83.670198089217379</c:v>
                </c:pt>
                <c:pt idx="1749">
                  <c:v>85.76345907308864</c:v>
                </c:pt>
                <c:pt idx="1750">
                  <c:v>88.563797953353699</c:v>
                </c:pt>
                <c:pt idx="1751">
                  <c:v>77.489771772223506</c:v>
                </c:pt>
                <c:pt idx="1752">
                  <c:v>77.196241835422143</c:v>
                </c:pt>
                <c:pt idx="1753">
                  <c:v>69.962101688630781</c:v>
                </c:pt>
                <c:pt idx="1754">
                  <c:v>72.818455427688946</c:v>
                </c:pt>
                <c:pt idx="1755">
                  <c:v>73.384488183863411</c:v>
                </c:pt>
                <c:pt idx="1756">
                  <c:v>77.205529500052094</c:v>
                </c:pt>
                <c:pt idx="1757">
                  <c:v>79.909178855991868</c:v>
                </c:pt>
                <c:pt idx="1758">
                  <c:v>80.277472034962557</c:v>
                </c:pt>
                <c:pt idx="1759">
                  <c:v>60.796580142293671</c:v>
                </c:pt>
                <c:pt idx="1760">
                  <c:v>63.105500071869514</c:v>
                </c:pt>
                <c:pt idx="1761">
                  <c:v>47.385023365349696</c:v>
                </c:pt>
                <c:pt idx="1762">
                  <c:v>56.476848074904574</c:v>
                </c:pt>
                <c:pt idx="1763">
                  <c:v>59.545044108765808</c:v>
                </c:pt>
                <c:pt idx="1764">
                  <c:v>61.366012969435367</c:v>
                </c:pt>
                <c:pt idx="1765">
                  <c:v>65.138878962853624</c:v>
                </c:pt>
                <c:pt idx="1766">
                  <c:v>55.067943741861797</c:v>
                </c:pt>
                <c:pt idx="1767">
                  <c:v>61.365478025305428</c:v>
                </c:pt>
                <c:pt idx="1768">
                  <c:v>62.517272662547313</c:v>
                </c:pt>
                <c:pt idx="1769">
                  <c:v>59.835152631150919</c:v>
                </c:pt>
                <c:pt idx="1770">
                  <c:v>61.49411071414886</c:v>
                </c:pt>
                <c:pt idx="1771">
                  <c:v>63.460148670390573</c:v>
                </c:pt>
                <c:pt idx="1772">
                  <c:v>66.584471324532416</c:v>
                </c:pt>
                <c:pt idx="1773">
                  <c:v>69.058406231274276</c:v>
                </c:pt>
                <c:pt idx="1774">
                  <c:v>68.737389949547804</c:v>
                </c:pt>
                <c:pt idx="1775">
                  <c:v>54.631451584016837</c:v>
                </c:pt>
                <c:pt idx="1776">
                  <c:v>41.98865814687737</c:v>
                </c:pt>
                <c:pt idx="1777">
                  <c:v>52.490395044983572</c:v>
                </c:pt>
                <c:pt idx="1778">
                  <c:v>55.945344607383952</c:v>
                </c:pt>
                <c:pt idx="1779">
                  <c:v>57.362731163782968</c:v>
                </c:pt>
                <c:pt idx="1780">
                  <c:v>61.439831113981455</c:v>
                </c:pt>
                <c:pt idx="1781">
                  <c:v>66.120568747997652</c:v>
                </c:pt>
                <c:pt idx="1782">
                  <c:v>61.318195378590261</c:v>
                </c:pt>
                <c:pt idx="1783">
                  <c:v>58.231933531303277</c:v>
                </c:pt>
                <c:pt idx="1784">
                  <c:v>65.334172486017351</c:v>
                </c:pt>
                <c:pt idx="1785">
                  <c:v>67.602180359077266</c:v>
                </c:pt>
                <c:pt idx="1786">
                  <c:v>66.151973891299377</c:v>
                </c:pt>
                <c:pt idx="1787">
                  <c:v>67.871560967509026</c:v>
                </c:pt>
                <c:pt idx="1788">
                  <c:v>70.559784272226238</c:v>
                </c:pt>
                <c:pt idx="1789">
                  <c:v>73.620715305855214</c:v>
                </c:pt>
                <c:pt idx="1790">
                  <c:v>73.942068793481695</c:v>
                </c:pt>
                <c:pt idx="1791">
                  <c:v>75.263226609688445</c:v>
                </c:pt>
                <c:pt idx="1792">
                  <c:v>76.600635858180652</c:v>
                </c:pt>
                <c:pt idx="1793">
                  <c:v>78.251147919328503</c:v>
                </c:pt>
                <c:pt idx="1794">
                  <c:v>69.355750263672888</c:v>
                </c:pt>
                <c:pt idx="1795">
                  <c:v>73.796711574534413</c:v>
                </c:pt>
                <c:pt idx="1796">
                  <c:v>72.341841578429566</c:v>
                </c:pt>
                <c:pt idx="1797">
                  <c:v>75.086836224201065</c:v>
                </c:pt>
                <c:pt idx="1798">
                  <c:v>66.185537944833186</c:v>
                </c:pt>
                <c:pt idx="1799">
                  <c:v>61.728171925139762</c:v>
                </c:pt>
                <c:pt idx="1800">
                  <c:v>64.567376601207087</c:v>
                </c:pt>
                <c:pt idx="1801">
                  <c:v>53.660170171952785</c:v>
                </c:pt>
                <c:pt idx="1802">
                  <c:v>53.6648240183358</c:v>
                </c:pt>
                <c:pt idx="1803">
                  <c:v>45.848750517091872</c:v>
                </c:pt>
                <c:pt idx="1804">
                  <c:v>53.15669741142235</c:v>
                </c:pt>
                <c:pt idx="1805">
                  <c:v>49.500477359098653</c:v>
                </c:pt>
                <c:pt idx="1806">
                  <c:v>42.81714631103204</c:v>
                </c:pt>
                <c:pt idx="1807">
                  <c:v>48.609919744408423</c:v>
                </c:pt>
                <c:pt idx="1808">
                  <c:v>52.385365111884447</c:v>
                </c:pt>
                <c:pt idx="1809">
                  <c:v>47.995482301482909</c:v>
                </c:pt>
                <c:pt idx="1810">
                  <c:v>52.2425272050967</c:v>
                </c:pt>
                <c:pt idx="1811">
                  <c:v>50.258032001923915</c:v>
                </c:pt>
                <c:pt idx="1812">
                  <c:v>49.245368320545673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D-4A14-AFB8-55029D96B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41088"/>
        <c:axId val="166043008"/>
      </c:scatterChart>
      <c:valAx>
        <c:axId val="166041088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Month &amp; Year</a:t>
                </a:r>
              </a:p>
            </c:rich>
          </c:tx>
          <c:overlay val="0"/>
        </c:title>
        <c:numFmt formatCode="d\-mmm\-yy" sourceLinked="1"/>
        <c:majorTickMark val="out"/>
        <c:minorTickMark val="none"/>
        <c:tickLblPos val="nextTo"/>
        <c:crossAx val="166043008"/>
        <c:crosses val="autoZero"/>
        <c:crossBetween val="midCat"/>
      </c:valAx>
      <c:valAx>
        <c:axId val="166043008"/>
        <c:scaling>
          <c:orientation val="minMax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200"/>
                  <a:t>RSI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604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'RSI (2)'!$B$1</c:f>
              <c:strCache>
                <c:ptCount val="1"/>
                <c:pt idx="0">
                  <c:v>14-Day RSI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'RSI (2)'!$A$2:$A$1828</c:f>
              <c:strCache>
                <c:ptCount val="1827"/>
                <c:pt idx="0">
                  <c:v>1/1/1871</c:v>
                </c:pt>
                <c:pt idx="1">
                  <c:v>2/1/1871</c:v>
                </c:pt>
                <c:pt idx="2">
                  <c:v>3/1/1871</c:v>
                </c:pt>
                <c:pt idx="3">
                  <c:v>4/1/1871</c:v>
                </c:pt>
                <c:pt idx="4">
                  <c:v>5/1/1871</c:v>
                </c:pt>
                <c:pt idx="5">
                  <c:v>6/1/1871</c:v>
                </c:pt>
                <c:pt idx="6">
                  <c:v>7/1/1871</c:v>
                </c:pt>
                <c:pt idx="7">
                  <c:v>8/1/1871</c:v>
                </c:pt>
                <c:pt idx="8">
                  <c:v>9/1/1871</c:v>
                </c:pt>
                <c:pt idx="9">
                  <c:v>10/1/1871</c:v>
                </c:pt>
                <c:pt idx="10">
                  <c:v>11/1/1871</c:v>
                </c:pt>
                <c:pt idx="11">
                  <c:v>12/1/1871</c:v>
                </c:pt>
                <c:pt idx="12">
                  <c:v>1/1/1872</c:v>
                </c:pt>
                <c:pt idx="13">
                  <c:v>2/1/1872</c:v>
                </c:pt>
                <c:pt idx="14">
                  <c:v>3/1/1872</c:v>
                </c:pt>
                <c:pt idx="15">
                  <c:v>4/1/1872</c:v>
                </c:pt>
                <c:pt idx="16">
                  <c:v>5/1/1872</c:v>
                </c:pt>
                <c:pt idx="17">
                  <c:v>6/1/1872</c:v>
                </c:pt>
                <c:pt idx="18">
                  <c:v>7/1/1872</c:v>
                </c:pt>
                <c:pt idx="19">
                  <c:v>8/1/1872</c:v>
                </c:pt>
                <c:pt idx="20">
                  <c:v>9/1/1872</c:v>
                </c:pt>
                <c:pt idx="21">
                  <c:v>10/1/1872</c:v>
                </c:pt>
                <c:pt idx="22">
                  <c:v>11/1/1872</c:v>
                </c:pt>
                <c:pt idx="23">
                  <c:v>12/1/1872</c:v>
                </c:pt>
                <c:pt idx="24">
                  <c:v>1/1/1873</c:v>
                </c:pt>
                <c:pt idx="25">
                  <c:v>2/1/1873</c:v>
                </c:pt>
                <c:pt idx="26">
                  <c:v>3/1/1873</c:v>
                </c:pt>
                <c:pt idx="27">
                  <c:v>4/1/1873</c:v>
                </c:pt>
                <c:pt idx="28">
                  <c:v>5/1/1873</c:v>
                </c:pt>
                <c:pt idx="29">
                  <c:v>6/1/1873</c:v>
                </c:pt>
                <c:pt idx="30">
                  <c:v>7/1/1873</c:v>
                </c:pt>
                <c:pt idx="31">
                  <c:v>8/1/1873</c:v>
                </c:pt>
                <c:pt idx="32">
                  <c:v>9/1/1873</c:v>
                </c:pt>
                <c:pt idx="33">
                  <c:v>10/1/1873</c:v>
                </c:pt>
                <c:pt idx="34">
                  <c:v>11/1/1873</c:v>
                </c:pt>
                <c:pt idx="35">
                  <c:v>12/1/1873</c:v>
                </c:pt>
                <c:pt idx="36">
                  <c:v>1/1/1874</c:v>
                </c:pt>
                <c:pt idx="37">
                  <c:v>2/1/1874</c:v>
                </c:pt>
                <c:pt idx="38">
                  <c:v>3/1/1874</c:v>
                </c:pt>
                <c:pt idx="39">
                  <c:v>4/1/1874</c:v>
                </c:pt>
                <c:pt idx="40">
                  <c:v>5/1/1874</c:v>
                </c:pt>
                <c:pt idx="41">
                  <c:v>6/1/1874</c:v>
                </c:pt>
                <c:pt idx="42">
                  <c:v>7/1/1874</c:v>
                </c:pt>
                <c:pt idx="43">
                  <c:v>8/1/1874</c:v>
                </c:pt>
                <c:pt idx="44">
                  <c:v>9/1/1874</c:v>
                </c:pt>
                <c:pt idx="45">
                  <c:v>10/1/1874</c:v>
                </c:pt>
                <c:pt idx="46">
                  <c:v>11/1/1874</c:v>
                </c:pt>
                <c:pt idx="47">
                  <c:v>12/1/1874</c:v>
                </c:pt>
                <c:pt idx="48">
                  <c:v>1/1/1875</c:v>
                </c:pt>
                <c:pt idx="49">
                  <c:v>2/1/1875</c:v>
                </c:pt>
                <c:pt idx="50">
                  <c:v>3/1/1875</c:v>
                </c:pt>
                <c:pt idx="51">
                  <c:v>4/1/1875</c:v>
                </c:pt>
                <c:pt idx="52">
                  <c:v>5/1/1875</c:v>
                </c:pt>
                <c:pt idx="53">
                  <c:v>6/1/1875</c:v>
                </c:pt>
                <c:pt idx="54">
                  <c:v>7/1/1875</c:v>
                </c:pt>
                <c:pt idx="55">
                  <c:v>8/1/1875</c:v>
                </c:pt>
                <c:pt idx="56">
                  <c:v>9/1/1875</c:v>
                </c:pt>
                <c:pt idx="57">
                  <c:v>10/1/1875</c:v>
                </c:pt>
                <c:pt idx="58">
                  <c:v>11/1/1875</c:v>
                </c:pt>
                <c:pt idx="59">
                  <c:v>12/1/1875</c:v>
                </c:pt>
                <c:pt idx="60">
                  <c:v>1/1/1876</c:v>
                </c:pt>
                <c:pt idx="61">
                  <c:v>2/1/1876</c:v>
                </c:pt>
                <c:pt idx="62">
                  <c:v>3/1/1876</c:v>
                </c:pt>
                <c:pt idx="63">
                  <c:v>4/1/1876</c:v>
                </c:pt>
                <c:pt idx="64">
                  <c:v>5/1/1876</c:v>
                </c:pt>
                <c:pt idx="65">
                  <c:v>6/1/1876</c:v>
                </c:pt>
                <c:pt idx="66">
                  <c:v>7/1/1876</c:v>
                </c:pt>
                <c:pt idx="67">
                  <c:v>8/1/1876</c:v>
                </c:pt>
                <c:pt idx="68">
                  <c:v>9/1/1876</c:v>
                </c:pt>
                <c:pt idx="69">
                  <c:v>10/1/1876</c:v>
                </c:pt>
                <c:pt idx="70">
                  <c:v>11/1/1876</c:v>
                </c:pt>
                <c:pt idx="71">
                  <c:v>12/1/1876</c:v>
                </c:pt>
                <c:pt idx="72">
                  <c:v>1/1/1877</c:v>
                </c:pt>
                <c:pt idx="73">
                  <c:v>2/1/1877</c:v>
                </c:pt>
                <c:pt idx="74">
                  <c:v>3/1/1877</c:v>
                </c:pt>
                <c:pt idx="75">
                  <c:v>4/1/1877</c:v>
                </c:pt>
                <c:pt idx="76">
                  <c:v>5/1/1877</c:v>
                </c:pt>
                <c:pt idx="77">
                  <c:v>6/1/1877</c:v>
                </c:pt>
                <c:pt idx="78">
                  <c:v>7/1/1877</c:v>
                </c:pt>
                <c:pt idx="79">
                  <c:v>8/1/1877</c:v>
                </c:pt>
                <c:pt idx="80">
                  <c:v>9/1/1877</c:v>
                </c:pt>
                <c:pt idx="81">
                  <c:v>10/1/1877</c:v>
                </c:pt>
                <c:pt idx="82">
                  <c:v>11/1/1877</c:v>
                </c:pt>
                <c:pt idx="83">
                  <c:v>12/1/1877</c:v>
                </c:pt>
                <c:pt idx="84">
                  <c:v>1/1/1878</c:v>
                </c:pt>
                <c:pt idx="85">
                  <c:v>2/1/1878</c:v>
                </c:pt>
                <c:pt idx="86">
                  <c:v>3/1/1878</c:v>
                </c:pt>
                <c:pt idx="87">
                  <c:v>4/1/1878</c:v>
                </c:pt>
                <c:pt idx="88">
                  <c:v>5/1/1878</c:v>
                </c:pt>
                <c:pt idx="89">
                  <c:v>6/1/1878</c:v>
                </c:pt>
                <c:pt idx="90">
                  <c:v>7/1/1878</c:v>
                </c:pt>
                <c:pt idx="91">
                  <c:v>8/1/1878</c:v>
                </c:pt>
                <c:pt idx="92">
                  <c:v>9/1/1878</c:v>
                </c:pt>
                <c:pt idx="93">
                  <c:v>10/1/1878</c:v>
                </c:pt>
                <c:pt idx="94">
                  <c:v>11/1/1878</c:v>
                </c:pt>
                <c:pt idx="95">
                  <c:v>12/1/1878</c:v>
                </c:pt>
                <c:pt idx="96">
                  <c:v>1/1/1879</c:v>
                </c:pt>
                <c:pt idx="97">
                  <c:v>2/1/1879</c:v>
                </c:pt>
                <c:pt idx="98">
                  <c:v>3/1/1879</c:v>
                </c:pt>
                <c:pt idx="99">
                  <c:v>4/1/1879</c:v>
                </c:pt>
                <c:pt idx="100">
                  <c:v>5/1/1879</c:v>
                </c:pt>
                <c:pt idx="101">
                  <c:v>6/1/1879</c:v>
                </c:pt>
                <c:pt idx="102">
                  <c:v>7/1/1879</c:v>
                </c:pt>
                <c:pt idx="103">
                  <c:v>8/1/1879</c:v>
                </c:pt>
                <c:pt idx="104">
                  <c:v>9/1/1879</c:v>
                </c:pt>
                <c:pt idx="105">
                  <c:v>10/1/1879</c:v>
                </c:pt>
                <c:pt idx="106">
                  <c:v>11/1/1879</c:v>
                </c:pt>
                <c:pt idx="107">
                  <c:v>12/1/1879</c:v>
                </c:pt>
                <c:pt idx="108">
                  <c:v>1/1/1880</c:v>
                </c:pt>
                <c:pt idx="109">
                  <c:v>2/1/1880</c:v>
                </c:pt>
                <c:pt idx="110">
                  <c:v>3/1/1880</c:v>
                </c:pt>
                <c:pt idx="111">
                  <c:v>4/1/1880</c:v>
                </c:pt>
                <c:pt idx="112">
                  <c:v>5/1/1880</c:v>
                </c:pt>
                <c:pt idx="113">
                  <c:v>6/1/1880</c:v>
                </c:pt>
                <c:pt idx="114">
                  <c:v>7/1/1880</c:v>
                </c:pt>
                <c:pt idx="115">
                  <c:v>8/1/1880</c:v>
                </c:pt>
                <c:pt idx="116">
                  <c:v>9/1/1880</c:v>
                </c:pt>
                <c:pt idx="117">
                  <c:v>10/1/1880</c:v>
                </c:pt>
                <c:pt idx="118">
                  <c:v>11/1/1880</c:v>
                </c:pt>
                <c:pt idx="119">
                  <c:v>12/1/1880</c:v>
                </c:pt>
                <c:pt idx="120">
                  <c:v>1/1/1881</c:v>
                </c:pt>
                <c:pt idx="121">
                  <c:v>2/1/1881</c:v>
                </c:pt>
                <c:pt idx="122">
                  <c:v>3/1/1881</c:v>
                </c:pt>
                <c:pt idx="123">
                  <c:v>4/1/1881</c:v>
                </c:pt>
                <c:pt idx="124">
                  <c:v>5/1/1881</c:v>
                </c:pt>
                <c:pt idx="125">
                  <c:v>6/1/1881</c:v>
                </c:pt>
                <c:pt idx="126">
                  <c:v>7/1/1881</c:v>
                </c:pt>
                <c:pt idx="127">
                  <c:v>8/1/1881</c:v>
                </c:pt>
                <c:pt idx="128">
                  <c:v>9/1/1881</c:v>
                </c:pt>
                <c:pt idx="129">
                  <c:v>10/1/1881</c:v>
                </c:pt>
                <c:pt idx="130">
                  <c:v>11/1/1881</c:v>
                </c:pt>
                <c:pt idx="131">
                  <c:v>12/1/1881</c:v>
                </c:pt>
                <c:pt idx="132">
                  <c:v>1/1/1882</c:v>
                </c:pt>
                <c:pt idx="133">
                  <c:v>2/1/1882</c:v>
                </c:pt>
                <c:pt idx="134">
                  <c:v>3/1/1882</c:v>
                </c:pt>
                <c:pt idx="135">
                  <c:v>4/1/1882</c:v>
                </c:pt>
                <c:pt idx="136">
                  <c:v>5/1/1882</c:v>
                </c:pt>
                <c:pt idx="137">
                  <c:v>6/1/1882</c:v>
                </c:pt>
                <c:pt idx="138">
                  <c:v>7/1/1882</c:v>
                </c:pt>
                <c:pt idx="139">
                  <c:v>8/1/1882</c:v>
                </c:pt>
                <c:pt idx="140">
                  <c:v>9/1/1882</c:v>
                </c:pt>
                <c:pt idx="141">
                  <c:v>10/1/1882</c:v>
                </c:pt>
                <c:pt idx="142">
                  <c:v>11/1/1882</c:v>
                </c:pt>
                <c:pt idx="143">
                  <c:v>12/1/1882</c:v>
                </c:pt>
                <c:pt idx="144">
                  <c:v>1/1/1883</c:v>
                </c:pt>
                <c:pt idx="145">
                  <c:v>2/1/1883</c:v>
                </c:pt>
                <c:pt idx="146">
                  <c:v>3/1/1883</c:v>
                </c:pt>
                <c:pt idx="147">
                  <c:v>4/1/1883</c:v>
                </c:pt>
                <c:pt idx="148">
                  <c:v>5/1/1883</c:v>
                </c:pt>
                <c:pt idx="149">
                  <c:v>6/1/1883</c:v>
                </c:pt>
                <c:pt idx="150">
                  <c:v>7/1/1883</c:v>
                </c:pt>
                <c:pt idx="151">
                  <c:v>8/1/1883</c:v>
                </c:pt>
                <c:pt idx="152">
                  <c:v>9/1/1883</c:v>
                </c:pt>
                <c:pt idx="153">
                  <c:v>10/1/1883</c:v>
                </c:pt>
                <c:pt idx="154">
                  <c:v>11/1/1883</c:v>
                </c:pt>
                <c:pt idx="155">
                  <c:v>12/1/1883</c:v>
                </c:pt>
                <c:pt idx="156">
                  <c:v>1/1/1884</c:v>
                </c:pt>
                <c:pt idx="157">
                  <c:v>2/1/1884</c:v>
                </c:pt>
                <c:pt idx="158">
                  <c:v>3/1/1884</c:v>
                </c:pt>
                <c:pt idx="159">
                  <c:v>4/1/1884</c:v>
                </c:pt>
                <c:pt idx="160">
                  <c:v>5/1/1884</c:v>
                </c:pt>
                <c:pt idx="161">
                  <c:v>6/1/1884</c:v>
                </c:pt>
                <c:pt idx="162">
                  <c:v>7/1/1884</c:v>
                </c:pt>
                <c:pt idx="163">
                  <c:v>8/1/1884</c:v>
                </c:pt>
                <c:pt idx="164">
                  <c:v>9/1/1884</c:v>
                </c:pt>
                <c:pt idx="165">
                  <c:v>10/1/1884</c:v>
                </c:pt>
                <c:pt idx="166">
                  <c:v>11/1/1884</c:v>
                </c:pt>
                <c:pt idx="167">
                  <c:v>12/1/1884</c:v>
                </c:pt>
                <c:pt idx="168">
                  <c:v>1/1/1885</c:v>
                </c:pt>
                <c:pt idx="169">
                  <c:v>2/1/1885</c:v>
                </c:pt>
                <c:pt idx="170">
                  <c:v>3/1/1885</c:v>
                </c:pt>
                <c:pt idx="171">
                  <c:v>4/1/1885</c:v>
                </c:pt>
                <c:pt idx="172">
                  <c:v>5/1/1885</c:v>
                </c:pt>
                <c:pt idx="173">
                  <c:v>6/1/1885</c:v>
                </c:pt>
                <c:pt idx="174">
                  <c:v>7/1/1885</c:v>
                </c:pt>
                <c:pt idx="175">
                  <c:v>8/1/1885</c:v>
                </c:pt>
                <c:pt idx="176">
                  <c:v>9/1/1885</c:v>
                </c:pt>
                <c:pt idx="177">
                  <c:v>10/1/1885</c:v>
                </c:pt>
                <c:pt idx="178">
                  <c:v>11/1/1885</c:v>
                </c:pt>
                <c:pt idx="179">
                  <c:v>12/1/1885</c:v>
                </c:pt>
                <c:pt idx="180">
                  <c:v>1/1/1886</c:v>
                </c:pt>
                <c:pt idx="181">
                  <c:v>2/1/1886</c:v>
                </c:pt>
                <c:pt idx="182">
                  <c:v>3/1/1886</c:v>
                </c:pt>
                <c:pt idx="183">
                  <c:v>4/1/1886</c:v>
                </c:pt>
                <c:pt idx="184">
                  <c:v>5/1/1886</c:v>
                </c:pt>
                <c:pt idx="185">
                  <c:v>6/1/1886</c:v>
                </c:pt>
                <c:pt idx="186">
                  <c:v>7/1/1886</c:v>
                </c:pt>
                <c:pt idx="187">
                  <c:v>8/1/1886</c:v>
                </c:pt>
                <c:pt idx="188">
                  <c:v>9/1/1886</c:v>
                </c:pt>
                <c:pt idx="189">
                  <c:v>10/1/1886</c:v>
                </c:pt>
                <c:pt idx="190">
                  <c:v>11/1/1886</c:v>
                </c:pt>
                <c:pt idx="191">
                  <c:v>12/1/1886</c:v>
                </c:pt>
                <c:pt idx="192">
                  <c:v>1/1/1887</c:v>
                </c:pt>
                <c:pt idx="193">
                  <c:v>2/1/1887</c:v>
                </c:pt>
                <c:pt idx="194">
                  <c:v>3/1/1887</c:v>
                </c:pt>
                <c:pt idx="195">
                  <c:v>4/1/1887</c:v>
                </c:pt>
                <c:pt idx="196">
                  <c:v>5/1/1887</c:v>
                </c:pt>
                <c:pt idx="197">
                  <c:v>6/1/1887</c:v>
                </c:pt>
                <c:pt idx="198">
                  <c:v>7/1/1887</c:v>
                </c:pt>
                <c:pt idx="199">
                  <c:v>8/1/1887</c:v>
                </c:pt>
                <c:pt idx="200">
                  <c:v>9/1/1887</c:v>
                </c:pt>
                <c:pt idx="201">
                  <c:v>10/1/1887</c:v>
                </c:pt>
                <c:pt idx="202">
                  <c:v>11/1/1887</c:v>
                </c:pt>
                <c:pt idx="203">
                  <c:v>12/1/1887</c:v>
                </c:pt>
                <c:pt idx="204">
                  <c:v>1/1/1888</c:v>
                </c:pt>
                <c:pt idx="205">
                  <c:v>2/1/1888</c:v>
                </c:pt>
                <c:pt idx="206">
                  <c:v>3/1/1888</c:v>
                </c:pt>
                <c:pt idx="207">
                  <c:v>4/1/1888</c:v>
                </c:pt>
                <c:pt idx="208">
                  <c:v>5/1/1888</c:v>
                </c:pt>
                <c:pt idx="209">
                  <c:v>6/1/1888</c:v>
                </c:pt>
                <c:pt idx="210">
                  <c:v>7/1/1888</c:v>
                </c:pt>
                <c:pt idx="211">
                  <c:v>8/1/1888</c:v>
                </c:pt>
                <c:pt idx="212">
                  <c:v>9/1/1888</c:v>
                </c:pt>
                <c:pt idx="213">
                  <c:v>10/1/1888</c:v>
                </c:pt>
                <c:pt idx="214">
                  <c:v>11/1/1888</c:v>
                </c:pt>
                <c:pt idx="215">
                  <c:v>12/1/1888</c:v>
                </c:pt>
                <c:pt idx="216">
                  <c:v>1/1/1889</c:v>
                </c:pt>
                <c:pt idx="217">
                  <c:v>2/1/1889</c:v>
                </c:pt>
                <c:pt idx="218">
                  <c:v>3/1/1889</c:v>
                </c:pt>
                <c:pt idx="219">
                  <c:v>4/1/1889</c:v>
                </c:pt>
                <c:pt idx="220">
                  <c:v>5/1/1889</c:v>
                </c:pt>
                <c:pt idx="221">
                  <c:v>6/1/1889</c:v>
                </c:pt>
                <c:pt idx="222">
                  <c:v>7/1/1889</c:v>
                </c:pt>
                <c:pt idx="223">
                  <c:v>8/1/1889</c:v>
                </c:pt>
                <c:pt idx="224">
                  <c:v>9/1/1889</c:v>
                </c:pt>
                <c:pt idx="225">
                  <c:v>10/1/1889</c:v>
                </c:pt>
                <c:pt idx="226">
                  <c:v>11/1/1889</c:v>
                </c:pt>
                <c:pt idx="227">
                  <c:v>12/1/1889</c:v>
                </c:pt>
                <c:pt idx="228">
                  <c:v>1/1/1890</c:v>
                </c:pt>
                <c:pt idx="229">
                  <c:v>2/1/1890</c:v>
                </c:pt>
                <c:pt idx="230">
                  <c:v>3/1/1890</c:v>
                </c:pt>
                <c:pt idx="231">
                  <c:v>4/1/1890</c:v>
                </c:pt>
                <c:pt idx="232">
                  <c:v>5/1/1890</c:v>
                </c:pt>
                <c:pt idx="233">
                  <c:v>6/1/1890</c:v>
                </c:pt>
                <c:pt idx="234">
                  <c:v>7/1/1890</c:v>
                </c:pt>
                <c:pt idx="235">
                  <c:v>8/1/1890</c:v>
                </c:pt>
                <c:pt idx="236">
                  <c:v>9/1/1890</c:v>
                </c:pt>
                <c:pt idx="237">
                  <c:v>10/1/1890</c:v>
                </c:pt>
                <c:pt idx="238">
                  <c:v>11/1/1890</c:v>
                </c:pt>
                <c:pt idx="239">
                  <c:v>12/1/1890</c:v>
                </c:pt>
                <c:pt idx="240">
                  <c:v>1/1/1891</c:v>
                </c:pt>
                <c:pt idx="241">
                  <c:v>2/1/1891</c:v>
                </c:pt>
                <c:pt idx="242">
                  <c:v>3/1/1891</c:v>
                </c:pt>
                <c:pt idx="243">
                  <c:v>4/1/1891</c:v>
                </c:pt>
                <c:pt idx="244">
                  <c:v>5/1/1891</c:v>
                </c:pt>
                <c:pt idx="245">
                  <c:v>6/1/1891</c:v>
                </c:pt>
                <c:pt idx="246">
                  <c:v>7/1/1891</c:v>
                </c:pt>
                <c:pt idx="247">
                  <c:v>8/1/1891</c:v>
                </c:pt>
                <c:pt idx="248">
                  <c:v>9/1/1891</c:v>
                </c:pt>
                <c:pt idx="249">
                  <c:v>10/1/1891</c:v>
                </c:pt>
                <c:pt idx="250">
                  <c:v>11/1/1891</c:v>
                </c:pt>
                <c:pt idx="251">
                  <c:v>12/1/1891</c:v>
                </c:pt>
                <c:pt idx="252">
                  <c:v>1/1/1892</c:v>
                </c:pt>
                <c:pt idx="253">
                  <c:v>2/1/1892</c:v>
                </c:pt>
                <c:pt idx="254">
                  <c:v>3/1/1892</c:v>
                </c:pt>
                <c:pt idx="255">
                  <c:v>4/1/1892</c:v>
                </c:pt>
                <c:pt idx="256">
                  <c:v>5/1/1892</c:v>
                </c:pt>
                <c:pt idx="257">
                  <c:v>6/1/1892</c:v>
                </c:pt>
                <c:pt idx="258">
                  <c:v>7/1/1892</c:v>
                </c:pt>
                <c:pt idx="259">
                  <c:v>8/1/1892</c:v>
                </c:pt>
                <c:pt idx="260">
                  <c:v>9/1/1892</c:v>
                </c:pt>
                <c:pt idx="261">
                  <c:v>10/1/1892</c:v>
                </c:pt>
                <c:pt idx="262">
                  <c:v>11/1/1892</c:v>
                </c:pt>
                <c:pt idx="263">
                  <c:v>12/1/1892</c:v>
                </c:pt>
                <c:pt idx="264">
                  <c:v>1/1/1893</c:v>
                </c:pt>
                <c:pt idx="265">
                  <c:v>2/1/1893</c:v>
                </c:pt>
                <c:pt idx="266">
                  <c:v>3/1/1893</c:v>
                </c:pt>
                <c:pt idx="267">
                  <c:v>4/1/1893</c:v>
                </c:pt>
                <c:pt idx="268">
                  <c:v>5/1/1893</c:v>
                </c:pt>
                <c:pt idx="269">
                  <c:v>6/1/1893</c:v>
                </c:pt>
                <c:pt idx="270">
                  <c:v>7/1/1893</c:v>
                </c:pt>
                <c:pt idx="271">
                  <c:v>8/1/1893</c:v>
                </c:pt>
                <c:pt idx="272">
                  <c:v>9/1/1893</c:v>
                </c:pt>
                <c:pt idx="273">
                  <c:v>10/1/1893</c:v>
                </c:pt>
                <c:pt idx="274">
                  <c:v>11/1/1893</c:v>
                </c:pt>
                <c:pt idx="275">
                  <c:v>12/1/1893</c:v>
                </c:pt>
                <c:pt idx="276">
                  <c:v>1/1/1894</c:v>
                </c:pt>
                <c:pt idx="277">
                  <c:v>2/1/1894</c:v>
                </c:pt>
                <c:pt idx="278">
                  <c:v>3/1/1894</c:v>
                </c:pt>
                <c:pt idx="279">
                  <c:v>4/1/1894</c:v>
                </c:pt>
                <c:pt idx="280">
                  <c:v>5/1/1894</c:v>
                </c:pt>
                <c:pt idx="281">
                  <c:v>6/1/1894</c:v>
                </c:pt>
                <c:pt idx="282">
                  <c:v>7/1/1894</c:v>
                </c:pt>
                <c:pt idx="283">
                  <c:v>8/1/1894</c:v>
                </c:pt>
                <c:pt idx="284">
                  <c:v>9/1/1894</c:v>
                </c:pt>
                <c:pt idx="285">
                  <c:v>10/1/1894</c:v>
                </c:pt>
                <c:pt idx="286">
                  <c:v>11/1/1894</c:v>
                </c:pt>
                <c:pt idx="287">
                  <c:v>12/1/1894</c:v>
                </c:pt>
                <c:pt idx="288">
                  <c:v>1/1/1895</c:v>
                </c:pt>
                <c:pt idx="289">
                  <c:v>2/1/1895</c:v>
                </c:pt>
                <c:pt idx="290">
                  <c:v>3/1/1895</c:v>
                </c:pt>
                <c:pt idx="291">
                  <c:v>4/1/1895</c:v>
                </c:pt>
                <c:pt idx="292">
                  <c:v>5/1/1895</c:v>
                </c:pt>
                <c:pt idx="293">
                  <c:v>6/1/1895</c:v>
                </c:pt>
                <c:pt idx="294">
                  <c:v>7/1/1895</c:v>
                </c:pt>
                <c:pt idx="295">
                  <c:v>8/1/1895</c:v>
                </c:pt>
                <c:pt idx="296">
                  <c:v>9/1/1895</c:v>
                </c:pt>
                <c:pt idx="297">
                  <c:v>10/1/1895</c:v>
                </c:pt>
                <c:pt idx="298">
                  <c:v>11/1/1895</c:v>
                </c:pt>
                <c:pt idx="299">
                  <c:v>12/1/1895</c:v>
                </c:pt>
                <c:pt idx="300">
                  <c:v>1/1/1896</c:v>
                </c:pt>
                <c:pt idx="301">
                  <c:v>2/1/1896</c:v>
                </c:pt>
                <c:pt idx="302">
                  <c:v>3/1/1896</c:v>
                </c:pt>
                <c:pt idx="303">
                  <c:v>4/1/1896</c:v>
                </c:pt>
                <c:pt idx="304">
                  <c:v>5/1/1896</c:v>
                </c:pt>
                <c:pt idx="305">
                  <c:v>6/1/1896</c:v>
                </c:pt>
                <c:pt idx="306">
                  <c:v>7/1/1896</c:v>
                </c:pt>
                <c:pt idx="307">
                  <c:v>8/1/1896</c:v>
                </c:pt>
                <c:pt idx="308">
                  <c:v>9/1/1896</c:v>
                </c:pt>
                <c:pt idx="309">
                  <c:v>10/1/1896</c:v>
                </c:pt>
                <c:pt idx="310">
                  <c:v>11/1/1896</c:v>
                </c:pt>
                <c:pt idx="311">
                  <c:v>12/1/1896</c:v>
                </c:pt>
                <c:pt idx="312">
                  <c:v>1/1/1897</c:v>
                </c:pt>
                <c:pt idx="313">
                  <c:v>2/1/1897</c:v>
                </c:pt>
                <c:pt idx="314">
                  <c:v>3/1/1897</c:v>
                </c:pt>
                <c:pt idx="315">
                  <c:v>4/1/1897</c:v>
                </c:pt>
                <c:pt idx="316">
                  <c:v>5/1/1897</c:v>
                </c:pt>
                <c:pt idx="317">
                  <c:v>6/1/1897</c:v>
                </c:pt>
                <c:pt idx="318">
                  <c:v>7/1/1897</c:v>
                </c:pt>
                <c:pt idx="319">
                  <c:v>8/1/1897</c:v>
                </c:pt>
                <c:pt idx="320">
                  <c:v>9/1/1897</c:v>
                </c:pt>
                <c:pt idx="321">
                  <c:v>10/1/1897</c:v>
                </c:pt>
                <c:pt idx="322">
                  <c:v>11/1/1897</c:v>
                </c:pt>
                <c:pt idx="323">
                  <c:v>12/1/1897</c:v>
                </c:pt>
                <c:pt idx="324">
                  <c:v>1/1/1898</c:v>
                </c:pt>
                <c:pt idx="325">
                  <c:v>2/1/1898</c:v>
                </c:pt>
                <c:pt idx="326">
                  <c:v>3/1/1898</c:v>
                </c:pt>
                <c:pt idx="327">
                  <c:v>4/1/1898</c:v>
                </c:pt>
                <c:pt idx="328">
                  <c:v>5/1/1898</c:v>
                </c:pt>
                <c:pt idx="329">
                  <c:v>6/1/1898</c:v>
                </c:pt>
                <c:pt idx="330">
                  <c:v>7/1/1898</c:v>
                </c:pt>
                <c:pt idx="331">
                  <c:v>8/1/1898</c:v>
                </c:pt>
                <c:pt idx="332">
                  <c:v>9/1/1898</c:v>
                </c:pt>
                <c:pt idx="333">
                  <c:v>10/1/1898</c:v>
                </c:pt>
                <c:pt idx="334">
                  <c:v>11/1/1898</c:v>
                </c:pt>
                <c:pt idx="335">
                  <c:v>12/1/1898</c:v>
                </c:pt>
                <c:pt idx="336">
                  <c:v>1/1/1899</c:v>
                </c:pt>
                <c:pt idx="337">
                  <c:v>2/1/1899</c:v>
                </c:pt>
                <c:pt idx="338">
                  <c:v>3/1/1899</c:v>
                </c:pt>
                <c:pt idx="339">
                  <c:v>4/1/1899</c:v>
                </c:pt>
                <c:pt idx="340">
                  <c:v>5/1/1899</c:v>
                </c:pt>
                <c:pt idx="341">
                  <c:v>6/1/1899</c:v>
                </c:pt>
                <c:pt idx="342">
                  <c:v>7/1/1899</c:v>
                </c:pt>
                <c:pt idx="343">
                  <c:v>8/1/1899</c:v>
                </c:pt>
                <c:pt idx="344">
                  <c:v>9/1/1899</c:v>
                </c:pt>
                <c:pt idx="345">
                  <c:v>10/1/1899</c:v>
                </c:pt>
                <c:pt idx="346">
                  <c:v>11/1/1899</c:v>
                </c:pt>
                <c:pt idx="347">
                  <c:v>12/1/1899</c:v>
                </c:pt>
                <c:pt idx="348">
                  <c:v>01/01/1900</c:v>
                </c:pt>
                <c:pt idx="349">
                  <c:v>02/01/1900</c:v>
                </c:pt>
                <c:pt idx="350">
                  <c:v>03/01/1900</c:v>
                </c:pt>
                <c:pt idx="351">
                  <c:v>04/01/1900</c:v>
                </c:pt>
                <c:pt idx="352">
                  <c:v>05/01/1900</c:v>
                </c:pt>
                <c:pt idx="353">
                  <c:v>06/01/1900</c:v>
                </c:pt>
                <c:pt idx="354">
                  <c:v>07/01/1900</c:v>
                </c:pt>
                <c:pt idx="355">
                  <c:v>08/01/1900</c:v>
                </c:pt>
                <c:pt idx="356">
                  <c:v>09/01/1900</c:v>
                </c:pt>
                <c:pt idx="357">
                  <c:v>10/01/1900</c:v>
                </c:pt>
                <c:pt idx="358">
                  <c:v>11/01/1900</c:v>
                </c:pt>
                <c:pt idx="359">
                  <c:v>12/01/1900</c:v>
                </c:pt>
                <c:pt idx="360">
                  <c:v>01/01/1901</c:v>
                </c:pt>
                <c:pt idx="361">
                  <c:v>02/01/1901</c:v>
                </c:pt>
                <c:pt idx="362">
                  <c:v>03/01/1901</c:v>
                </c:pt>
                <c:pt idx="363">
                  <c:v>04/01/1901</c:v>
                </c:pt>
                <c:pt idx="364">
                  <c:v>05/01/1901</c:v>
                </c:pt>
                <c:pt idx="365">
                  <c:v>06/01/1901</c:v>
                </c:pt>
                <c:pt idx="366">
                  <c:v>07/01/1901</c:v>
                </c:pt>
                <c:pt idx="367">
                  <c:v>08/01/1901</c:v>
                </c:pt>
                <c:pt idx="368">
                  <c:v>09/01/1901</c:v>
                </c:pt>
                <c:pt idx="369">
                  <c:v>10/01/1901</c:v>
                </c:pt>
                <c:pt idx="370">
                  <c:v>11/01/1901</c:v>
                </c:pt>
                <c:pt idx="371">
                  <c:v>12/01/1901</c:v>
                </c:pt>
                <c:pt idx="372">
                  <c:v>01/01/1902</c:v>
                </c:pt>
                <c:pt idx="373">
                  <c:v>02/01/1902</c:v>
                </c:pt>
                <c:pt idx="374">
                  <c:v>03/01/1902</c:v>
                </c:pt>
                <c:pt idx="375">
                  <c:v>04/01/1902</c:v>
                </c:pt>
                <c:pt idx="376">
                  <c:v>05/01/1902</c:v>
                </c:pt>
                <c:pt idx="377">
                  <c:v>06/01/1902</c:v>
                </c:pt>
                <c:pt idx="378">
                  <c:v>07/01/1902</c:v>
                </c:pt>
                <c:pt idx="379">
                  <c:v>08/01/1902</c:v>
                </c:pt>
                <c:pt idx="380">
                  <c:v>09/01/1902</c:v>
                </c:pt>
                <c:pt idx="381">
                  <c:v>10/01/1902</c:v>
                </c:pt>
                <c:pt idx="382">
                  <c:v>11/01/1902</c:v>
                </c:pt>
                <c:pt idx="383">
                  <c:v>12/01/1902</c:v>
                </c:pt>
                <c:pt idx="384">
                  <c:v>01/01/1903</c:v>
                </c:pt>
                <c:pt idx="385">
                  <c:v>02/01/1903</c:v>
                </c:pt>
                <c:pt idx="386">
                  <c:v>03/01/1903</c:v>
                </c:pt>
                <c:pt idx="387">
                  <c:v>04/01/1903</c:v>
                </c:pt>
                <c:pt idx="388">
                  <c:v>05/01/1903</c:v>
                </c:pt>
                <c:pt idx="389">
                  <c:v>06/01/1903</c:v>
                </c:pt>
                <c:pt idx="390">
                  <c:v>07/01/1903</c:v>
                </c:pt>
                <c:pt idx="391">
                  <c:v>08/01/1903</c:v>
                </c:pt>
                <c:pt idx="392">
                  <c:v>09/01/1903</c:v>
                </c:pt>
                <c:pt idx="393">
                  <c:v>10/01/1903</c:v>
                </c:pt>
                <c:pt idx="394">
                  <c:v>11/01/1903</c:v>
                </c:pt>
                <c:pt idx="395">
                  <c:v>12/01/1903</c:v>
                </c:pt>
                <c:pt idx="396">
                  <c:v>01/01/1904</c:v>
                </c:pt>
                <c:pt idx="397">
                  <c:v>02/01/1904</c:v>
                </c:pt>
                <c:pt idx="398">
                  <c:v>03/01/1904</c:v>
                </c:pt>
                <c:pt idx="399">
                  <c:v>04/01/1904</c:v>
                </c:pt>
                <c:pt idx="400">
                  <c:v>05/01/1904</c:v>
                </c:pt>
                <c:pt idx="401">
                  <c:v>06/01/1904</c:v>
                </c:pt>
                <c:pt idx="402">
                  <c:v>07/01/1904</c:v>
                </c:pt>
                <c:pt idx="403">
                  <c:v>08/01/1904</c:v>
                </c:pt>
                <c:pt idx="404">
                  <c:v>09/01/1904</c:v>
                </c:pt>
                <c:pt idx="405">
                  <c:v>10/01/1904</c:v>
                </c:pt>
                <c:pt idx="406">
                  <c:v>11/01/1904</c:v>
                </c:pt>
                <c:pt idx="407">
                  <c:v>12/01/1904</c:v>
                </c:pt>
                <c:pt idx="408">
                  <c:v>01/01/1905</c:v>
                </c:pt>
                <c:pt idx="409">
                  <c:v>02/01/1905</c:v>
                </c:pt>
                <c:pt idx="410">
                  <c:v>03/01/1905</c:v>
                </c:pt>
                <c:pt idx="411">
                  <c:v>04/01/1905</c:v>
                </c:pt>
                <c:pt idx="412">
                  <c:v>05/01/1905</c:v>
                </c:pt>
                <c:pt idx="413">
                  <c:v>06/01/1905</c:v>
                </c:pt>
                <c:pt idx="414">
                  <c:v>07/01/1905</c:v>
                </c:pt>
                <c:pt idx="415">
                  <c:v>08/01/1905</c:v>
                </c:pt>
                <c:pt idx="416">
                  <c:v>09/01/1905</c:v>
                </c:pt>
                <c:pt idx="417">
                  <c:v>10/01/1905</c:v>
                </c:pt>
                <c:pt idx="418">
                  <c:v>11/01/1905</c:v>
                </c:pt>
                <c:pt idx="419">
                  <c:v>12/01/1905</c:v>
                </c:pt>
                <c:pt idx="420">
                  <c:v>01/01/1906</c:v>
                </c:pt>
                <c:pt idx="421">
                  <c:v>02/01/1906</c:v>
                </c:pt>
                <c:pt idx="422">
                  <c:v>03/01/1906</c:v>
                </c:pt>
                <c:pt idx="423">
                  <c:v>04/01/1906</c:v>
                </c:pt>
                <c:pt idx="424">
                  <c:v>05/01/1906</c:v>
                </c:pt>
                <c:pt idx="425">
                  <c:v>06/01/1906</c:v>
                </c:pt>
                <c:pt idx="426">
                  <c:v>07/01/1906</c:v>
                </c:pt>
                <c:pt idx="427">
                  <c:v>08/01/1906</c:v>
                </c:pt>
                <c:pt idx="428">
                  <c:v>09/01/1906</c:v>
                </c:pt>
                <c:pt idx="429">
                  <c:v>10/01/1906</c:v>
                </c:pt>
                <c:pt idx="430">
                  <c:v>11/01/1906</c:v>
                </c:pt>
                <c:pt idx="431">
                  <c:v>12/01/1906</c:v>
                </c:pt>
                <c:pt idx="432">
                  <c:v>01/01/1907</c:v>
                </c:pt>
                <c:pt idx="433">
                  <c:v>02/01/1907</c:v>
                </c:pt>
                <c:pt idx="434">
                  <c:v>03/01/1907</c:v>
                </c:pt>
                <c:pt idx="435">
                  <c:v>04/01/1907</c:v>
                </c:pt>
                <c:pt idx="436">
                  <c:v>05/01/1907</c:v>
                </c:pt>
                <c:pt idx="437">
                  <c:v>06/01/1907</c:v>
                </c:pt>
                <c:pt idx="438">
                  <c:v>07/01/1907</c:v>
                </c:pt>
                <c:pt idx="439">
                  <c:v>08/01/1907</c:v>
                </c:pt>
                <c:pt idx="440">
                  <c:v>09/01/1907</c:v>
                </c:pt>
                <c:pt idx="441">
                  <c:v>10/01/1907</c:v>
                </c:pt>
                <c:pt idx="442">
                  <c:v>11/01/1907</c:v>
                </c:pt>
                <c:pt idx="443">
                  <c:v>12/01/1907</c:v>
                </c:pt>
                <c:pt idx="444">
                  <c:v>01/01/1908</c:v>
                </c:pt>
                <c:pt idx="445">
                  <c:v>02/01/1908</c:v>
                </c:pt>
                <c:pt idx="446">
                  <c:v>03/01/1908</c:v>
                </c:pt>
                <c:pt idx="447">
                  <c:v>04/01/1908</c:v>
                </c:pt>
                <c:pt idx="448">
                  <c:v>05/01/1908</c:v>
                </c:pt>
                <c:pt idx="449">
                  <c:v>06/01/1908</c:v>
                </c:pt>
                <c:pt idx="450">
                  <c:v>07/01/1908</c:v>
                </c:pt>
                <c:pt idx="451">
                  <c:v>08/01/1908</c:v>
                </c:pt>
                <c:pt idx="452">
                  <c:v>09/01/1908</c:v>
                </c:pt>
                <c:pt idx="453">
                  <c:v>10/01/1908</c:v>
                </c:pt>
                <c:pt idx="454">
                  <c:v>11/01/1908</c:v>
                </c:pt>
                <c:pt idx="455">
                  <c:v>12/01/1908</c:v>
                </c:pt>
                <c:pt idx="456">
                  <c:v>01/01/1909</c:v>
                </c:pt>
                <c:pt idx="457">
                  <c:v>02/01/1909</c:v>
                </c:pt>
                <c:pt idx="458">
                  <c:v>03/01/1909</c:v>
                </c:pt>
                <c:pt idx="459">
                  <c:v>04/01/1909</c:v>
                </c:pt>
                <c:pt idx="460">
                  <c:v>05/01/1909</c:v>
                </c:pt>
                <c:pt idx="461">
                  <c:v>06/01/1909</c:v>
                </c:pt>
                <c:pt idx="462">
                  <c:v>07/01/1909</c:v>
                </c:pt>
                <c:pt idx="463">
                  <c:v>08/01/1909</c:v>
                </c:pt>
                <c:pt idx="464">
                  <c:v>09/01/1909</c:v>
                </c:pt>
                <c:pt idx="465">
                  <c:v>10/01/1909</c:v>
                </c:pt>
                <c:pt idx="466">
                  <c:v>11/01/1909</c:v>
                </c:pt>
                <c:pt idx="467">
                  <c:v>12/01/1909</c:v>
                </c:pt>
                <c:pt idx="468">
                  <c:v>01/01/1910</c:v>
                </c:pt>
                <c:pt idx="469">
                  <c:v>02/01/1910</c:v>
                </c:pt>
                <c:pt idx="470">
                  <c:v>03/01/1910</c:v>
                </c:pt>
                <c:pt idx="471">
                  <c:v>04/01/1910</c:v>
                </c:pt>
                <c:pt idx="472">
                  <c:v>05/01/1910</c:v>
                </c:pt>
                <c:pt idx="473">
                  <c:v>06/01/1910</c:v>
                </c:pt>
                <c:pt idx="474">
                  <c:v>07/01/1910</c:v>
                </c:pt>
                <c:pt idx="475">
                  <c:v>08/01/1910</c:v>
                </c:pt>
                <c:pt idx="476">
                  <c:v>09/01/1910</c:v>
                </c:pt>
                <c:pt idx="477">
                  <c:v>10/01/1910</c:v>
                </c:pt>
                <c:pt idx="478">
                  <c:v>11/01/1910</c:v>
                </c:pt>
                <c:pt idx="479">
                  <c:v>12/01/1910</c:v>
                </c:pt>
                <c:pt idx="480">
                  <c:v>01/01/1911</c:v>
                </c:pt>
                <c:pt idx="481">
                  <c:v>02/01/1911</c:v>
                </c:pt>
                <c:pt idx="482">
                  <c:v>03/01/1911</c:v>
                </c:pt>
                <c:pt idx="483">
                  <c:v>04/01/1911</c:v>
                </c:pt>
                <c:pt idx="484">
                  <c:v>05/01/1911</c:v>
                </c:pt>
                <c:pt idx="485">
                  <c:v>06/01/1911</c:v>
                </c:pt>
                <c:pt idx="486">
                  <c:v>07/01/1911</c:v>
                </c:pt>
                <c:pt idx="487">
                  <c:v>08/01/1911</c:v>
                </c:pt>
                <c:pt idx="488">
                  <c:v>09/01/1911</c:v>
                </c:pt>
                <c:pt idx="489">
                  <c:v>10/01/1911</c:v>
                </c:pt>
                <c:pt idx="490">
                  <c:v>11/01/1911</c:v>
                </c:pt>
                <c:pt idx="491">
                  <c:v>12/01/1911</c:v>
                </c:pt>
                <c:pt idx="492">
                  <c:v>01/01/1912</c:v>
                </c:pt>
                <c:pt idx="493">
                  <c:v>02/01/1912</c:v>
                </c:pt>
                <c:pt idx="494">
                  <c:v>03/01/1912</c:v>
                </c:pt>
                <c:pt idx="495">
                  <c:v>04/01/1912</c:v>
                </c:pt>
                <c:pt idx="496">
                  <c:v>05/01/1912</c:v>
                </c:pt>
                <c:pt idx="497">
                  <c:v>06/01/1912</c:v>
                </c:pt>
                <c:pt idx="498">
                  <c:v>07/01/1912</c:v>
                </c:pt>
                <c:pt idx="499">
                  <c:v>08/01/1912</c:v>
                </c:pt>
                <c:pt idx="500">
                  <c:v>09/01/1912</c:v>
                </c:pt>
                <c:pt idx="501">
                  <c:v>10/01/1912</c:v>
                </c:pt>
                <c:pt idx="502">
                  <c:v>11/01/1912</c:v>
                </c:pt>
                <c:pt idx="503">
                  <c:v>12/01/1912</c:v>
                </c:pt>
                <c:pt idx="504">
                  <c:v>01/01/1913</c:v>
                </c:pt>
                <c:pt idx="505">
                  <c:v>02/01/1913</c:v>
                </c:pt>
                <c:pt idx="506">
                  <c:v>03/01/1913</c:v>
                </c:pt>
                <c:pt idx="507">
                  <c:v>04/01/1913</c:v>
                </c:pt>
                <c:pt idx="508">
                  <c:v>05/01/1913</c:v>
                </c:pt>
                <c:pt idx="509">
                  <c:v>06/01/1913</c:v>
                </c:pt>
                <c:pt idx="510">
                  <c:v>07/01/1913</c:v>
                </c:pt>
                <c:pt idx="511">
                  <c:v>08/01/1913</c:v>
                </c:pt>
                <c:pt idx="512">
                  <c:v>09/01/1913</c:v>
                </c:pt>
                <c:pt idx="513">
                  <c:v>10/01/1913</c:v>
                </c:pt>
                <c:pt idx="514">
                  <c:v>11/01/1913</c:v>
                </c:pt>
                <c:pt idx="515">
                  <c:v>12/01/1913</c:v>
                </c:pt>
                <c:pt idx="516">
                  <c:v>01/01/1914</c:v>
                </c:pt>
                <c:pt idx="517">
                  <c:v>02/01/1914</c:v>
                </c:pt>
                <c:pt idx="518">
                  <c:v>03/01/1914</c:v>
                </c:pt>
                <c:pt idx="519">
                  <c:v>04/01/1914</c:v>
                </c:pt>
                <c:pt idx="520">
                  <c:v>05/01/1914</c:v>
                </c:pt>
                <c:pt idx="521">
                  <c:v>06/01/1914</c:v>
                </c:pt>
                <c:pt idx="522">
                  <c:v>07/01/1914</c:v>
                </c:pt>
                <c:pt idx="523">
                  <c:v>08/01/1914</c:v>
                </c:pt>
                <c:pt idx="524">
                  <c:v>09/01/1914</c:v>
                </c:pt>
                <c:pt idx="525">
                  <c:v>10/01/1914</c:v>
                </c:pt>
                <c:pt idx="526">
                  <c:v>11/01/1914</c:v>
                </c:pt>
                <c:pt idx="527">
                  <c:v>12/01/1914</c:v>
                </c:pt>
                <c:pt idx="528">
                  <c:v>01/01/1915</c:v>
                </c:pt>
                <c:pt idx="529">
                  <c:v>02/01/1915</c:v>
                </c:pt>
                <c:pt idx="530">
                  <c:v>03/01/1915</c:v>
                </c:pt>
                <c:pt idx="531">
                  <c:v>04/01/1915</c:v>
                </c:pt>
                <c:pt idx="532">
                  <c:v>05/01/1915</c:v>
                </c:pt>
                <c:pt idx="533">
                  <c:v>06/01/1915</c:v>
                </c:pt>
                <c:pt idx="534">
                  <c:v>07/01/1915</c:v>
                </c:pt>
                <c:pt idx="535">
                  <c:v>08/01/1915</c:v>
                </c:pt>
                <c:pt idx="536">
                  <c:v>09/01/1915</c:v>
                </c:pt>
                <c:pt idx="537">
                  <c:v>10/01/1915</c:v>
                </c:pt>
                <c:pt idx="538">
                  <c:v>11/01/1915</c:v>
                </c:pt>
                <c:pt idx="539">
                  <c:v>12/01/1915</c:v>
                </c:pt>
                <c:pt idx="540">
                  <c:v>01/01/1916</c:v>
                </c:pt>
                <c:pt idx="541">
                  <c:v>02/01/1916</c:v>
                </c:pt>
                <c:pt idx="542">
                  <c:v>03/01/1916</c:v>
                </c:pt>
                <c:pt idx="543">
                  <c:v>04/01/1916</c:v>
                </c:pt>
                <c:pt idx="544">
                  <c:v>05/01/1916</c:v>
                </c:pt>
                <c:pt idx="545">
                  <c:v>06/01/1916</c:v>
                </c:pt>
                <c:pt idx="546">
                  <c:v>07/01/1916</c:v>
                </c:pt>
                <c:pt idx="547">
                  <c:v>08/01/1916</c:v>
                </c:pt>
                <c:pt idx="548">
                  <c:v>09/01/1916</c:v>
                </c:pt>
                <c:pt idx="549">
                  <c:v>10/01/1916</c:v>
                </c:pt>
                <c:pt idx="550">
                  <c:v>11/01/1916</c:v>
                </c:pt>
                <c:pt idx="551">
                  <c:v>12/01/1916</c:v>
                </c:pt>
                <c:pt idx="552">
                  <c:v>01/01/1917</c:v>
                </c:pt>
                <c:pt idx="553">
                  <c:v>02/01/1917</c:v>
                </c:pt>
                <c:pt idx="554">
                  <c:v>03/01/1917</c:v>
                </c:pt>
                <c:pt idx="555">
                  <c:v>04/01/1917</c:v>
                </c:pt>
                <c:pt idx="556">
                  <c:v>05/01/1917</c:v>
                </c:pt>
                <c:pt idx="557">
                  <c:v>06/01/1917</c:v>
                </c:pt>
                <c:pt idx="558">
                  <c:v>07/01/1917</c:v>
                </c:pt>
                <c:pt idx="559">
                  <c:v>08/01/1917</c:v>
                </c:pt>
                <c:pt idx="560">
                  <c:v>09/01/1917</c:v>
                </c:pt>
                <c:pt idx="561">
                  <c:v>10/01/1917</c:v>
                </c:pt>
                <c:pt idx="562">
                  <c:v>11/01/1917</c:v>
                </c:pt>
                <c:pt idx="563">
                  <c:v>12/01/1917</c:v>
                </c:pt>
                <c:pt idx="564">
                  <c:v>01/01/1918</c:v>
                </c:pt>
                <c:pt idx="565">
                  <c:v>02/01/1918</c:v>
                </c:pt>
                <c:pt idx="566">
                  <c:v>03/01/1918</c:v>
                </c:pt>
                <c:pt idx="567">
                  <c:v>04/01/1918</c:v>
                </c:pt>
                <c:pt idx="568">
                  <c:v>05/01/1918</c:v>
                </c:pt>
                <c:pt idx="569">
                  <c:v>06/01/1918</c:v>
                </c:pt>
                <c:pt idx="570">
                  <c:v>07/01/1918</c:v>
                </c:pt>
                <c:pt idx="571">
                  <c:v>08/01/1918</c:v>
                </c:pt>
                <c:pt idx="572">
                  <c:v>09/01/1918</c:v>
                </c:pt>
                <c:pt idx="573">
                  <c:v>10/01/1918</c:v>
                </c:pt>
                <c:pt idx="574">
                  <c:v>11/01/1918</c:v>
                </c:pt>
                <c:pt idx="575">
                  <c:v>12/01/1918</c:v>
                </c:pt>
                <c:pt idx="576">
                  <c:v>01/01/1919</c:v>
                </c:pt>
                <c:pt idx="577">
                  <c:v>02/01/1919</c:v>
                </c:pt>
                <c:pt idx="578">
                  <c:v>03/01/1919</c:v>
                </c:pt>
                <c:pt idx="579">
                  <c:v>04/01/1919</c:v>
                </c:pt>
                <c:pt idx="580">
                  <c:v>05/01/1919</c:v>
                </c:pt>
                <c:pt idx="581">
                  <c:v>06/01/1919</c:v>
                </c:pt>
                <c:pt idx="582">
                  <c:v>07/01/1919</c:v>
                </c:pt>
                <c:pt idx="583">
                  <c:v>08/01/1919</c:v>
                </c:pt>
                <c:pt idx="584">
                  <c:v>09/01/1919</c:v>
                </c:pt>
                <c:pt idx="585">
                  <c:v>10/01/1919</c:v>
                </c:pt>
                <c:pt idx="586">
                  <c:v>11/01/1919</c:v>
                </c:pt>
                <c:pt idx="587">
                  <c:v>12/01/1919</c:v>
                </c:pt>
                <c:pt idx="588">
                  <c:v>01/01/1920</c:v>
                </c:pt>
                <c:pt idx="589">
                  <c:v>02/01/1920</c:v>
                </c:pt>
                <c:pt idx="590">
                  <c:v>03/01/1920</c:v>
                </c:pt>
                <c:pt idx="591">
                  <c:v>04/01/1920</c:v>
                </c:pt>
                <c:pt idx="592">
                  <c:v>05/01/1920</c:v>
                </c:pt>
                <c:pt idx="593">
                  <c:v>06/01/1920</c:v>
                </c:pt>
                <c:pt idx="594">
                  <c:v>07/01/1920</c:v>
                </c:pt>
                <c:pt idx="595">
                  <c:v>08/01/1920</c:v>
                </c:pt>
                <c:pt idx="596">
                  <c:v>09/01/1920</c:v>
                </c:pt>
                <c:pt idx="597">
                  <c:v>10/01/1920</c:v>
                </c:pt>
                <c:pt idx="598">
                  <c:v>11/01/1920</c:v>
                </c:pt>
                <c:pt idx="599">
                  <c:v>12/01/1920</c:v>
                </c:pt>
                <c:pt idx="600">
                  <c:v>01/01/1921</c:v>
                </c:pt>
                <c:pt idx="601">
                  <c:v>02/01/1921</c:v>
                </c:pt>
                <c:pt idx="602">
                  <c:v>03/01/1921</c:v>
                </c:pt>
                <c:pt idx="603">
                  <c:v>04/01/1921</c:v>
                </c:pt>
                <c:pt idx="604">
                  <c:v>05/01/1921</c:v>
                </c:pt>
                <c:pt idx="605">
                  <c:v>06/01/1921</c:v>
                </c:pt>
                <c:pt idx="606">
                  <c:v>07/01/1921</c:v>
                </c:pt>
                <c:pt idx="607">
                  <c:v>08/01/1921</c:v>
                </c:pt>
                <c:pt idx="608">
                  <c:v>09/01/1921</c:v>
                </c:pt>
                <c:pt idx="609">
                  <c:v>10/01/1921</c:v>
                </c:pt>
                <c:pt idx="610">
                  <c:v>11/01/1921</c:v>
                </c:pt>
                <c:pt idx="611">
                  <c:v>12/01/1921</c:v>
                </c:pt>
                <c:pt idx="612">
                  <c:v>01/01/1922</c:v>
                </c:pt>
                <c:pt idx="613">
                  <c:v>02/01/1922</c:v>
                </c:pt>
                <c:pt idx="614">
                  <c:v>03/01/1922</c:v>
                </c:pt>
                <c:pt idx="615">
                  <c:v>04/01/1922</c:v>
                </c:pt>
                <c:pt idx="616">
                  <c:v>05/01/1922</c:v>
                </c:pt>
                <c:pt idx="617">
                  <c:v>06/01/1922</c:v>
                </c:pt>
                <c:pt idx="618">
                  <c:v>07/01/1922</c:v>
                </c:pt>
                <c:pt idx="619">
                  <c:v>08/01/1922</c:v>
                </c:pt>
                <c:pt idx="620">
                  <c:v>09/01/1922</c:v>
                </c:pt>
                <c:pt idx="621">
                  <c:v>10/01/1922</c:v>
                </c:pt>
                <c:pt idx="622">
                  <c:v>11/01/1922</c:v>
                </c:pt>
                <c:pt idx="623">
                  <c:v>12/01/1922</c:v>
                </c:pt>
                <c:pt idx="624">
                  <c:v>01/01/1923</c:v>
                </c:pt>
                <c:pt idx="625">
                  <c:v>02/01/1923</c:v>
                </c:pt>
                <c:pt idx="626">
                  <c:v>03/01/1923</c:v>
                </c:pt>
                <c:pt idx="627">
                  <c:v>04/01/1923</c:v>
                </c:pt>
                <c:pt idx="628">
                  <c:v>05/01/1923</c:v>
                </c:pt>
                <c:pt idx="629">
                  <c:v>06/01/1923</c:v>
                </c:pt>
                <c:pt idx="630">
                  <c:v>07/01/1923</c:v>
                </c:pt>
                <c:pt idx="631">
                  <c:v>08/01/1923</c:v>
                </c:pt>
                <c:pt idx="632">
                  <c:v>09/01/1923</c:v>
                </c:pt>
                <c:pt idx="633">
                  <c:v>10/01/1923</c:v>
                </c:pt>
                <c:pt idx="634">
                  <c:v>11/01/1923</c:v>
                </c:pt>
                <c:pt idx="635">
                  <c:v>12/01/1923</c:v>
                </c:pt>
                <c:pt idx="636">
                  <c:v>01/01/1924</c:v>
                </c:pt>
                <c:pt idx="637">
                  <c:v>02/01/1924</c:v>
                </c:pt>
                <c:pt idx="638">
                  <c:v>03/01/1924</c:v>
                </c:pt>
                <c:pt idx="639">
                  <c:v>04/01/1924</c:v>
                </c:pt>
                <c:pt idx="640">
                  <c:v>05/01/1924</c:v>
                </c:pt>
                <c:pt idx="641">
                  <c:v>06/01/1924</c:v>
                </c:pt>
                <c:pt idx="642">
                  <c:v>07/01/1924</c:v>
                </c:pt>
                <c:pt idx="643">
                  <c:v>08/01/1924</c:v>
                </c:pt>
                <c:pt idx="644">
                  <c:v>09/01/1924</c:v>
                </c:pt>
                <c:pt idx="645">
                  <c:v>10/01/1924</c:v>
                </c:pt>
                <c:pt idx="646">
                  <c:v>11/01/1924</c:v>
                </c:pt>
                <c:pt idx="647">
                  <c:v>12/01/1924</c:v>
                </c:pt>
                <c:pt idx="648">
                  <c:v>01/01/1925</c:v>
                </c:pt>
                <c:pt idx="649">
                  <c:v>02/01/1925</c:v>
                </c:pt>
                <c:pt idx="650">
                  <c:v>03/01/1925</c:v>
                </c:pt>
                <c:pt idx="651">
                  <c:v>04/01/1925</c:v>
                </c:pt>
                <c:pt idx="652">
                  <c:v>05/01/1925</c:v>
                </c:pt>
                <c:pt idx="653">
                  <c:v>06/01/1925</c:v>
                </c:pt>
                <c:pt idx="654">
                  <c:v>07/01/1925</c:v>
                </c:pt>
                <c:pt idx="655">
                  <c:v>08/01/1925</c:v>
                </c:pt>
                <c:pt idx="656">
                  <c:v>09/01/1925</c:v>
                </c:pt>
                <c:pt idx="657">
                  <c:v>10/01/1925</c:v>
                </c:pt>
                <c:pt idx="658">
                  <c:v>11/01/1925</c:v>
                </c:pt>
                <c:pt idx="659">
                  <c:v>12/01/1925</c:v>
                </c:pt>
                <c:pt idx="660">
                  <c:v>01/01/1926</c:v>
                </c:pt>
                <c:pt idx="661">
                  <c:v>02/01/1926</c:v>
                </c:pt>
                <c:pt idx="662">
                  <c:v>03/01/1926</c:v>
                </c:pt>
                <c:pt idx="663">
                  <c:v>04/01/1926</c:v>
                </c:pt>
                <c:pt idx="664">
                  <c:v>05/01/1926</c:v>
                </c:pt>
                <c:pt idx="665">
                  <c:v>06/01/1926</c:v>
                </c:pt>
                <c:pt idx="666">
                  <c:v>07/01/1926</c:v>
                </c:pt>
                <c:pt idx="667">
                  <c:v>08/01/1926</c:v>
                </c:pt>
                <c:pt idx="668">
                  <c:v>09/01/1926</c:v>
                </c:pt>
                <c:pt idx="669">
                  <c:v>10/01/1926</c:v>
                </c:pt>
                <c:pt idx="670">
                  <c:v>11/01/1926</c:v>
                </c:pt>
                <c:pt idx="671">
                  <c:v>12/01/1926</c:v>
                </c:pt>
                <c:pt idx="672">
                  <c:v>01/01/1927</c:v>
                </c:pt>
                <c:pt idx="673">
                  <c:v>02/01/1927</c:v>
                </c:pt>
                <c:pt idx="674">
                  <c:v>03/01/1927</c:v>
                </c:pt>
                <c:pt idx="675">
                  <c:v>04/01/1927</c:v>
                </c:pt>
                <c:pt idx="676">
                  <c:v>05/01/1927</c:v>
                </c:pt>
                <c:pt idx="677">
                  <c:v>06/01/1927</c:v>
                </c:pt>
                <c:pt idx="678">
                  <c:v>07/01/1927</c:v>
                </c:pt>
                <c:pt idx="679">
                  <c:v>08/01/1927</c:v>
                </c:pt>
                <c:pt idx="680">
                  <c:v>09/01/1927</c:v>
                </c:pt>
                <c:pt idx="681">
                  <c:v>10/01/1927</c:v>
                </c:pt>
                <c:pt idx="682">
                  <c:v>11/01/1927</c:v>
                </c:pt>
                <c:pt idx="683">
                  <c:v>12/01/1927</c:v>
                </c:pt>
                <c:pt idx="684">
                  <c:v>01/01/1928</c:v>
                </c:pt>
                <c:pt idx="685">
                  <c:v>02/01/1928</c:v>
                </c:pt>
                <c:pt idx="686">
                  <c:v>03/01/1928</c:v>
                </c:pt>
                <c:pt idx="687">
                  <c:v>04/01/1928</c:v>
                </c:pt>
                <c:pt idx="688">
                  <c:v>05/01/1928</c:v>
                </c:pt>
                <c:pt idx="689">
                  <c:v>06/01/1928</c:v>
                </c:pt>
                <c:pt idx="690">
                  <c:v>07/01/1928</c:v>
                </c:pt>
                <c:pt idx="691">
                  <c:v>08/01/1928</c:v>
                </c:pt>
                <c:pt idx="692">
                  <c:v>09/01/1928</c:v>
                </c:pt>
                <c:pt idx="693">
                  <c:v>10/01/1928</c:v>
                </c:pt>
                <c:pt idx="694">
                  <c:v>11/01/1928</c:v>
                </c:pt>
                <c:pt idx="695">
                  <c:v>12/01/1928</c:v>
                </c:pt>
                <c:pt idx="696">
                  <c:v>01/01/1929</c:v>
                </c:pt>
                <c:pt idx="697">
                  <c:v>02/01/1929</c:v>
                </c:pt>
                <c:pt idx="698">
                  <c:v>03/01/1929</c:v>
                </c:pt>
                <c:pt idx="699">
                  <c:v>04/01/1929</c:v>
                </c:pt>
                <c:pt idx="700">
                  <c:v>05/01/1929</c:v>
                </c:pt>
                <c:pt idx="701">
                  <c:v>06/01/1929</c:v>
                </c:pt>
                <c:pt idx="702">
                  <c:v>07/01/1929</c:v>
                </c:pt>
                <c:pt idx="703">
                  <c:v>08/01/1929</c:v>
                </c:pt>
                <c:pt idx="704">
                  <c:v>09/01/1929</c:v>
                </c:pt>
                <c:pt idx="705">
                  <c:v>10/01/1929</c:v>
                </c:pt>
                <c:pt idx="706">
                  <c:v>11/01/1929</c:v>
                </c:pt>
                <c:pt idx="707">
                  <c:v>12/01/1929</c:v>
                </c:pt>
                <c:pt idx="708">
                  <c:v>01/01/1930</c:v>
                </c:pt>
                <c:pt idx="709">
                  <c:v>02/01/1930</c:v>
                </c:pt>
                <c:pt idx="710">
                  <c:v>03/01/1930</c:v>
                </c:pt>
                <c:pt idx="711">
                  <c:v>04/01/1930</c:v>
                </c:pt>
                <c:pt idx="712">
                  <c:v>05/01/1930</c:v>
                </c:pt>
                <c:pt idx="713">
                  <c:v>06/01/1930</c:v>
                </c:pt>
                <c:pt idx="714">
                  <c:v>07/01/1930</c:v>
                </c:pt>
                <c:pt idx="715">
                  <c:v>08/01/1930</c:v>
                </c:pt>
                <c:pt idx="716">
                  <c:v>09/01/1930</c:v>
                </c:pt>
                <c:pt idx="717">
                  <c:v>10/01/1930</c:v>
                </c:pt>
                <c:pt idx="718">
                  <c:v>11/01/1930</c:v>
                </c:pt>
                <c:pt idx="719">
                  <c:v>12/01/1930</c:v>
                </c:pt>
                <c:pt idx="720">
                  <c:v>01/01/1931</c:v>
                </c:pt>
                <c:pt idx="721">
                  <c:v>02/01/1931</c:v>
                </c:pt>
                <c:pt idx="722">
                  <c:v>03/01/1931</c:v>
                </c:pt>
                <c:pt idx="723">
                  <c:v>04/01/1931</c:v>
                </c:pt>
                <c:pt idx="724">
                  <c:v>05/01/1931</c:v>
                </c:pt>
                <c:pt idx="725">
                  <c:v>06/01/1931</c:v>
                </c:pt>
                <c:pt idx="726">
                  <c:v>07/01/1931</c:v>
                </c:pt>
                <c:pt idx="727">
                  <c:v>08/01/1931</c:v>
                </c:pt>
                <c:pt idx="728">
                  <c:v>09/01/1931</c:v>
                </c:pt>
                <c:pt idx="729">
                  <c:v>10/01/1931</c:v>
                </c:pt>
                <c:pt idx="730">
                  <c:v>11/01/1931</c:v>
                </c:pt>
                <c:pt idx="731">
                  <c:v>12/01/1931</c:v>
                </c:pt>
                <c:pt idx="732">
                  <c:v>01/01/1932</c:v>
                </c:pt>
                <c:pt idx="733">
                  <c:v>02/01/1932</c:v>
                </c:pt>
                <c:pt idx="734">
                  <c:v>03/01/1932</c:v>
                </c:pt>
                <c:pt idx="735">
                  <c:v>04/01/1932</c:v>
                </c:pt>
                <c:pt idx="736">
                  <c:v>05/01/1932</c:v>
                </c:pt>
                <c:pt idx="737">
                  <c:v>06/01/1932</c:v>
                </c:pt>
                <c:pt idx="738">
                  <c:v>07/01/1932</c:v>
                </c:pt>
                <c:pt idx="739">
                  <c:v>08/01/1932</c:v>
                </c:pt>
                <c:pt idx="740">
                  <c:v>09/01/1932</c:v>
                </c:pt>
                <c:pt idx="741">
                  <c:v>10/01/1932</c:v>
                </c:pt>
                <c:pt idx="742">
                  <c:v>11/01/1932</c:v>
                </c:pt>
                <c:pt idx="743">
                  <c:v>12/01/1932</c:v>
                </c:pt>
                <c:pt idx="744">
                  <c:v>01/01/1933</c:v>
                </c:pt>
                <c:pt idx="745">
                  <c:v>02/01/1933</c:v>
                </c:pt>
                <c:pt idx="746">
                  <c:v>03/01/1933</c:v>
                </c:pt>
                <c:pt idx="747">
                  <c:v>04/01/1933</c:v>
                </c:pt>
                <c:pt idx="748">
                  <c:v>05/01/1933</c:v>
                </c:pt>
                <c:pt idx="749">
                  <c:v>06/01/1933</c:v>
                </c:pt>
                <c:pt idx="750">
                  <c:v>07/01/1933</c:v>
                </c:pt>
                <c:pt idx="751">
                  <c:v>08/01/1933</c:v>
                </c:pt>
                <c:pt idx="752">
                  <c:v>09/01/1933</c:v>
                </c:pt>
                <c:pt idx="753">
                  <c:v>10/01/1933</c:v>
                </c:pt>
                <c:pt idx="754">
                  <c:v>11/01/1933</c:v>
                </c:pt>
                <c:pt idx="755">
                  <c:v>12/01/1933</c:v>
                </c:pt>
                <c:pt idx="756">
                  <c:v>01/01/1934</c:v>
                </c:pt>
                <c:pt idx="757">
                  <c:v>02/01/1934</c:v>
                </c:pt>
                <c:pt idx="758">
                  <c:v>03/01/1934</c:v>
                </c:pt>
                <c:pt idx="759">
                  <c:v>04/01/1934</c:v>
                </c:pt>
                <c:pt idx="760">
                  <c:v>05/01/1934</c:v>
                </c:pt>
                <c:pt idx="761">
                  <c:v>06/01/1934</c:v>
                </c:pt>
                <c:pt idx="762">
                  <c:v>07/01/1934</c:v>
                </c:pt>
                <c:pt idx="763">
                  <c:v>08/01/1934</c:v>
                </c:pt>
                <c:pt idx="764">
                  <c:v>09/01/1934</c:v>
                </c:pt>
                <c:pt idx="765">
                  <c:v>10/01/1934</c:v>
                </c:pt>
                <c:pt idx="766">
                  <c:v>11/01/1934</c:v>
                </c:pt>
                <c:pt idx="767">
                  <c:v>12/01/1934</c:v>
                </c:pt>
                <c:pt idx="768">
                  <c:v>01/01/1935</c:v>
                </c:pt>
                <c:pt idx="769">
                  <c:v>02/01/1935</c:v>
                </c:pt>
                <c:pt idx="770">
                  <c:v>03/01/1935</c:v>
                </c:pt>
                <c:pt idx="771">
                  <c:v>04/01/1935</c:v>
                </c:pt>
                <c:pt idx="772">
                  <c:v>05/01/1935</c:v>
                </c:pt>
                <c:pt idx="773">
                  <c:v>06/01/1935</c:v>
                </c:pt>
                <c:pt idx="774">
                  <c:v>07/01/1935</c:v>
                </c:pt>
                <c:pt idx="775">
                  <c:v>08/01/1935</c:v>
                </c:pt>
                <c:pt idx="776">
                  <c:v>09/01/1935</c:v>
                </c:pt>
                <c:pt idx="777">
                  <c:v>10/01/1935</c:v>
                </c:pt>
                <c:pt idx="778">
                  <c:v>11/01/1935</c:v>
                </c:pt>
                <c:pt idx="779">
                  <c:v>12/01/1935</c:v>
                </c:pt>
                <c:pt idx="780">
                  <c:v>01/01/1936</c:v>
                </c:pt>
                <c:pt idx="781">
                  <c:v>02/01/1936</c:v>
                </c:pt>
                <c:pt idx="782">
                  <c:v>03/01/1936</c:v>
                </c:pt>
                <c:pt idx="783">
                  <c:v>04/01/1936</c:v>
                </c:pt>
                <c:pt idx="784">
                  <c:v>05/01/1936</c:v>
                </c:pt>
                <c:pt idx="785">
                  <c:v>06/01/1936</c:v>
                </c:pt>
                <c:pt idx="786">
                  <c:v>07/01/1936</c:v>
                </c:pt>
                <c:pt idx="787">
                  <c:v>08/01/1936</c:v>
                </c:pt>
                <c:pt idx="788">
                  <c:v>09/01/1936</c:v>
                </c:pt>
                <c:pt idx="789">
                  <c:v>10/01/1936</c:v>
                </c:pt>
                <c:pt idx="790">
                  <c:v>11/01/1936</c:v>
                </c:pt>
                <c:pt idx="791">
                  <c:v>12/01/1936</c:v>
                </c:pt>
                <c:pt idx="792">
                  <c:v>01/01/1937</c:v>
                </c:pt>
                <c:pt idx="793">
                  <c:v>02/01/1937</c:v>
                </c:pt>
                <c:pt idx="794">
                  <c:v>03/01/1937</c:v>
                </c:pt>
                <c:pt idx="795">
                  <c:v>04/01/1937</c:v>
                </c:pt>
                <c:pt idx="796">
                  <c:v>05/01/1937</c:v>
                </c:pt>
                <c:pt idx="797">
                  <c:v>06/01/1937</c:v>
                </c:pt>
                <c:pt idx="798">
                  <c:v>07/01/1937</c:v>
                </c:pt>
                <c:pt idx="799">
                  <c:v>08/01/1937</c:v>
                </c:pt>
                <c:pt idx="800">
                  <c:v>09/01/1937</c:v>
                </c:pt>
                <c:pt idx="801">
                  <c:v>10/01/1937</c:v>
                </c:pt>
                <c:pt idx="802">
                  <c:v>11/01/1937</c:v>
                </c:pt>
                <c:pt idx="803">
                  <c:v>12/01/1937</c:v>
                </c:pt>
                <c:pt idx="804">
                  <c:v>01/01/1938</c:v>
                </c:pt>
                <c:pt idx="805">
                  <c:v>02/01/1938</c:v>
                </c:pt>
                <c:pt idx="806">
                  <c:v>03/01/1938</c:v>
                </c:pt>
                <c:pt idx="807">
                  <c:v>04/01/1938</c:v>
                </c:pt>
                <c:pt idx="808">
                  <c:v>05/01/1938</c:v>
                </c:pt>
                <c:pt idx="809">
                  <c:v>06/01/1938</c:v>
                </c:pt>
                <c:pt idx="810">
                  <c:v>07/01/1938</c:v>
                </c:pt>
                <c:pt idx="811">
                  <c:v>08/01/1938</c:v>
                </c:pt>
                <c:pt idx="812">
                  <c:v>09/01/1938</c:v>
                </c:pt>
                <c:pt idx="813">
                  <c:v>10/01/1938</c:v>
                </c:pt>
                <c:pt idx="814">
                  <c:v>11/01/1938</c:v>
                </c:pt>
                <c:pt idx="815">
                  <c:v>12/01/1938</c:v>
                </c:pt>
                <c:pt idx="816">
                  <c:v>01/01/1939</c:v>
                </c:pt>
                <c:pt idx="817">
                  <c:v>02/01/1939</c:v>
                </c:pt>
                <c:pt idx="818">
                  <c:v>03/01/1939</c:v>
                </c:pt>
                <c:pt idx="819">
                  <c:v>04/01/1939</c:v>
                </c:pt>
                <c:pt idx="820">
                  <c:v>05/01/1939</c:v>
                </c:pt>
                <c:pt idx="821">
                  <c:v>06/01/1939</c:v>
                </c:pt>
                <c:pt idx="822">
                  <c:v>07/01/1939</c:v>
                </c:pt>
                <c:pt idx="823">
                  <c:v>08/01/1939</c:v>
                </c:pt>
                <c:pt idx="824">
                  <c:v>09/01/1939</c:v>
                </c:pt>
                <c:pt idx="825">
                  <c:v>10/01/1939</c:v>
                </c:pt>
                <c:pt idx="826">
                  <c:v>11/01/1939</c:v>
                </c:pt>
                <c:pt idx="827">
                  <c:v>12/01/1939</c:v>
                </c:pt>
                <c:pt idx="828">
                  <c:v>01/01/1940</c:v>
                </c:pt>
                <c:pt idx="829">
                  <c:v>02/01/1940</c:v>
                </c:pt>
                <c:pt idx="830">
                  <c:v>03/01/1940</c:v>
                </c:pt>
                <c:pt idx="831">
                  <c:v>04/01/1940</c:v>
                </c:pt>
                <c:pt idx="832">
                  <c:v>05/01/1940</c:v>
                </c:pt>
                <c:pt idx="833">
                  <c:v>06/01/1940</c:v>
                </c:pt>
                <c:pt idx="834">
                  <c:v>07/01/1940</c:v>
                </c:pt>
                <c:pt idx="835">
                  <c:v>08/01/1940</c:v>
                </c:pt>
                <c:pt idx="836">
                  <c:v>09/01/1940</c:v>
                </c:pt>
                <c:pt idx="837">
                  <c:v>10/01/1940</c:v>
                </c:pt>
                <c:pt idx="838">
                  <c:v>11/01/1940</c:v>
                </c:pt>
                <c:pt idx="839">
                  <c:v>12/01/1940</c:v>
                </c:pt>
                <c:pt idx="840">
                  <c:v>01/01/1941</c:v>
                </c:pt>
                <c:pt idx="841">
                  <c:v>02/01/1941</c:v>
                </c:pt>
                <c:pt idx="842">
                  <c:v>03/01/1941</c:v>
                </c:pt>
                <c:pt idx="843">
                  <c:v>04/01/1941</c:v>
                </c:pt>
                <c:pt idx="844">
                  <c:v>05/01/1941</c:v>
                </c:pt>
                <c:pt idx="845">
                  <c:v>06/01/1941</c:v>
                </c:pt>
                <c:pt idx="846">
                  <c:v>07/01/1941</c:v>
                </c:pt>
                <c:pt idx="847">
                  <c:v>08/01/1941</c:v>
                </c:pt>
                <c:pt idx="848">
                  <c:v>09/01/1941</c:v>
                </c:pt>
                <c:pt idx="849">
                  <c:v>10/01/1941</c:v>
                </c:pt>
                <c:pt idx="850">
                  <c:v>11/01/1941</c:v>
                </c:pt>
                <c:pt idx="851">
                  <c:v>12/01/1941</c:v>
                </c:pt>
                <c:pt idx="852">
                  <c:v>01/01/1942</c:v>
                </c:pt>
                <c:pt idx="853">
                  <c:v>02/01/1942</c:v>
                </c:pt>
                <c:pt idx="854">
                  <c:v>03/01/1942</c:v>
                </c:pt>
                <c:pt idx="855">
                  <c:v>04/01/1942</c:v>
                </c:pt>
                <c:pt idx="856">
                  <c:v>05/01/1942</c:v>
                </c:pt>
                <c:pt idx="857">
                  <c:v>06/01/1942</c:v>
                </c:pt>
                <c:pt idx="858">
                  <c:v>07/01/1942</c:v>
                </c:pt>
                <c:pt idx="859">
                  <c:v>08/01/1942</c:v>
                </c:pt>
                <c:pt idx="860">
                  <c:v>09/01/1942</c:v>
                </c:pt>
                <c:pt idx="861">
                  <c:v>10/01/1942</c:v>
                </c:pt>
                <c:pt idx="862">
                  <c:v>11/01/1942</c:v>
                </c:pt>
                <c:pt idx="863">
                  <c:v>12/01/1942</c:v>
                </c:pt>
                <c:pt idx="864">
                  <c:v>01/01/1943</c:v>
                </c:pt>
                <c:pt idx="865">
                  <c:v>02/01/1943</c:v>
                </c:pt>
                <c:pt idx="866">
                  <c:v>03/01/1943</c:v>
                </c:pt>
                <c:pt idx="867">
                  <c:v>04/01/1943</c:v>
                </c:pt>
                <c:pt idx="868">
                  <c:v>05/01/1943</c:v>
                </c:pt>
                <c:pt idx="869">
                  <c:v>06/01/1943</c:v>
                </c:pt>
                <c:pt idx="870">
                  <c:v>07/01/1943</c:v>
                </c:pt>
                <c:pt idx="871">
                  <c:v>08/01/1943</c:v>
                </c:pt>
                <c:pt idx="872">
                  <c:v>09/01/1943</c:v>
                </c:pt>
                <c:pt idx="873">
                  <c:v>10/01/1943</c:v>
                </c:pt>
                <c:pt idx="874">
                  <c:v>11/01/1943</c:v>
                </c:pt>
                <c:pt idx="875">
                  <c:v>12/01/1943</c:v>
                </c:pt>
                <c:pt idx="876">
                  <c:v>01/01/1944</c:v>
                </c:pt>
                <c:pt idx="877">
                  <c:v>02/01/1944</c:v>
                </c:pt>
                <c:pt idx="878">
                  <c:v>03/01/1944</c:v>
                </c:pt>
                <c:pt idx="879">
                  <c:v>04/01/1944</c:v>
                </c:pt>
                <c:pt idx="880">
                  <c:v>05/01/1944</c:v>
                </c:pt>
                <c:pt idx="881">
                  <c:v>06/01/1944</c:v>
                </c:pt>
                <c:pt idx="882">
                  <c:v>07/01/1944</c:v>
                </c:pt>
                <c:pt idx="883">
                  <c:v>08/01/1944</c:v>
                </c:pt>
                <c:pt idx="884">
                  <c:v>09/01/1944</c:v>
                </c:pt>
                <c:pt idx="885">
                  <c:v>10/01/1944</c:v>
                </c:pt>
                <c:pt idx="886">
                  <c:v>11/01/1944</c:v>
                </c:pt>
                <c:pt idx="887">
                  <c:v>12/01/1944</c:v>
                </c:pt>
                <c:pt idx="888">
                  <c:v>01/01/1945</c:v>
                </c:pt>
                <c:pt idx="889">
                  <c:v>02/01/1945</c:v>
                </c:pt>
                <c:pt idx="890">
                  <c:v>03/01/1945</c:v>
                </c:pt>
                <c:pt idx="891">
                  <c:v>04/01/1945</c:v>
                </c:pt>
                <c:pt idx="892">
                  <c:v>05/01/1945</c:v>
                </c:pt>
                <c:pt idx="893">
                  <c:v>06/01/1945</c:v>
                </c:pt>
                <c:pt idx="894">
                  <c:v>07/01/1945</c:v>
                </c:pt>
                <c:pt idx="895">
                  <c:v>08/01/1945</c:v>
                </c:pt>
                <c:pt idx="896">
                  <c:v>09/01/1945</c:v>
                </c:pt>
                <c:pt idx="897">
                  <c:v>10/01/1945</c:v>
                </c:pt>
                <c:pt idx="898">
                  <c:v>11/01/1945</c:v>
                </c:pt>
                <c:pt idx="899">
                  <c:v>12/01/1945</c:v>
                </c:pt>
                <c:pt idx="900">
                  <c:v>01/01/1946</c:v>
                </c:pt>
                <c:pt idx="901">
                  <c:v>02/01/1946</c:v>
                </c:pt>
                <c:pt idx="902">
                  <c:v>03/01/1946</c:v>
                </c:pt>
                <c:pt idx="903">
                  <c:v>04/01/1946</c:v>
                </c:pt>
                <c:pt idx="904">
                  <c:v>05/01/1946</c:v>
                </c:pt>
                <c:pt idx="905">
                  <c:v>06/01/1946</c:v>
                </c:pt>
                <c:pt idx="906">
                  <c:v>07/01/1946</c:v>
                </c:pt>
                <c:pt idx="907">
                  <c:v>08/01/1946</c:v>
                </c:pt>
                <c:pt idx="908">
                  <c:v>09/01/1946</c:v>
                </c:pt>
                <c:pt idx="909">
                  <c:v>10/01/1946</c:v>
                </c:pt>
                <c:pt idx="910">
                  <c:v>11/01/1946</c:v>
                </c:pt>
                <c:pt idx="911">
                  <c:v>12/01/1946</c:v>
                </c:pt>
                <c:pt idx="912">
                  <c:v>01/01/1947</c:v>
                </c:pt>
                <c:pt idx="913">
                  <c:v>02/01/1947</c:v>
                </c:pt>
                <c:pt idx="914">
                  <c:v>03/01/1947</c:v>
                </c:pt>
                <c:pt idx="915">
                  <c:v>04/01/1947</c:v>
                </c:pt>
                <c:pt idx="916">
                  <c:v>05/01/1947</c:v>
                </c:pt>
                <c:pt idx="917">
                  <c:v>06/01/1947</c:v>
                </c:pt>
                <c:pt idx="918">
                  <c:v>07/01/1947</c:v>
                </c:pt>
                <c:pt idx="919">
                  <c:v>08/01/1947</c:v>
                </c:pt>
                <c:pt idx="920">
                  <c:v>09/01/1947</c:v>
                </c:pt>
                <c:pt idx="921">
                  <c:v>10/01/1947</c:v>
                </c:pt>
                <c:pt idx="922">
                  <c:v>11/01/1947</c:v>
                </c:pt>
                <c:pt idx="923">
                  <c:v>12/01/1947</c:v>
                </c:pt>
                <c:pt idx="924">
                  <c:v>01/01/1948</c:v>
                </c:pt>
                <c:pt idx="925">
                  <c:v>02/01/1948</c:v>
                </c:pt>
                <c:pt idx="926">
                  <c:v>03/01/1948</c:v>
                </c:pt>
                <c:pt idx="927">
                  <c:v>04/01/1948</c:v>
                </c:pt>
                <c:pt idx="928">
                  <c:v>05/01/1948</c:v>
                </c:pt>
                <c:pt idx="929">
                  <c:v>06/01/1948</c:v>
                </c:pt>
                <c:pt idx="930">
                  <c:v>07/01/1948</c:v>
                </c:pt>
                <c:pt idx="931">
                  <c:v>08/01/1948</c:v>
                </c:pt>
                <c:pt idx="932">
                  <c:v>09/01/1948</c:v>
                </c:pt>
                <c:pt idx="933">
                  <c:v>10/01/1948</c:v>
                </c:pt>
                <c:pt idx="934">
                  <c:v>11/01/1948</c:v>
                </c:pt>
                <c:pt idx="935">
                  <c:v>12/01/1948</c:v>
                </c:pt>
                <c:pt idx="936">
                  <c:v>01/01/1949</c:v>
                </c:pt>
                <c:pt idx="937">
                  <c:v>02/01/1949</c:v>
                </c:pt>
                <c:pt idx="938">
                  <c:v>03/01/1949</c:v>
                </c:pt>
                <c:pt idx="939">
                  <c:v>04/01/1949</c:v>
                </c:pt>
                <c:pt idx="940">
                  <c:v>05/01/1949</c:v>
                </c:pt>
                <c:pt idx="941">
                  <c:v>06/01/1949</c:v>
                </c:pt>
                <c:pt idx="942">
                  <c:v>07/01/1949</c:v>
                </c:pt>
                <c:pt idx="943">
                  <c:v>08/01/1949</c:v>
                </c:pt>
                <c:pt idx="944">
                  <c:v>09/01/1949</c:v>
                </c:pt>
                <c:pt idx="945">
                  <c:v>10/01/1949</c:v>
                </c:pt>
                <c:pt idx="946">
                  <c:v>11/01/1949</c:v>
                </c:pt>
                <c:pt idx="947">
                  <c:v>12/01/1949</c:v>
                </c:pt>
                <c:pt idx="948">
                  <c:v>01/01/1950</c:v>
                </c:pt>
                <c:pt idx="949">
                  <c:v>02/01/1950</c:v>
                </c:pt>
                <c:pt idx="950">
                  <c:v>03/01/1950</c:v>
                </c:pt>
                <c:pt idx="951">
                  <c:v>04/01/1950</c:v>
                </c:pt>
                <c:pt idx="952">
                  <c:v>05/01/1950</c:v>
                </c:pt>
                <c:pt idx="953">
                  <c:v>06/01/1950</c:v>
                </c:pt>
                <c:pt idx="954">
                  <c:v>07/01/1950</c:v>
                </c:pt>
                <c:pt idx="955">
                  <c:v>08/01/1950</c:v>
                </c:pt>
                <c:pt idx="956">
                  <c:v>09/01/1950</c:v>
                </c:pt>
                <c:pt idx="957">
                  <c:v>10/01/1950</c:v>
                </c:pt>
                <c:pt idx="958">
                  <c:v>11/01/1950</c:v>
                </c:pt>
                <c:pt idx="959">
                  <c:v>12/01/1950</c:v>
                </c:pt>
                <c:pt idx="960">
                  <c:v>01/01/1951</c:v>
                </c:pt>
                <c:pt idx="961">
                  <c:v>02/01/1951</c:v>
                </c:pt>
                <c:pt idx="962">
                  <c:v>03/01/1951</c:v>
                </c:pt>
                <c:pt idx="963">
                  <c:v>04/01/1951</c:v>
                </c:pt>
                <c:pt idx="964">
                  <c:v>05/01/1951</c:v>
                </c:pt>
                <c:pt idx="965">
                  <c:v>06/01/1951</c:v>
                </c:pt>
                <c:pt idx="966">
                  <c:v>07/01/1951</c:v>
                </c:pt>
                <c:pt idx="967">
                  <c:v>08/01/1951</c:v>
                </c:pt>
                <c:pt idx="968">
                  <c:v>09/01/1951</c:v>
                </c:pt>
                <c:pt idx="969">
                  <c:v>10/01/1951</c:v>
                </c:pt>
                <c:pt idx="970">
                  <c:v>11/01/1951</c:v>
                </c:pt>
                <c:pt idx="971">
                  <c:v>12/01/1951</c:v>
                </c:pt>
                <c:pt idx="972">
                  <c:v>01/01/1952</c:v>
                </c:pt>
                <c:pt idx="973">
                  <c:v>02/01/1952</c:v>
                </c:pt>
                <c:pt idx="974">
                  <c:v>03/01/1952</c:v>
                </c:pt>
                <c:pt idx="975">
                  <c:v>04/01/1952</c:v>
                </c:pt>
                <c:pt idx="976">
                  <c:v>05/01/1952</c:v>
                </c:pt>
                <c:pt idx="977">
                  <c:v>06/01/1952</c:v>
                </c:pt>
                <c:pt idx="978">
                  <c:v>07/01/1952</c:v>
                </c:pt>
                <c:pt idx="979">
                  <c:v>08/01/1952</c:v>
                </c:pt>
                <c:pt idx="980">
                  <c:v>09/01/1952</c:v>
                </c:pt>
                <c:pt idx="981">
                  <c:v>10/01/1952</c:v>
                </c:pt>
                <c:pt idx="982">
                  <c:v>11/01/1952</c:v>
                </c:pt>
                <c:pt idx="983">
                  <c:v>12/01/1952</c:v>
                </c:pt>
                <c:pt idx="984">
                  <c:v>01/01/1953</c:v>
                </c:pt>
                <c:pt idx="985">
                  <c:v>02/01/1953</c:v>
                </c:pt>
                <c:pt idx="986">
                  <c:v>03/01/1953</c:v>
                </c:pt>
                <c:pt idx="987">
                  <c:v>04/01/1953</c:v>
                </c:pt>
                <c:pt idx="988">
                  <c:v>05/01/1953</c:v>
                </c:pt>
                <c:pt idx="989">
                  <c:v>06/01/1953</c:v>
                </c:pt>
                <c:pt idx="990">
                  <c:v>07/01/1953</c:v>
                </c:pt>
                <c:pt idx="991">
                  <c:v>08/01/1953</c:v>
                </c:pt>
                <c:pt idx="992">
                  <c:v>09/01/1953</c:v>
                </c:pt>
                <c:pt idx="993">
                  <c:v>10/01/1953</c:v>
                </c:pt>
                <c:pt idx="994">
                  <c:v>11/01/1953</c:v>
                </c:pt>
                <c:pt idx="995">
                  <c:v>12/01/1953</c:v>
                </c:pt>
                <c:pt idx="996">
                  <c:v>01/01/1954</c:v>
                </c:pt>
                <c:pt idx="997">
                  <c:v>02/01/1954</c:v>
                </c:pt>
                <c:pt idx="998">
                  <c:v>03/01/1954</c:v>
                </c:pt>
                <c:pt idx="999">
                  <c:v>04/01/1954</c:v>
                </c:pt>
                <c:pt idx="1000">
                  <c:v>05/01/1954</c:v>
                </c:pt>
                <c:pt idx="1001">
                  <c:v>06/01/1954</c:v>
                </c:pt>
                <c:pt idx="1002">
                  <c:v>07/01/1954</c:v>
                </c:pt>
                <c:pt idx="1003">
                  <c:v>08/01/1954</c:v>
                </c:pt>
                <c:pt idx="1004">
                  <c:v>09/01/1954</c:v>
                </c:pt>
                <c:pt idx="1005">
                  <c:v>10/01/1954</c:v>
                </c:pt>
                <c:pt idx="1006">
                  <c:v>11/01/1954</c:v>
                </c:pt>
                <c:pt idx="1007">
                  <c:v>12/01/1954</c:v>
                </c:pt>
                <c:pt idx="1008">
                  <c:v>01/01/1955</c:v>
                </c:pt>
                <c:pt idx="1009">
                  <c:v>02/01/1955</c:v>
                </c:pt>
                <c:pt idx="1010">
                  <c:v>03/01/1955</c:v>
                </c:pt>
                <c:pt idx="1011">
                  <c:v>04/01/1955</c:v>
                </c:pt>
                <c:pt idx="1012">
                  <c:v>05/01/1955</c:v>
                </c:pt>
                <c:pt idx="1013">
                  <c:v>06/01/1955</c:v>
                </c:pt>
                <c:pt idx="1014">
                  <c:v>07/01/1955</c:v>
                </c:pt>
                <c:pt idx="1015">
                  <c:v>08/01/1955</c:v>
                </c:pt>
                <c:pt idx="1016">
                  <c:v>09/01/1955</c:v>
                </c:pt>
                <c:pt idx="1017">
                  <c:v>10/01/1955</c:v>
                </c:pt>
                <c:pt idx="1018">
                  <c:v>11/01/1955</c:v>
                </c:pt>
                <c:pt idx="1019">
                  <c:v>12/01/1955</c:v>
                </c:pt>
                <c:pt idx="1020">
                  <c:v>01/01/1956</c:v>
                </c:pt>
                <c:pt idx="1021">
                  <c:v>02/01/1956</c:v>
                </c:pt>
                <c:pt idx="1022">
                  <c:v>03/01/1956</c:v>
                </c:pt>
                <c:pt idx="1023">
                  <c:v>04/01/1956</c:v>
                </c:pt>
                <c:pt idx="1024">
                  <c:v>05/01/1956</c:v>
                </c:pt>
                <c:pt idx="1025">
                  <c:v>06/01/1956</c:v>
                </c:pt>
                <c:pt idx="1026">
                  <c:v>07/01/1956</c:v>
                </c:pt>
                <c:pt idx="1027">
                  <c:v>08/01/1956</c:v>
                </c:pt>
                <c:pt idx="1028">
                  <c:v>09/01/1956</c:v>
                </c:pt>
                <c:pt idx="1029">
                  <c:v>10/01/1956</c:v>
                </c:pt>
                <c:pt idx="1030">
                  <c:v>11/01/1956</c:v>
                </c:pt>
                <c:pt idx="1031">
                  <c:v>12/01/1956</c:v>
                </c:pt>
                <c:pt idx="1032">
                  <c:v>01/01/1957</c:v>
                </c:pt>
                <c:pt idx="1033">
                  <c:v>02/01/1957</c:v>
                </c:pt>
                <c:pt idx="1034">
                  <c:v>03/01/1957</c:v>
                </c:pt>
                <c:pt idx="1035">
                  <c:v>04/01/1957</c:v>
                </c:pt>
                <c:pt idx="1036">
                  <c:v>05/01/1957</c:v>
                </c:pt>
                <c:pt idx="1037">
                  <c:v>06/01/1957</c:v>
                </c:pt>
                <c:pt idx="1038">
                  <c:v>07/01/1957</c:v>
                </c:pt>
                <c:pt idx="1039">
                  <c:v>08/01/1957</c:v>
                </c:pt>
                <c:pt idx="1040">
                  <c:v>09/01/1957</c:v>
                </c:pt>
                <c:pt idx="1041">
                  <c:v>10/01/1957</c:v>
                </c:pt>
                <c:pt idx="1042">
                  <c:v>11/01/1957</c:v>
                </c:pt>
                <c:pt idx="1043">
                  <c:v>12/01/1957</c:v>
                </c:pt>
                <c:pt idx="1044">
                  <c:v>01/01/1958</c:v>
                </c:pt>
                <c:pt idx="1045">
                  <c:v>02/01/1958</c:v>
                </c:pt>
                <c:pt idx="1046">
                  <c:v>03/01/1958</c:v>
                </c:pt>
                <c:pt idx="1047">
                  <c:v>04/01/1958</c:v>
                </c:pt>
                <c:pt idx="1048">
                  <c:v>05/01/1958</c:v>
                </c:pt>
                <c:pt idx="1049">
                  <c:v>06/01/1958</c:v>
                </c:pt>
                <c:pt idx="1050">
                  <c:v>07/01/1958</c:v>
                </c:pt>
                <c:pt idx="1051">
                  <c:v>08/01/1958</c:v>
                </c:pt>
                <c:pt idx="1052">
                  <c:v>09/01/1958</c:v>
                </c:pt>
                <c:pt idx="1053">
                  <c:v>10/01/1958</c:v>
                </c:pt>
                <c:pt idx="1054">
                  <c:v>11/01/1958</c:v>
                </c:pt>
                <c:pt idx="1055">
                  <c:v>12/01/1958</c:v>
                </c:pt>
                <c:pt idx="1056">
                  <c:v>01/01/1959</c:v>
                </c:pt>
                <c:pt idx="1057">
                  <c:v>02/01/1959</c:v>
                </c:pt>
                <c:pt idx="1058">
                  <c:v>03/01/1959</c:v>
                </c:pt>
                <c:pt idx="1059">
                  <c:v>04/01/1959</c:v>
                </c:pt>
                <c:pt idx="1060">
                  <c:v>05/01/1959</c:v>
                </c:pt>
                <c:pt idx="1061">
                  <c:v>06/01/1959</c:v>
                </c:pt>
                <c:pt idx="1062">
                  <c:v>07/01/1959</c:v>
                </c:pt>
                <c:pt idx="1063">
                  <c:v>08/01/1959</c:v>
                </c:pt>
                <c:pt idx="1064">
                  <c:v>09/01/1959</c:v>
                </c:pt>
                <c:pt idx="1065">
                  <c:v>10/01/1959</c:v>
                </c:pt>
                <c:pt idx="1066">
                  <c:v>11/01/1959</c:v>
                </c:pt>
                <c:pt idx="1067">
                  <c:v>12/01/1959</c:v>
                </c:pt>
                <c:pt idx="1068">
                  <c:v>01/01/1960</c:v>
                </c:pt>
                <c:pt idx="1069">
                  <c:v>02/01/1960</c:v>
                </c:pt>
                <c:pt idx="1070">
                  <c:v>03/01/1960</c:v>
                </c:pt>
                <c:pt idx="1071">
                  <c:v>04/01/1960</c:v>
                </c:pt>
                <c:pt idx="1072">
                  <c:v>05/01/1960</c:v>
                </c:pt>
                <c:pt idx="1073">
                  <c:v>06/01/1960</c:v>
                </c:pt>
                <c:pt idx="1074">
                  <c:v>07/01/1960</c:v>
                </c:pt>
                <c:pt idx="1075">
                  <c:v>08/01/1960</c:v>
                </c:pt>
                <c:pt idx="1076">
                  <c:v>09/01/1960</c:v>
                </c:pt>
                <c:pt idx="1077">
                  <c:v>10/01/1960</c:v>
                </c:pt>
                <c:pt idx="1078">
                  <c:v>11/01/1960</c:v>
                </c:pt>
                <c:pt idx="1079">
                  <c:v>12/01/1960</c:v>
                </c:pt>
                <c:pt idx="1080">
                  <c:v>01/01/1961</c:v>
                </c:pt>
                <c:pt idx="1081">
                  <c:v>02/01/1961</c:v>
                </c:pt>
                <c:pt idx="1082">
                  <c:v>03/01/1961</c:v>
                </c:pt>
                <c:pt idx="1083">
                  <c:v>04/01/1961</c:v>
                </c:pt>
                <c:pt idx="1084">
                  <c:v>05/01/1961</c:v>
                </c:pt>
                <c:pt idx="1085">
                  <c:v>06/01/1961</c:v>
                </c:pt>
                <c:pt idx="1086">
                  <c:v>07/01/1961</c:v>
                </c:pt>
                <c:pt idx="1087">
                  <c:v>08/01/1961</c:v>
                </c:pt>
                <c:pt idx="1088">
                  <c:v>09/01/1961</c:v>
                </c:pt>
                <c:pt idx="1089">
                  <c:v>10/01/1961</c:v>
                </c:pt>
                <c:pt idx="1090">
                  <c:v>11/01/1961</c:v>
                </c:pt>
                <c:pt idx="1091">
                  <c:v>12/01/1961</c:v>
                </c:pt>
                <c:pt idx="1092">
                  <c:v>01/01/1962</c:v>
                </c:pt>
                <c:pt idx="1093">
                  <c:v>02/01/1962</c:v>
                </c:pt>
                <c:pt idx="1094">
                  <c:v>03/01/1962</c:v>
                </c:pt>
                <c:pt idx="1095">
                  <c:v>04/01/1962</c:v>
                </c:pt>
                <c:pt idx="1096">
                  <c:v>05/01/1962</c:v>
                </c:pt>
                <c:pt idx="1097">
                  <c:v>06/01/1962</c:v>
                </c:pt>
                <c:pt idx="1098">
                  <c:v>07/01/1962</c:v>
                </c:pt>
                <c:pt idx="1099">
                  <c:v>08/01/1962</c:v>
                </c:pt>
                <c:pt idx="1100">
                  <c:v>09/01/1962</c:v>
                </c:pt>
                <c:pt idx="1101">
                  <c:v>10/01/1962</c:v>
                </c:pt>
                <c:pt idx="1102">
                  <c:v>11/01/1962</c:v>
                </c:pt>
                <c:pt idx="1103">
                  <c:v>12/01/1962</c:v>
                </c:pt>
                <c:pt idx="1104">
                  <c:v>01/01/1963</c:v>
                </c:pt>
                <c:pt idx="1105">
                  <c:v>02/01/1963</c:v>
                </c:pt>
                <c:pt idx="1106">
                  <c:v>03/01/1963</c:v>
                </c:pt>
                <c:pt idx="1107">
                  <c:v>04/01/1963</c:v>
                </c:pt>
                <c:pt idx="1108">
                  <c:v>05/01/1963</c:v>
                </c:pt>
                <c:pt idx="1109">
                  <c:v>06/01/1963</c:v>
                </c:pt>
                <c:pt idx="1110">
                  <c:v>07/01/1963</c:v>
                </c:pt>
                <c:pt idx="1111">
                  <c:v>08/01/1963</c:v>
                </c:pt>
                <c:pt idx="1112">
                  <c:v>09/01/1963</c:v>
                </c:pt>
                <c:pt idx="1113">
                  <c:v>10/01/1963</c:v>
                </c:pt>
                <c:pt idx="1114">
                  <c:v>11/01/1963</c:v>
                </c:pt>
                <c:pt idx="1115">
                  <c:v>12/01/1963</c:v>
                </c:pt>
                <c:pt idx="1116">
                  <c:v>01/01/1964</c:v>
                </c:pt>
                <c:pt idx="1117">
                  <c:v>02/01/1964</c:v>
                </c:pt>
                <c:pt idx="1118">
                  <c:v>03/01/1964</c:v>
                </c:pt>
                <c:pt idx="1119">
                  <c:v>04/01/1964</c:v>
                </c:pt>
                <c:pt idx="1120">
                  <c:v>05/01/1964</c:v>
                </c:pt>
                <c:pt idx="1121">
                  <c:v>06/01/1964</c:v>
                </c:pt>
                <c:pt idx="1122">
                  <c:v>07/01/1964</c:v>
                </c:pt>
                <c:pt idx="1123">
                  <c:v>08/01/1964</c:v>
                </c:pt>
                <c:pt idx="1124">
                  <c:v>09/01/1964</c:v>
                </c:pt>
                <c:pt idx="1125">
                  <c:v>10/01/1964</c:v>
                </c:pt>
                <c:pt idx="1126">
                  <c:v>11/01/1964</c:v>
                </c:pt>
                <c:pt idx="1127">
                  <c:v>12/01/1964</c:v>
                </c:pt>
                <c:pt idx="1128">
                  <c:v>01/01/1965</c:v>
                </c:pt>
                <c:pt idx="1129">
                  <c:v>02/01/1965</c:v>
                </c:pt>
                <c:pt idx="1130">
                  <c:v>03/01/1965</c:v>
                </c:pt>
                <c:pt idx="1131">
                  <c:v>04/01/1965</c:v>
                </c:pt>
                <c:pt idx="1132">
                  <c:v>05/01/1965</c:v>
                </c:pt>
                <c:pt idx="1133">
                  <c:v>06/01/1965</c:v>
                </c:pt>
                <c:pt idx="1134">
                  <c:v>07/01/1965</c:v>
                </c:pt>
                <c:pt idx="1135">
                  <c:v>08/01/1965</c:v>
                </c:pt>
                <c:pt idx="1136">
                  <c:v>09/01/1965</c:v>
                </c:pt>
                <c:pt idx="1137">
                  <c:v>10/01/1965</c:v>
                </c:pt>
                <c:pt idx="1138">
                  <c:v>11/01/1965</c:v>
                </c:pt>
                <c:pt idx="1139">
                  <c:v>12/01/1965</c:v>
                </c:pt>
                <c:pt idx="1140">
                  <c:v>01/01/1966</c:v>
                </c:pt>
                <c:pt idx="1141">
                  <c:v>02/01/1966</c:v>
                </c:pt>
                <c:pt idx="1142">
                  <c:v>03/01/1966</c:v>
                </c:pt>
                <c:pt idx="1143">
                  <c:v>04/01/1966</c:v>
                </c:pt>
                <c:pt idx="1144">
                  <c:v>05/01/1966</c:v>
                </c:pt>
                <c:pt idx="1145">
                  <c:v>06/01/1966</c:v>
                </c:pt>
                <c:pt idx="1146">
                  <c:v>07/01/1966</c:v>
                </c:pt>
                <c:pt idx="1147">
                  <c:v>08/01/1966</c:v>
                </c:pt>
                <c:pt idx="1148">
                  <c:v>09/01/1966</c:v>
                </c:pt>
                <c:pt idx="1149">
                  <c:v>10/01/1966</c:v>
                </c:pt>
                <c:pt idx="1150">
                  <c:v>11/01/1966</c:v>
                </c:pt>
                <c:pt idx="1151">
                  <c:v>12/01/1966</c:v>
                </c:pt>
                <c:pt idx="1152">
                  <c:v>01/01/1967</c:v>
                </c:pt>
                <c:pt idx="1153">
                  <c:v>02/01/1967</c:v>
                </c:pt>
                <c:pt idx="1154">
                  <c:v>03/01/1967</c:v>
                </c:pt>
                <c:pt idx="1155">
                  <c:v>04/01/1967</c:v>
                </c:pt>
                <c:pt idx="1156">
                  <c:v>05/01/1967</c:v>
                </c:pt>
                <c:pt idx="1157">
                  <c:v>06/01/1967</c:v>
                </c:pt>
                <c:pt idx="1158">
                  <c:v>07/01/1967</c:v>
                </c:pt>
                <c:pt idx="1159">
                  <c:v>08/01/1967</c:v>
                </c:pt>
                <c:pt idx="1160">
                  <c:v>09/01/1967</c:v>
                </c:pt>
                <c:pt idx="1161">
                  <c:v>10/01/1967</c:v>
                </c:pt>
                <c:pt idx="1162">
                  <c:v>11/01/1967</c:v>
                </c:pt>
                <c:pt idx="1163">
                  <c:v>12/01/1967</c:v>
                </c:pt>
                <c:pt idx="1164">
                  <c:v>01/01/1968</c:v>
                </c:pt>
                <c:pt idx="1165">
                  <c:v>02/01/1968</c:v>
                </c:pt>
                <c:pt idx="1166">
                  <c:v>03/01/1968</c:v>
                </c:pt>
                <c:pt idx="1167">
                  <c:v>04/01/1968</c:v>
                </c:pt>
                <c:pt idx="1168">
                  <c:v>05/01/1968</c:v>
                </c:pt>
                <c:pt idx="1169">
                  <c:v>06/01/1968</c:v>
                </c:pt>
                <c:pt idx="1170">
                  <c:v>07/01/1968</c:v>
                </c:pt>
                <c:pt idx="1171">
                  <c:v>08/01/1968</c:v>
                </c:pt>
                <c:pt idx="1172">
                  <c:v>09/01/1968</c:v>
                </c:pt>
                <c:pt idx="1173">
                  <c:v>10/01/1968</c:v>
                </c:pt>
                <c:pt idx="1174">
                  <c:v>11/01/1968</c:v>
                </c:pt>
                <c:pt idx="1175">
                  <c:v>12/01/1968</c:v>
                </c:pt>
                <c:pt idx="1176">
                  <c:v>01/01/1969</c:v>
                </c:pt>
                <c:pt idx="1177">
                  <c:v>02/01/1969</c:v>
                </c:pt>
                <c:pt idx="1178">
                  <c:v>03/01/1969</c:v>
                </c:pt>
                <c:pt idx="1179">
                  <c:v>04/01/1969</c:v>
                </c:pt>
                <c:pt idx="1180">
                  <c:v>05/01/1969</c:v>
                </c:pt>
                <c:pt idx="1181">
                  <c:v>06/01/1969</c:v>
                </c:pt>
                <c:pt idx="1182">
                  <c:v>07/01/1969</c:v>
                </c:pt>
                <c:pt idx="1183">
                  <c:v>08/01/1969</c:v>
                </c:pt>
                <c:pt idx="1184">
                  <c:v>09/01/1969</c:v>
                </c:pt>
                <c:pt idx="1185">
                  <c:v>10/01/1969</c:v>
                </c:pt>
                <c:pt idx="1186">
                  <c:v>11/01/1969</c:v>
                </c:pt>
                <c:pt idx="1187">
                  <c:v>12/01/1969</c:v>
                </c:pt>
                <c:pt idx="1188">
                  <c:v>01/01/1970</c:v>
                </c:pt>
                <c:pt idx="1189">
                  <c:v>02/01/1970</c:v>
                </c:pt>
                <c:pt idx="1190">
                  <c:v>03/01/1970</c:v>
                </c:pt>
                <c:pt idx="1191">
                  <c:v>04/01/1970</c:v>
                </c:pt>
                <c:pt idx="1192">
                  <c:v>05/01/1970</c:v>
                </c:pt>
                <c:pt idx="1193">
                  <c:v>06/01/1970</c:v>
                </c:pt>
                <c:pt idx="1194">
                  <c:v>07/01/1970</c:v>
                </c:pt>
                <c:pt idx="1195">
                  <c:v>08/01/1970</c:v>
                </c:pt>
                <c:pt idx="1196">
                  <c:v>09/01/1970</c:v>
                </c:pt>
                <c:pt idx="1197">
                  <c:v>10/01/1970</c:v>
                </c:pt>
                <c:pt idx="1198">
                  <c:v>11/01/1970</c:v>
                </c:pt>
                <c:pt idx="1199">
                  <c:v>12/01/1970</c:v>
                </c:pt>
                <c:pt idx="1200">
                  <c:v>01/01/1971</c:v>
                </c:pt>
                <c:pt idx="1201">
                  <c:v>02/01/1971</c:v>
                </c:pt>
                <c:pt idx="1202">
                  <c:v>03/01/1971</c:v>
                </c:pt>
                <c:pt idx="1203">
                  <c:v>04/01/1971</c:v>
                </c:pt>
                <c:pt idx="1204">
                  <c:v>05/01/1971</c:v>
                </c:pt>
                <c:pt idx="1205">
                  <c:v>06/01/1971</c:v>
                </c:pt>
                <c:pt idx="1206">
                  <c:v>07/01/1971</c:v>
                </c:pt>
                <c:pt idx="1207">
                  <c:v>08/01/1971</c:v>
                </c:pt>
                <c:pt idx="1208">
                  <c:v>09/01/1971</c:v>
                </c:pt>
                <c:pt idx="1209">
                  <c:v>10/01/1971</c:v>
                </c:pt>
                <c:pt idx="1210">
                  <c:v>11/01/1971</c:v>
                </c:pt>
                <c:pt idx="1211">
                  <c:v>12/01/1971</c:v>
                </c:pt>
                <c:pt idx="1212">
                  <c:v>01/01/1972</c:v>
                </c:pt>
                <c:pt idx="1213">
                  <c:v>02/01/1972</c:v>
                </c:pt>
                <c:pt idx="1214">
                  <c:v>03/01/1972</c:v>
                </c:pt>
                <c:pt idx="1215">
                  <c:v>04/01/1972</c:v>
                </c:pt>
                <c:pt idx="1216">
                  <c:v>05/01/1972</c:v>
                </c:pt>
                <c:pt idx="1217">
                  <c:v>06/01/1972</c:v>
                </c:pt>
                <c:pt idx="1218">
                  <c:v>07/01/1972</c:v>
                </c:pt>
                <c:pt idx="1219">
                  <c:v>08/01/1972</c:v>
                </c:pt>
                <c:pt idx="1220">
                  <c:v>09/01/1972</c:v>
                </c:pt>
                <c:pt idx="1221">
                  <c:v>10/01/1972</c:v>
                </c:pt>
                <c:pt idx="1222">
                  <c:v>11/01/1972</c:v>
                </c:pt>
                <c:pt idx="1223">
                  <c:v>12/01/1972</c:v>
                </c:pt>
                <c:pt idx="1224">
                  <c:v>01/01/1973</c:v>
                </c:pt>
                <c:pt idx="1225">
                  <c:v>02/01/1973</c:v>
                </c:pt>
                <c:pt idx="1226">
                  <c:v>03/01/1973</c:v>
                </c:pt>
                <c:pt idx="1227">
                  <c:v>04/01/1973</c:v>
                </c:pt>
                <c:pt idx="1228">
                  <c:v>05/01/1973</c:v>
                </c:pt>
                <c:pt idx="1229">
                  <c:v>06/01/1973</c:v>
                </c:pt>
                <c:pt idx="1230">
                  <c:v>07/01/1973</c:v>
                </c:pt>
                <c:pt idx="1231">
                  <c:v>08/01/1973</c:v>
                </c:pt>
                <c:pt idx="1232">
                  <c:v>09/01/1973</c:v>
                </c:pt>
                <c:pt idx="1233">
                  <c:v>10/01/1973</c:v>
                </c:pt>
                <c:pt idx="1234">
                  <c:v>11/01/1973</c:v>
                </c:pt>
                <c:pt idx="1235">
                  <c:v>12/01/1973</c:v>
                </c:pt>
                <c:pt idx="1236">
                  <c:v>01/01/1974</c:v>
                </c:pt>
                <c:pt idx="1237">
                  <c:v>02/01/1974</c:v>
                </c:pt>
                <c:pt idx="1238">
                  <c:v>03/01/1974</c:v>
                </c:pt>
                <c:pt idx="1239">
                  <c:v>04/01/1974</c:v>
                </c:pt>
                <c:pt idx="1240">
                  <c:v>05/01/1974</c:v>
                </c:pt>
                <c:pt idx="1241">
                  <c:v>06/01/1974</c:v>
                </c:pt>
                <c:pt idx="1242">
                  <c:v>07/01/1974</c:v>
                </c:pt>
                <c:pt idx="1243">
                  <c:v>08/01/1974</c:v>
                </c:pt>
                <c:pt idx="1244">
                  <c:v>09/01/1974</c:v>
                </c:pt>
                <c:pt idx="1245">
                  <c:v>10/01/1974</c:v>
                </c:pt>
                <c:pt idx="1246">
                  <c:v>11/01/1974</c:v>
                </c:pt>
                <c:pt idx="1247">
                  <c:v>12/01/1974</c:v>
                </c:pt>
                <c:pt idx="1248">
                  <c:v>01/01/1975</c:v>
                </c:pt>
                <c:pt idx="1249">
                  <c:v>02/01/1975</c:v>
                </c:pt>
                <c:pt idx="1250">
                  <c:v>03/01/1975</c:v>
                </c:pt>
                <c:pt idx="1251">
                  <c:v>04/01/1975</c:v>
                </c:pt>
                <c:pt idx="1252">
                  <c:v>05/01/1975</c:v>
                </c:pt>
                <c:pt idx="1253">
                  <c:v>06/01/1975</c:v>
                </c:pt>
                <c:pt idx="1254">
                  <c:v>07/01/1975</c:v>
                </c:pt>
                <c:pt idx="1255">
                  <c:v>08/01/1975</c:v>
                </c:pt>
                <c:pt idx="1256">
                  <c:v>09/01/1975</c:v>
                </c:pt>
                <c:pt idx="1257">
                  <c:v>10/01/1975</c:v>
                </c:pt>
                <c:pt idx="1258">
                  <c:v>11/01/1975</c:v>
                </c:pt>
                <c:pt idx="1259">
                  <c:v>12/01/1975</c:v>
                </c:pt>
                <c:pt idx="1260">
                  <c:v>01/01/1976</c:v>
                </c:pt>
                <c:pt idx="1261">
                  <c:v>02/01/1976</c:v>
                </c:pt>
                <c:pt idx="1262">
                  <c:v>03/01/1976</c:v>
                </c:pt>
                <c:pt idx="1263">
                  <c:v>04/01/1976</c:v>
                </c:pt>
                <c:pt idx="1264">
                  <c:v>05/01/1976</c:v>
                </c:pt>
                <c:pt idx="1265">
                  <c:v>06/01/1976</c:v>
                </c:pt>
                <c:pt idx="1266">
                  <c:v>07/01/1976</c:v>
                </c:pt>
                <c:pt idx="1267">
                  <c:v>08/01/1976</c:v>
                </c:pt>
                <c:pt idx="1268">
                  <c:v>09/01/1976</c:v>
                </c:pt>
                <c:pt idx="1269">
                  <c:v>10/01/1976</c:v>
                </c:pt>
                <c:pt idx="1270">
                  <c:v>11/01/1976</c:v>
                </c:pt>
                <c:pt idx="1271">
                  <c:v>12/01/1976</c:v>
                </c:pt>
                <c:pt idx="1272">
                  <c:v>01/01/1977</c:v>
                </c:pt>
                <c:pt idx="1273">
                  <c:v>02/01/1977</c:v>
                </c:pt>
                <c:pt idx="1274">
                  <c:v>03/01/1977</c:v>
                </c:pt>
                <c:pt idx="1275">
                  <c:v>04/01/1977</c:v>
                </c:pt>
                <c:pt idx="1276">
                  <c:v>05/01/1977</c:v>
                </c:pt>
                <c:pt idx="1277">
                  <c:v>06/01/1977</c:v>
                </c:pt>
                <c:pt idx="1278">
                  <c:v>07/01/1977</c:v>
                </c:pt>
                <c:pt idx="1279">
                  <c:v>08/01/1977</c:v>
                </c:pt>
                <c:pt idx="1280">
                  <c:v>09/01/1977</c:v>
                </c:pt>
                <c:pt idx="1281">
                  <c:v>10/01/1977</c:v>
                </c:pt>
                <c:pt idx="1282">
                  <c:v>11/01/1977</c:v>
                </c:pt>
                <c:pt idx="1283">
                  <c:v>12/01/1977</c:v>
                </c:pt>
                <c:pt idx="1284">
                  <c:v>01/01/1978</c:v>
                </c:pt>
                <c:pt idx="1285">
                  <c:v>02/01/1978</c:v>
                </c:pt>
                <c:pt idx="1286">
                  <c:v>03/01/1978</c:v>
                </c:pt>
                <c:pt idx="1287">
                  <c:v>04/01/1978</c:v>
                </c:pt>
                <c:pt idx="1288">
                  <c:v>05/01/1978</c:v>
                </c:pt>
                <c:pt idx="1289">
                  <c:v>06/01/1978</c:v>
                </c:pt>
                <c:pt idx="1290">
                  <c:v>07/01/1978</c:v>
                </c:pt>
                <c:pt idx="1291">
                  <c:v>08/01/1978</c:v>
                </c:pt>
                <c:pt idx="1292">
                  <c:v>09/01/1978</c:v>
                </c:pt>
                <c:pt idx="1293">
                  <c:v>10/01/1978</c:v>
                </c:pt>
                <c:pt idx="1294">
                  <c:v>11/01/1978</c:v>
                </c:pt>
                <c:pt idx="1295">
                  <c:v>12/01/1978</c:v>
                </c:pt>
                <c:pt idx="1296">
                  <c:v>01/01/1979</c:v>
                </c:pt>
                <c:pt idx="1297">
                  <c:v>02/01/1979</c:v>
                </c:pt>
                <c:pt idx="1298">
                  <c:v>03/01/1979</c:v>
                </c:pt>
                <c:pt idx="1299">
                  <c:v>04/01/1979</c:v>
                </c:pt>
                <c:pt idx="1300">
                  <c:v>05/01/1979</c:v>
                </c:pt>
                <c:pt idx="1301">
                  <c:v>06/01/1979</c:v>
                </c:pt>
                <c:pt idx="1302">
                  <c:v>07/01/1979</c:v>
                </c:pt>
                <c:pt idx="1303">
                  <c:v>08/01/1979</c:v>
                </c:pt>
                <c:pt idx="1304">
                  <c:v>09/01/1979</c:v>
                </c:pt>
                <c:pt idx="1305">
                  <c:v>10/01/1979</c:v>
                </c:pt>
                <c:pt idx="1306">
                  <c:v>11/01/1979</c:v>
                </c:pt>
                <c:pt idx="1307">
                  <c:v>12/01/1979</c:v>
                </c:pt>
                <c:pt idx="1308">
                  <c:v>01/01/1980</c:v>
                </c:pt>
                <c:pt idx="1309">
                  <c:v>02/01/1980</c:v>
                </c:pt>
                <c:pt idx="1310">
                  <c:v>03/01/1980</c:v>
                </c:pt>
                <c:pt idx="1311">
                  <c:v>04/01/1980</c:v>
                </c:pt>
                <c:pt idx="1312">
                  <c:v>05/01/1980</c:v>
                </c:pt>
                <c:pt idx="1313">
                  <c:v>06/01/1980</c:v>
                </c:pt>
                <c:pt idx="1314">
                  <c:v>07/01/1980</c:v>
                </c:pt>
                <c:pt idx="1315">
                  <c:v>08/01/1980</c:v>
                </c:pt>
                <c:pt idx="1316">
                  <c:v>09/01/1980</c:v>
                </c:pt>
                <c:pt idx="1317">
                  <c:v>10/01/1980</c:v>
                </c:pt>
                <c:pt idx="1318">
                  <c:v>11/01/1980</c:v>
                </c:pt>
                <c:pt idx="1319">
                  <c:v>12/01/1980</c:v>
                </c:pt>
                <c:pt idx="1320">
                  <c:v>01/01/1981</c:v>
                </c:pt>
                <c:pt idx="1321">
                  <c:v>02/01/1981</c:v>
                </c:pt>
                <c:pt idx="1322">
                  <c:v>03/01/1981</c:v>
                </c:pt>
                <c:pt idx="1323">
                  <c:v>04/01/1981</c:v>
                </c:pt>
                <c:pt idx="1324">
                  <c:v>05/01/1981</c:v>
                </c:pt>
                <c:pt idx="1325">
                  <c:v>06/01/1981</c:v>
                </c:pt>
                <c:pt idx="1326">
                  <c:v>07/01/1981</c:v>
                </c:pt>
                <c:pt idx="1327">
                  <c:v>08/01/1981</c:v>
                </c:pt>
                <c:pt idx="1328">
                  <c:v>09/01/1981</c:v>
                </c:pt>
                <c:pt idx="1329">
                  <c:v>10/01/1981</c:v>
                </c:pt>
                <c:pt idx="1330">
                  <c:v>11/01/1981</c:v>
                </c:pt>
                <c:pt idx="1331">
                  <c:v>12/01/1981</c:v>
                </c:pt>
                <c:pt idx="1332">
                  <c:v>01/01/1982</c:v>
                </c:pt>
                <c:pt idx="1333">
                  <c:v>02/01/1982</c:v>
                </c:pt>
                <c:pt idx="1334">
                  <c:v>03/01/1982</c:v>
                </c:pt>
                <c:pt idx="1335">
                  <c:v>04/01/1982</c:v>
                </c:pt>
                <c:pt idx="1336">
                  <c:v>05/01/1982</c:v>
                </c:pt>
                <c:pt idx="1337">
                  <c:v>06/01/1982</c:v>
                </c:pt>
                <c:pt idx="1338">
                  <c:v>07/01/1982</c:v>
                </c:pt>
                <c:pt idx="1339">
                  <c:v>08/01/1982</c:v>
                </c:pt>
                <c:pt idx="1340">
                  <c:v>09/01/1982</c:v>
                </c:pt>
                <c:pt idx="1341">
                  <c:v>10/01/1982</c:v>
                </c:pt>
                <c:pt idx="1342">
                  <c:v>11/01/1982</c:v>
                </c:pt>
                <c:pt idx="1343">
                  <c:v>12/01/1982</c:v>
                </c:pt>
                <c:pt idx="1344">
                  <c:v>01/01/1983</c:v>
                </c:pt>
                <c:pt idx="1345">
                  <c:v>02/01/1983</c:v>
                </c:pt>
                <c:pt idx="1346">
                  <c:v>03/01/1983</c:v>
                </c:pt>
                <c:pt idx="1347">
                  <c:v>04/01/1983</c:v>
                </c:pt>
                <c:pt idx="1348">
                  <c:v>05/01/1983</c:v>
                </c:pt>
                <c:pt idx="1349">
                  <c:v>06/01/1983</c:v>
                </c:pt>
                <c:pt idx="1350">
                  <c:v>07/01/1983</c:v>
                </c:pt>
                <c:pt idx="1351">
                  <c:v>08/01/1983</c:v>
                </c:pt>
                <c:pt idx="1352">
                  <c:v>09/01/1983</c:v>
                </c:pt>
                <c:pt idx="1353">
                  <c:v>10/01/1983</c:v>
                </c:pt>
                <c:pt idx="1354">
                  <c:v>11/01/1983</c:v>
                </c:pt>
                <c:pt idx="1355">
                  <c:v>12/01/1983</c:v>
                </c:pt>
                <c:pt idx="1356">
                  <c:v>01/01/1984</c:v>
                </c:pt>
                <c:pt idx="1357">
                  <c:v>02/01/1984</c:v>
                </c:pt>
                <c:pt idx="1358">
                  <c:v>03/01/1984</c:v>
                </c:pt>
                <c:pt idx="1359">
                  <c:v>04/01/1984</c:v>
                </c:pt>
                <c:pt idx="1360">
                  <c:v>05/01/1984</c:v>
                </c:pt>
                <c:pt idx="1361">
                  <c:v>06/01/1984</c:v>
                </c:pt>
                <c:pt idx="1362">
                  <c:v>07/01/1984</c:v>
                </c:pt>
                <c:pt idx="1363">
                  <c:v>08/01/1984</c:v>
                </c:pt>
                <c:pt idx="1364">
                  <c:v>09/01/1984</c:v>
                </c:pt>
                <c:pt idx="1365">
                  <c:v>10/01/1984</c:v>
                </c:pt>
                <c:pt idx="1366">
                  <c:v>11/01/1984</c:v>
                </c:pt>
                <c:pt idx="1367">
                  <c:v>12/01/1984</c:v>
                </c:pt>
                <c:pt idx="1368">
                  <c:v>01/01/1985</c:v>
                </c:pt>
                <c:pt idx="1369">
                  <c:v>02/01/1985</c:v>
                </c:pt>
                <c:pt idx="1370">
                  <c:v>03/01/1985</c:v>
                </c:pt>
                <c:pt idx="1371">
                  <c:v>04/01/1985</c:v>
                </c:pt>
                <c:pt idx="1372">
                  <c:v>05/01/1985</c:v>
                </c:pt>
                <c:pt idx="1373">
                  <c:v>06/01/1985</c:v>
                </c:pt>
                <c:pt idx="1374">
                  <c:v>07/01/1985</c:v>
                </c:pt>
                <c:pt idx="1375">
                  <c:v>08/01/1985</c:v>
                </c:pt>
                <c:pt idx="1376">
                  <c:v>09/01/1985</c:v>
                </c:pt>
                <c:pt idx="1377">
                  <c:v>10/01/1985</c:v>
                </c:pt>
                <c:pt idx="1378">
                  <c:v>11/01/1985</c:v>
                </c:pt>
                <c:pt idx="1379">
                  <c:v>12/01/1985</c:v>
                </c:pt>
                <c:pt idx="1380">
                  <c:v>01/01/1986</c:v>
                </c:pt>
                <c:pt idx="1381">
                  <c:v>02/01/1986</c:v>
                </c:pt>
                <c:pt idx="1382">
                  <c:v>03/01/1986</c:v>
                </c:pt>
                <c:pt idx="1383">
                  <c:v>04/01/1986</c:v>
                </c:pt>
                <c:pt idx="1384">
                  <c:v>05/01/1986</c:v>
                </c:pt>
                <c:pt idx="1385">
                  <c:v>06/01/1986</c:v>
                </c:pt>
                <c:pt idx="1386">
                  <c:v>07/01/1986</c:v>
                </c:pt>
                <c:pt idx="1387">
                  <c:v>08/01/1986</c:v>
                </c:pt>
                <c:pt idx="1388">
                  <c:v>09/01/1986</c:v>
                </c:pt>
                <c:pt idx="1389">
                  <c:v>10/01/1986</c:v>
                </c:pt>
                <c:pt idx="1390">
                  <c:v>11/01/1986</c:v>
                </c:pt>
                <c:pt idx="1391">
                  <c:v>12/01/1986</c:v>
                </c:pt>
                <c:pt idx="1392">
                  <c:v>01/01/1987</c:v>
                </c:pt>
                <c:pt idx="1393">
                  <c:v>02/01/1987</c:v>
                </c:pt>
                <c:pt idx="1394">
                  <c:v>03/01/1987</c:v>
                </c:pt>
                <c:pt idx="1395">
                  <c:v>04/01/1987</c:v>
                </c:pt>
                <c:pt idx="1396">
                  <c:v>05/01/1987</c:v>
                </c:pt>
                <c:pt idx="1397">
                  <c:v>06/01/1987</c:v>
                </c:pt>
                <c:pt idx="1398">
                  <c:v>07/01/1987</c:v>
                </c:pt>
                <c:pt idx="1399">
                  <c:v>08/01/1987</c:v>
                </c:pt>
                <c:pt idx="1400">
                  <c:v>09/01/1987</c:v>
                </c:pt>
                <c:pt idx="1401">
                  <c:v>10/01/1987</c:v>
                </c:pt>
                <c:pt idx="1402">
                  <c:v>11/01/1987</c:v>
                </c:pt>
                <c:pt idx="1403">
                  <c:v>12/01/1987</c:v>
                </c:pt>
                <c:pt idx="1404">
                  <c:v>01/01/1988</c:v>
                </c:pt>
                <c:pt idx="1405">
                  <c:v>02/01/1988</c:v>
                </c:pt>
                <c:pt idx="1406">
                  <c:v>03/01/1988</c:v>
                </c:pt>
                <c:pt idx="1407">
                  <c:v>04/01/1988</c:v>
                </c:pt>
                <c:pt idx="1408">
                  <c:v>05/01/1988</c:v>
                </c:pt>
                <c:pt idx="1409">
                  <c:v>06/01/1988</c:v>
                </c:pt>
                <c:pt idx="1410">
                  <c:v>07/01/1988</c:v>
                </c:pt>
                <c:pt idx="1411">
                  <c:v>08/01/1988</c:v>
                </c:pt>
                <c:pt idx="1412">
                  <c:v>09/01/1988</c:v>
                </c:pt>
                <c:pt idx="1413">
                  <c:v>10/01/1988</c:v>
                </c:pt>
                <c:pt idx="1414">
                  <c:v>11/01/1988</c:v>
                </c:pt>
                <c:pt idx="1415">
                  <c:v>12/01/1988</c:v>
                </c:pt>
                <c:pt idx="1416">
                  <c:v>01/01/1989</c:v>
                </c:pt>
                <c:pt idx="1417">
                  <c:v>02/01/1989</c:v>
                </c:pt>
                <c:pt idx="1418">
                  <c:v>03/01/1989</c:v>
                </c:pt>
                <c:pt idx="1419">
                  <c:v>04/01/1989</c:v>
                </c:pt>
                <c:pt idx="1420">
                  <c:v>05/01/1989</c:v>
                </c:pt>
                <c:pt idx="1421">
                  <c:v>06/01/1989</c:v>
                </c:pt>
                <c:pt idx="1422">
                  <c:v>07/01/1989</c:v>
                </c:pt>
                <c:pt idx="1423">
                  <c:v>08/01/1989</c:v>
                </c:pt>
                <c:pt idx="1424">
                  <c:v>09/01/1989</c:v>
                </c:pt>
                <c:pt idx="1425">
                  <c:v>10/01/1989</c:v>
                </c:pt>
                <c:pt idx="1426">
                  <c:v>11/01/1989</c:v>
                </c:pt>
                <c:pt idx="1427">
                  <c:v>12/01/1989</c:v>
                </c:pt>
                <c:pt idx="1428">
                  <c:v>01/01/1990</c:v>
                </c:pt>
                <c:pt idx="1429">
                  <c:v>02/01/1990</c:v>
                </c:pt>
                <c:pt idx="1430">
                  <c:v>03/01/1990</c:v>
                </c:pt>
                <c:pt idx="1431">
                  <c:v>04/01/1990</c:v>
                </c:pt>
                <c:pt idx="1432">
                  <c:v>05/01/1990</c:v>
                </c:pt>
                <c:pt idx="1433">
                  <c:v>06/01/1990</c:v>
                </c:pt>
                <c:pt idx="1434">
                  <c:v>07/01/1990</c:v>
                </c:pt>
                <c:pt idx="1435">
                  <c:v>08/01/1990</c:v>
                </c:pt>
                <c:pt idx="1436">
                  <c:v>09/01/1990</c:v>
                </c:pt>
                <c:pt idx="1437">
                  <c:v>10/01/1990</c:v>
                </c:pt>
                <c:pt idx="1438">
                  <c:v>11/01/1990</c:v>
                </c:pt>
                <c:pt idx="1439">
                  <c:v>12/01/1990</c:v>
                </c:pt>
                <c:pt idx="1440">
                  <c:v>01/01/1991</c:v>
                </c:pt>
                <c:pt idx="1441">
                  <c:v>02/01/1991</c:v>
                </c:pt>
                <c:pt idx="1442">
                  <c:v>03/01/1991</c:v>
                </c:pt>
                <c:pt idx="1443">
                  <c:v>04/01/1991</c:v>
                </c:pt>
                <c:pt idx="1444">
                  <c:v>05/01/1991</c:v>
                </c:pt>
                <c:pt idx="1445">
                  <c:v>06/01/1991</c:v>
                </c:pt>
                <c:pt idx="1446">
                  <c:v>07/01/1991</c:v>
                </c:pt>
                <c:pt idx="1447">
                  <c:v>08/01/1991</c:v>
                </c:pt>
                <c:pt idx="1448">
                  <c:v>09/01/1991</c:v>
                </c:pt>
                <c:pt idx="1449">
                  <c:v>10/01/1991</c:v>
                </c:pt>
                <c:pt idx="1450">
                  <c:v>11/01/1991</c:v>
                </c:pt>
                <c:pt idx="1451">
                  <c:v>12/01/1991</c:v>
                </c:pt>
                <c:pt idx="1452">
                  <c:v>01/01/1992</c:v>
                </c:pt>
                <c:pt idx="1453">
                  <c:v>02/01/1992</c:v>
                </c:pt>
                <c:pt idx="1454">
                  <c:v>03/01/1992</c:v>
                </c:pt>
                <c:pt idx="1455">
                  <c:v>04/01/1992</c:v>
                </c:pt>
                <c:pt idx="1456">
                  <c:v>05/01/1992</c:v>
                </c:pt>
                <c:pt idx="1457">
                  <c:v>06/01/1992</c:v>
                </c:pt>
                <c:pt idx="1458">
                  <c:v>07/01/1992</c:v>
                </c:pt>
                <c:pt idx="1459">
                  <c:v>08/01/1992</c:v>
                </c:pt>
                <c:pt idx="1460">
                  <c:v>09/01/1992</c:v>
                </c:pt>
                <c:pt idx="1461">
                  <c:v>10/01/1992</c:v>
                </c:pt>
                <c:pt idx="1462">
                  <c:v>11/01/1992</c:v>
                </c:pt>
                <c:pt idx="1463">
                  <c:v>12/01/1992</c:v>
                </c:pt>
                <c:pt idx="1464">
                  <c:v>01/01/1993</c:v>
                </c:pt>
                <c:pt idx="1465">
                  <c:v>02/01/1993</c:v>
                </c:pt>
                <c:pt idx="1466">
                  <c:v>03/01/1993</c:v>
                </c:pt>
                <c:pt idx="1467">
                  <c:v>04/01/1993</c:v>
                </c:pt>
                <c:pt idx="1468">
                  <c:v>05/01/1993</c:v>
                </c:pt>
                <c:pt idx="1469">
                  <c:v>06/01/1993</c:v>
                </c:pt>
                <c:pt idx="1470">
                  <c:v>07/01/1993</c:v>
                </c:pt>
                <c:pt idx="1471">
                  <c:v>08/01/1993</c:v>
                </c:pt>
                <c:pt idx="1472">
                  <c:v>09/01/1993</c:v>
                </c:pt>
                <c:pt idx="1473">
                  <c:v>10/01/1993</c:v>
                </c:pt>
                <c:pt idx="1474">
                  <c:v>11/01/1993</c:v>
                </c:pt>
                <c:pt idx="1475">
                  <c:v>12/01/1993</c:v>
                </c:pt>
                <c:pt idx="1476">
                  <c:v>01/01/1994</c:v>
                </c:pt>
                <c:pt idx="1477">
                  <c:v>02/01/1994</c:v>
                </c:pt>
                <c:pt idx="1478">
                  <c:v>03/01/1994</c:v>
                </c:pt>
                <c:pt idx="1479">
                  <c:v>04/01/1994</c:v>
                </c:pt>
                <c:pt idx="1480">
                  <c:v>05/01/1994</c:v>
                </c:pt>
                <c:pt idx="1481">
                  <c:v>06/01/1994</c:v>
                </c:pt>
                <c:pt idx="1482">
                  <c:v>07/01/1994</c:v>
                </c:pt>
                <c:pt idx="1483">
                  <c:v>08/01/1994</c:v>
                </c:pt>
                <c:pt idx="1484">
                  <c:v>09/01/1994</c:v>
                </c:pt>
                <c:pt idx="1485">
                  <c:v>10/01/1994</c:v>
                </c:pt>
                <c:pt idx="1486">
                  <c:v>11/01/1994</c:v>
                </c:pt>
                <c:pt idx="1487">
                  <c:v>12/01/1994</c:v>
                </c:pt>
                <c:pt idx="1488">
                  <c:v>01/01/1995</c:v>
                </c:pt>
                <c:pt idx="1489">
                  <c:v>02/01/1995</c:v>
                </c:pt>
                <c:pt idx="1490">
                  <c:v>03/01/1995</c:v>
                </c:pt>
                <c:pt idx="1491">
                  <c:v>04/01/1995</c:v>
                </c:pt>
                <c:pt idx="1492">
                  <c:v>05/01/1995</c:v>
                </c:pt>
                <c:pt idx="1493">
                  <c:v>06/01/1995</c:v>
                </c:pt>
                <c:pt idx="1494">
                  <c:v>07/01/1995</c:v>
                </c:pt>
                <c:pt idx="1495">
                  <c:v>08/01/1995</c:v>
                </c:pt>
                <c:pt idx="1496">
                  <c:v>09/01/1995</c:v>
                </c:pt>
                <c:pt idx="1497">
                  <c:v>10/01/1995</c:v>
                </c:pt>
                <c:pt idx="1498">
                  <c:v>11/01/1995</c:v>
                </c:pt>
                <c:pt idx="1499">
                  <c:v>12/01/1995</c:v>
                </c:pt>
                <c:pt idx="1500">
                  <c:v>01/01/1996</c:v>
                </c:pt>
                <c:pt idx="1501">
                  <c:v>02/01/1996</c:v>
                </c:pt>
                <c:pt idx="1502">
                  <c:v>03/01/1996</c:v>
                </c:pt>
                <c:pt idx="1503">
                  <c:v>04/01/1996</c:v>
                </c:pt>
                <c:pt idx="1504">
                  <c:v>05/01/1996</c:v>
                </c:pt>
                <c:pt idx="1505">
                  <c:v>06/01/1996</c:v>
                </c:pt>
                <c:pt idx="1506">
                  <c:v>07/01/1996</c:v>
                </c:pt>
                <c:pt idx="1507">
                  <c:v>08/01/1996</c:v>
                </c:pt>
                <c:pt idx="1508">
                  <c:v>09/01/1996</c:v>
                </c:pt>
                <c:pt idx="1509">
                  <c:v>10/01/1996</c:v>
                </c:pt>
                <c:pt idx="1510">
                  <c:v>11/01/1996</c:v>
                </c:pt>
                <c:pt idx="1511">
                  <c:v>12/01/1996</c:v>
                </c:pt>
                <c:pt idx="1512">
                  <c:v>01/01/1997</c:v>
                </c:pt>
                <c:pt idx="1513">
                  <c:v>02/01/1997</c:v>
                </c:pt>
                <c:pt idx="1514">
                  <c:v>03/01/1997</c:v>
                </c:pt>
                <c:pt idx="1515">
                  <c:v>04/01/1997</c:v>
                </c:pt>
                <c:pt idx="1516">
                  <c:v>05/01/1997</c:v>
                </c:pt>
                <c:pt idx="1517">
                  <c:v>06/01/1997</c:v>
                </c:pt>
                <c:pt idx="1518">
                  <c:v>07/01/1997</c:v>
                </c:pt>
                <c:pt idx="1519">
                  <c:v>08/01/1997</c:v>
                </c:pt>
                <c:pt idx="1520">
                  <c:v>09/01/1997</c:v>
                </c:pt>
                <c:pt idx="1521">
                  <c:v>10/01/1997</c:v>
                </c:pt>
                <c:pt idx="1522">
                  <c:v>11/01/1997</c:v>
                </c:pt>
                <c:pt idx="1523">
                  <c:v>12/01/1997</c:v>
                </c:pt>
                <c:pt idx="1524">
                  <c:v>01/01/1998</c:v>
                </c:pt>
                <c:pt idx="1525">
                  <c:v>02/01/1998</c:v>
                </c:pt>
                <c:pt idx="1526">
                  <c:v>03/01/1998</c:v>
                </c:pt>
                <c:pt idx="1527">
                  <c:v>04/01/1998</c:v>
                </c:pt>
                <c:pt idx="1528">
                  <c:v>05/01/1998</c:v>
                </c:pt>
                <c:pt idx="1529">
                  <c:v>06/01/1998</c:v>
                </c:pt>
                <c:pt idx="1530">
                  <c:v>07/01/1998</c:v>
                </c:pt>
                <c:pt idx="1531">
                  <c:v>08/01/1998</c:v>
                </c:pt>
                <c:pt idx="1532">
                  <c:v>09/01/1998</c:v>
                </c:pt>
                <c:pt idx="1533">
                  <c:v>10/01/1998</c:v>
                </c:pt>
                <c:pt idx="1534">
                  <c:v>11/01/1998</c:v>
                </c:pt>
                <c:pt idx="1535">
                  <c:v>12/01/1998</c:v>
                </c:pt>
                <c:pt idx="1536">
                  <c:v>01/01/1999</c:v>
                </c:pt>
                <c:pt idx="1537">
                  <c:v>02/01/1999</c:v>
                </c:pt>
                <c:pt idx="1538">
                  <c:v>03/01/1999</c:v>
                </c:pt>
                <c:pt idx="1539">
                  <c:v>04/01/1999</c:v>
                </c:pt>
                <c:pt idx="1540">
                  <c:v>05/01/1999</c:v>
                </c:pt>
                <c:pt idx="1541">
                  <c:v>06/01/1999</c:v>
                </c:pt>
                <c:pt idx="1542">
                  <c:v>07/01/1999</c:v>
                </c:pt>
                <c:pt idx="1543">
                  <c:v>08/01/1999</c:v>
                </c:pt>
                <c:pt idx="1544">
                  <c:v>09/01/1999</c:v>
                </c:pt>
                <c:pt idx="1545">
                  <c:v>10/01/1999</c:v>
                </c:pt>
                <c:pt idx="1546">
                  <c:v>11/01/1999</c:v>
                </c:pt>
                <c:pt idx="1547">
                  <c:v>12/01/1999</c:v>
                </c:pt>
                <c:pt idx="1548">
                  <c:v>01/01/2000</c:v>
                </c:pt>
                <c:pt idx="1549">
                  <c:v>02/01/2000</c:v>
                </c:pt>
                <c:pt idx="1550">
                  <c:v>03/01/2000</c:v>
                </c:pt>
                <c:pt idx="1551">
                  <c:v>04/01/2000</c:v>
                </c:pt>
                <c:pt idx="1552">
                  <c:v>05/01/2000</c:v>
                </c:pt>
                <c:pt idx="1553">
                  <c:v>06/01/2000</c:v>
                </c:pt>
                <c:pt idx="1554">
                  <c:v>07/01/2000</c:v>
                </c:pt>
                <c:pt idx="1555">
                  <c:v>08/01/2000</c:v>
                </c:pt>
                <c:pt idx="1556">
                  <c:v>09/01/2000</c:v>
                </c:pt>
                <c:pt idx="1557">
                  <c:v>10/01/2000</c:v>
                </c:pt>
                <c:pt idx="1558">
                  <c:v>11/01/2000</c:v>
                </c:pt>
                <c:pt idx="1559">
                  <c:v>12/01/2000</c:v>
                </c:pt>
                <c:pt idx="1560">
                  <c:v>01/01/2001</c:v>
                </c:pt>
                <c:pt idx="1561">
                  <c:v>02/01/2001</c:v>
                </c:pt>
                <c:pt idx="1562">
                  <c:v>03/01/2001</c:v>
                </c:pt>
                <c:pt idx="1563">
                  <c:v>04/01/2001</c:v>
                </c:pt>
                <c:pt idx="1564">
                  <c:v>05/01/2001</c:v>
                </c:pt>
                <c:pt idx="1565">
                  <c:v>06/01/2001</c:v>
                </c:pt>
                <c:pt idx="1566">
                  <c:v>07/01/2001</c:v>
                </c:pt>
                <c:pt idx="1567">
                  <c:v>08/01/2001</c:v>
                </c:pt>
                <c:pt idx="1568">
                  <c:v>09/01/2001</c:v>
                </c:pt>
                <c:pt idx="1569">
                  <c:v>10/01/2001</c:v>
                </c:pt>
                <c:pt idx="1570">
                  <c:v>11/01/2001</c:v>
                </c:pt>
                <c:pt idx="1571">
                  <c:v>12/01/2001</c:v>
                </c:pt>
                <c:pt idx="1572">
                  <c:v>01/01/2002</c:v>
                </c:pt>
                <c:pt idx="1573">
                  <c:v>02/01/2002</c:v>
                </c:pt>
                <c:pt idx="1574">
                  <c:v>03/01/2002</c:v>
                </c:pt>
                <c:pt idx="1575">
                  <c:v>04/01/2002</c:v>
                </c:pt>
                <c:pt idx="1576">
                  <c:v>05/01/2002</c:v>
                </c:pt>
                <c:pt idx="1577">
                  <c:v>06/01/2002</c:v>
                </c:pt>
                <c:pt idx="1578">
                  <c:v>07/01/2002</c:v>
                </c:pt>
                <c:pt idx="1579">
                  <c:v>08/01/2002</c:v>
                </c:pt>
                <c:pt idx="1580">
                  <c:v>09/01/2002</c:v>
                </c:pt>
                <c:pt idx="1581">
                  <c:v>10/01/2002</c:v>
                </c:pt>
                <c:pt idx="1582">
                  <c:v>11/01/2002</c:v>
                </c:pt>
                <c:pt idx="1583">
                  <c:v>12/01/2002</c:v>
                </c:pt>
                <c:pt idx="1584">
                  <c:v>01/01/2003</c:v>
                </c:pt>
                <c:pt idx="1585">
                  <c:v>02/01/2003</c:v>
                </c:pt>
                <c:pt idx="1586">
                  <c:v>03/01/2003</c:v>
                </c:pt>
                <c:pt idx="1587">
                  <c:v>04/01/2003</c:v>
                </c:pt>
                <c:pt idx="1588">
                  <c:v>05/01/2003</c:v>
                </c:pt>
                <c:pt idx="1589">
                  <c:v>06/01/2003</c:v>
                </c:pt>
                <c:pt idx="1590">
                  <c:v>07/01/2003</c:v>
                </c:pt>
                <c:pt idx="1591">
                  <c:v>08/01/2003</c:v>
                </c:pt>
                <c:pt idx="1592">
                  <c:v>09/01/2003</c:v>
                </c:pt>
                <c:pt idx="1593">
                  <c:v>10/01/2003</c:v>
                </c:pt>
                <c:pt idx="1594">
                  <c:v>11/01/2003</c:v>
                </c:pt>
                <c:pt idx="1595">
                  <c:v>12/01/2003</c:v>
                </c:pt>
                <c:pt idx="1596">
                  <c:v>01/01/2004</c:v>
                </c:pt>
                <c:pt idx="1597">
                  <c:v>02/01/2004</c:v>
                </c:pt>
                <c:pt idx="1598">
                  <c:v>03/01/2004</c:v>
                </c:pt>
                <c:pt idx="1599">
                  <c:v>04/01/2004</c:v>
                </c:pt>
                <c:pt idx="1600">
                  <c:v>05/01/2004</c:v>
                </c:pt>
                <c:pt idx="1601">
                  <c:v>06/01/2004</c:v>
                </c:pt>
                <c:pt idx="1602">
                  <c:v>07/01/2004</c:v>
                </c:pt>
                <c:pt idx="1603">
                  <c:v>08/01/2004</c:v>
                </c:pt>
                <c:pt idx="1604">
                  <c:v>09/01/2004</c:v>
                </c:pt>
                <c:pt idx="1605">
                  <c:v>10/01/2004</c:v>
                </c:pt>
                <c:pt idx="1606">
                  <c:v>11/01/2004</c:v>
                </c:pt>
                <c:pt idx="1607">
                  <c:v>12/01/2004</c:v>
                </c:pt>
                <c:pt idx="1608">
                  <c:v>01/01/2005</c:v>
                </c:pt>
                <c:pt idx="1609">
                  <c:v>02/01/2005</c:v>
                </c:pt>
                <c:pt idx="1610">
                  <c:v>03/01/2005</c:v>
                </c:pt>
                <c:pt idx="1611">
                  <c:v>04/01/2005</c:v>
                </c:pt>
                <c:pt idx="1612">
                  <c:v>05/01/2005</c:v>
                </c:pt>
                <c:pt idx="1613">
                  <c:v>06/01/2005</c:v>
                </c:pt>
                <c:pt idx="1614">
                  <c:v>07/01/2005</c:v>
                </c:pt>
                <c:pt idx="1615">
                  <c:v>08/01/2005</c:v>
                </c:pt>
                <c:pt idx="1616">
                  <c:v>09/01/2005</c:v>
                </c:pt>
                <c:pt idx="1617">
                  <c:v>10/01/2005</c:v>
                </c:pt>
                <c:pt idx="1618">
                  <c:v>11/01/2005</c:v>
                </c:pt>
                <c:pt idx="1619">
                  <c:v>12/01/2005</c:v>
                </c:pt>
                <c:pt idx="1620">
                  <c:v>01/01/2006</c:v>
                </c:pt>
                <c:pt idx="1621">
                  <c:v>02/01/2006</c:v>
                </c:pt>
                <c:pt idx="1622">
                  <c:v>03/01/2006</c:v>
                </c:pt>
                <c:pt idx="1623">
                  <c:v>04/01/2006</c:v>
                </c:pt>
                <c:pt idx="1624">
                  <c:v>05/01/2006</c:v>
                </c:pt>
                <c:pt idx="1625">
                  <c:v>06/01/2006</c:v>
                </c:pt>
                <c:pt idx="1626">
                  <c:v>07/01/2006</c:v>
                </c:pt>
                <c:pt idx="1627">
                  <c:v>08/01/2006</c:v>
                </c:pt>
                <c:pt idx="1628">
                  <c:v>09/01/2006</c:v>
                </c:pt>
                <c:pt idx="1629">
                  <c:v>10/01/2006</c:v>
                </c:pt>
                <c:pt idx="1630">
                  <c:v>11/01/2006</c:v>
                </c:pt>
                <c:pt idx="1631">
                  <c:v>12/01/2006</c:v>
                </c:pt>
                <c:pt idx="1632">
                  <c:v>01/01/2007</c:v>
                </c:pt>
                <c:pt idx="1633">
                  <c:v>02/01/2007</c:v>
                </c:pt>
                <c:pt idx="1634">
                  <c:v>03/01/2007</c:v>
                </c:pt>
                <c:pt idx="1635">
                  <c:v>04/01/2007</c:v>
                </c:pt>
                <c:pt idx="1636">
                  <c:v>05/01/2007</c:v>
                </c:pt>
                <c:pt idx="1637">
                  <c:v>06/01/2007</c:v>
                </c:pt>
                <c:pt idx="1638">
                  <c:v>07/01/2007</c:v>
                </c:pt>
                <c:pt idx="1639">
                  <c:v>08/01/2007</c:v>
                </c:pt>
                <c:pt idx="1640">
                  <c:v>09/01/2007</c:v>
                </c:pt>
                <c:pt idx="1641">
                  <c:v>10/01/2007</c:v>
                </c:pt>
                <c:pt idx="1642">
                  <c:v>11/01/2007</c:v>
                </c:pt>
                <c:pt idx="1643">
                  <c:v>12/01/2007</c:v>
                </c:pt>
                <c:pt idx="1644">
                  <c:v>01/01/2008</c:v>
                </c:pt>
                <c:pt idx="1645">
                  <c:v>02/01/2008</c:v>
                </c:pt>
                <c:pt idx="1646">
                  <c:v>03/01/2008</c:v>
                </c:pt>
                <c:pt idx="1647">
                  <c:v>04/01/2008</c:v>
                </c:pt>
                <c:pt idx="1648">
                  <c:v>05/01/2008</c:v>
                </c:pt>
                <c:pt idx="1649">
                  <c:v>06/01/2008</c:v>
                </c:pt>
                <c:pt idx="1650">
                  <c:v>07/01/2008</c:v>
                </c:pt>
                <c:pt idx="1651">
                  <c:v>08/01/2008</c:v>
                </c:pt>
                <c:pt idx="1652">
                  <c:v>09/01/2008</c:v>
                </c:pt>
                <c:pt idx="1653">
                  <c:v>10/01/2008</c:v>
                </c:pt>
                <c:pt idx="1654">
                  <c:v>11/01/2008</c:v>
                </c:pt>
                <c:pt idx="1655">
                  <c:v>12/01/2008</c:v>
                </c:pt>
                <c:pt idx="1656">
                  <c:v>01/01/2009</c:v>
                </c:pt>
                <c:pt idx="1657">
                  <c:v>02/01/2009</c:v>
                </c:pt>
                <c:pt idx="1658">
                  <c:v>03/01/2009</c:v>
                </c:pt>
                <c:pt idx="1659">
                  <c:v>04/01/2009</c:v>
                </c:pt>
                <c:pt idx="1660">
                  <c:v>05/01/2009</c:v>
                </c:pt>
                <c:pt idx="1661">
                  <c:v>06/01/2009</c:v>
                </c:pt>
                <c:pt idx="1662">
                  <c:v>07/01/2009</c:v>
                </c:pt>
                <c:pt idx="1663">
                  <c:v>08/01/2009</c:v>
                </c:pt>
                <c:pt idx="1664">
                  <c:v>09/01/2009</c:v>
                </c:pt>
                <c:pt idx="1665">
                  <c:v>10/01/2009</c:v>
                </c:pt>
                <c:pt idx="1666">
                  <c:v>11/01/2009</c:v>
                </c:pt>
                <c:pt idx="1667">
                  <c:v>12/01/2009</c:v>
                </c:pt>
                <c:pt idx="1668">
                  <c:v>01/01/2010</c:v>
                </c:pt>
                <c:pt idx="1669">
                  <c:v>02/01/2010</c:v>
                </c:pt>
                <c:pt idx="1670">
                  <c:v>03/01/2010</c:v>
                </c:pt>
                <c:pt idx="1671">
                  <c:v>04/01/2010</c:v>
                </c:pt>
                <c:pt idx="1672">
                  <c:v>05/01/2010</c:v>
                </c:pt>
                <c:pt idx="1673">
                  <c:v>06/01/2010</c:v>
                </c:pt>
                <c:pt idx="1674">
                  <c:v>07/01/2010</c:v>
                </c:pt>
                <c:pt idx="1675">
                  <c:v>08/01/2010</c:v>
                </c:pt>
                <c:pt idx="1676">
                  <c:v>09/01/2010</c:v>
                </c:pt>
                <c:pt idx="1677">
                  <c:v>10/01/2010</c:v>
                </c:pt>
                <c:pt idx="1678">
                  <c:v>11/01/2010</c:v>
                </c:pt>
                <c:pt idx="1679">
                  <c:v>12/01/2010</c:v>
                </c:pt>
                <c:pt idx="1680">
                  <c:v>01/01/2011</c:v>
                </c:pt>
                <c:pt idx="1681">
                  <c:v>02/01/2011</c:v>
                </c:pt>
                <c:pt idx="1682">
                  <c:v>03/01/2011</c:v>
                </c:pt>
                <c:pt idx="1683">
                  <c:v>04/01/2011</c:v>
                </c:pt>
                <c:pt idx="1684">
                  <c:v>05/01/2011</c:v>
                </c:pt>
                <c:pt idx="1685">
                  <c:v>06/01/2011</c:v>
                </c:pt>
                <c:pt idx="1686">
                  <c:v>07/01/2011</c:v>
                </c:pt>
                <c:pt idx="1687">
                  <c:v>08/01/2011</c:v>
                </c:pt>
                <c:pt idx="1688">
                  <c:v>09/01/2011</c:v>
                </c:pt>
                <c:pt idx="1689">
                  <c:v>10/01/2011</c:v>
                </c:pt>
                <c:pt idx="1690">
                  <c:v>11/01/2011</c:v>
                </c:pt>
                <c:pt idx="1691">
                  <c:v>12/01/2011</c:v>
                </c:pt>
                <c:pt idx="1692">
                  <c:v>01/01/2012</c:v>
                </c:pt>
                <c:pt idx="1693">
                  <c:v>02/01/2012</c:v>
                </c:pt>
                <c:pt idx="1694">
                  <c:v>03/01/2012</c:v>
                </c:pt>
                <c:pt idx="1695">
                  <c:v>04/01/2012</c:v>
                </c:pt>
                <c:pt idx="1696">
                  <c:v>05/01/2012</c:v>
                </c:pt>
                <c:pt idx="1697">
                  <c:v>06/01/2012</c:v>
                </c:pt>
                <c:pt idx="1698">
                  <c:v>07/01/2012</c:v>
                </c:pt>
                <c:pt idx="1699">
                  <c:v>08/01/2012</c:v>
                </c:pt>
                <c:pt idx="1700">
                  <c:v>09/01/2012</c:v>
                </c:pt>
                <c:pt idx="1701">
                  <c:v>10/01/2012</c:v>
                </c:pt>
                <c:pt idx="1702">
                  <c:v>11/01/2012</c:v>
                </c:pt>
                <c:pt idx="1703">
                  <c:v>12/01/2012</c:v>
                </c:pt>
                <c:pt idx="1704">
                  <c:v>01/01/2013</c:v>
                </c:pt>
                <c:pt idx="1705">
                  <c:v>02/01/2013</c:v>
                </c:pt>
                <c:pt idx="1706">
                  <c:v>03/01/2013</c:v>
                </c:pt>
                <c:pt idx="1707">
                  <c:v>04/01/2013</c:v>
                </c:pt>
                <c:pt idx="1708">
                  <c:v>05/01/2013</c:v>
                </c:pt>
                <c:pt idx="1709">
                  <c:v>06/01/2013</c:v>
                </c:pt>
                <c:pt idx="1710">
                  <c:v>07/01/2013</c:v>
                </c:pt>
                <c:pt idx="1711">
                  <c:v>08/01/2013</c:v>
                </c:pt>
                <c:pt idx="1712">
                  <c:v>09/01/2013</c:v>
                </c:pt>
                <c:pt idx="1713">
                  <c:v>10/01/2013</c:v>
                </c:pt>
                <c:pt idx="1714">
                  <c:v>11/01/2013</c:v>
                </c:pt>
                <c:pt idx="1715">
                  <c:v>12/01/2013</c:v>
                </c:pt>
                <c:pt idx="1716">
                  <c:v>01/01/2014</c:v>
                </c:pt>
                <c:pt idx="1717">
                  <c:v>02/01/2014</c:v>
                </c:pt>
                <c:pt idx="1718">
                  <c:v>03/01/2014</c:v>
                </c:pt>
                <c:pt idx="1719">
                  <c:v>04/01/2014</c:v>
                </c:pt>
                <c:pt idx="1720">
                  <c:v>05/01/2014</c:v>
                </c:pt>
                <c:pt idx="1721">
                  <c:v>06/01/2014</c:v>
                </c:pt>
                <c:pt idx="1722">
                  <c:v>07/01/2014</c:v>
                </c:pt>
                <c:pt idx="1723">
                  <c:v>08/01/2014</c:v>
                </c:pt>
                <c:pt idx="1724">
                  <c:v>09/01/2014</c:v>
                </c:pt>
                <c:pt idx="1725">
                  <c:v>10/01/2014</c:v>
                </c:pt>
                <c:pt idx="1726">
                  <c:v>11/01/2014</c:v>
                </c:pt>
                <c:pt idx="1727">
                  <c:v>12/01/2014</c:v>
                </c:pt>
                <c:pt idx="1728">
                  <c:v>01/01/2015</c:v>
                </c:pt>
                <c:pt idx="1729">
                  <c:v>02/01/2015</c:v>
                </c:pt>
                <c:pt idx="1730">
                  <c:v>03/01/2015</c:v>
                </c:pt>
                <c:pt idx="1731">
                  <c:v>04/01/2015</c:v>
                </c:pt>
                <c:pt idx="1732">
                  <c:v>05/01/2015</c:v>
                </c:pt>
                <c:pt idx="1733">
                  <c:v>06/01/2015</c:v>
                </c:pt>
                <c:pt idx="1734">
                  <c:v>07/01/2015</c:v>
                </c:pt>
                <c:pt idx="1735">
                  <c:v>08/01/2015</c:v>
                </c:pt>
                <c:pt idx="1736">
                  <c:v>09/01/2015</c:v>
                </c:pt>
                <c:pt idx="1737">
                  <c:v>10/01/2015</c:v>
                </c:pt>
                <c:pt idx="1738">
                  <c:v>11/01/2015</c:v>
                </c:pt>
                <c:pt idx="1739">
                  <c:v>12/01/2015</c:v>
                </c:pt>
                <c:pt idx="1740">
                  <c:v>01/01/2016</c:v>
                </c:pt>
                <c:pt idx="1741">
                  <c:v>02/01/2016</c:v>
                </c:pt>
                <c:pt idx="1742">
                  <c:v>03/01/2016</c:v>
                </c:pt>
                <c:pt idx="1743">
                  <c:v>04/01/2016</c:v>
                </c:pt>
                <c:pt idx="1744">
                  <c:v>05/01/2016</c:v>
                </c:pt>
                <c:pt idx="1745">
                  <c:v>06/01/2016</c:v>
                </c:pt>
                <c:pt idx="1746">
                  <c:v>07/01/2016</c:v>
                </c:pt>
                <c:pt idx="1747">
                  <c:v>08/01/2016</c:v>
                </c:pt>
                <c:pt idx="1748">
                  <c:v>09/01/2016</c:v>
                </c:pt>
                <c:pt idx="1749">
                  <c:v>10/01/2016</c:v>
                </c:pt>
                <c:pt idx="1750">
                  <c:v>11/01/2016</c:v>
                </c:pt>
                <c:pt idx="1751">
                  <c:v>12/01/2016</c:v>
                </c:pt>
                <c:pt idx="1752">
                  <c:v>01/01/2017</c:v>
                </c:pt>
                <c:pt idx="1753">
                  <c:v>02/01/2017</c:v>
                </c:pt>
                <c:pt idx="1754">
                  <c:v>03/01/2017</c:v>
                </c:pt>
                <c:pt idx="1755">
                  <c:v>04/01/2017</c:v>
                </c:pt>
                <c:pt idx="1756">
                  <c:v>05/01/2017</c:v>
                </c:pt>
                <c:pt idx="1757">
                  <c:v>06/01/2017</c:v>
                </c:pt>
                <c:pt idx="1758">
                  <c:v>07/01/2017</c:v>
                </c:pt>
                <c:pt idx="1759">
                  <c:v>08/01/2017</c:v>
                </c:pt>
                <c:pt idx="1760">
                  <c:v>09/01/2017</c:v>
                </c:pt>
                <c:pt idx="1761">
                  <c:v>10/01/2017</c:v>
                </c:pt>
                <c:pt idx="1762">
                  <c:v>11/01/2017</c:v>
                </c:pt>
                <c:pt idx="1763">
                  <c:v>12/01/2017</c:v>
                </c:pt>
                <c:pt idx="1764">
                  <c:v>01/01/2018</c:v>
                </c:pt>
                <c:pt idx="1765">
                  <c:v>02/01/2018</c:v>
                </c:pt>
                <c:pt idx="1766">
                  <c:v>03/01/2018</c:v>
                </c:pt>
                <c:pt idx="1767">
                  <c:v>04/01/2018</c:v>
                </c:pt>
                <c:pt idx="1768">
                  <c:v>05/01/2018</c:v>
                </c:pt>
                <c:pt idx="1769">
                  <c:v>06/01/2018</c:v>
                </c:pt>
                <c:pt idx="1770">
                  <c:v>07/01/2018</c:v>
                </c:pt>
                <c:pt idx="1771">
                  <c:v>08/01/2018</c:v>
                </c:pt>
                <c:pt idx="1772">
                  <c:v>09/01/2018</c:v>
                </c:pt>
                <c:pt idx="1773">
                  <c:v>10/01/2018</c:v>
                </c:pt>
                <c:pt idx="1774">
                  <c:v>11/01/2018</c:v>
                </c:pt>
                <c:pt idx="1775">
                  <c:v>12/01/2018</c:v>
                </c:pt>
                <c:pt idx="1776">
                  <c:v>01/01/2019</c:v>
                </c:pt>
                <c:pt idx="1777">
                  <c:v>02/01/2019</c:v>
                </c:pt>
                <c:pt idx="1778">
                  <c:v>03/01/2019</c:v>
                </c:pt>
                <c:pt idx="1779">
                  <c:v>04/01/2019</c:v>
                </c:pt>
                <c:pt idx="1780">
                  <c:v>05/01/2019</c:v>
                </c:pt>
                <c:pt idx="1781">
                  <c:v>06/01/2019</c:v>
                </c:pt>
                <c:pt idx="1782">
                  <c:v>07/01/2019</c:v>
                </c:pt>
                <c:pt idx="1783">
                  <c:v>08/01/2019</c:v>
                </c:pt>
                <c:pt idx="1784">
                  <c:v>09/01/2019</c:v>
                </c:pt>
                <c:pt idx="1785">
                  <c:v>10/01/2019</c:v>
                </c:pt>
                <c:pt idx="1786">
                  <c:v>11/01/2019</c:v>
                </c:pt>
                <c:pt idx="1787">
                  <c:v>12/01/2019</c:v>
                </c:pt>
                <c:pt idx="1788">
                  <c:v>01/01/2020</c:v>
                </c:pt>
                <c:pt idx="1789">
                  <c:v>02/01/2020</c:v>
                </c:pt>
                <c:pt idx="1790">
                  <c:v>03/01/2020</c:v>
                </c:pt>
                <c:pt idx="1791">
                  <c:v>04/01/2020</c:v>
                </c:pt>
                <c:pt idx="1792">
                  <c:v>05/01/2020</c:v>
                </c:pt>
                <c:pt idx="1793">
                  <c:v>06/01/2020</c:v>
                </c:pt>
                <c:pt idx="1794">
                  <c:v>07/01/2020</c:v>
                </c:pt>
                <c:pt idx="1795">
                  <c:v>08/01/2020</c:v>
                </c:pt>
                <c:pt idx="1796">
                  <c:v>09/01/2020</c:v>
                </c:pt>
                <c:pt idx="1797">
                  <c:v>10/01/2020</c:v>
                </c:pt>
                <c:pt idx="1798">
                  <c:v>11/01/2020</c:v>
                </c:pt>
                <c:pt idx="1799">
                  <c:v>12/01/2020</c:v>
                </c:pt>
                <c:pt idx="1800">
                  <c:v>01/01/2021</c:v>
                </c:pt>
                <c:pt idx="1801">
                  <c:v>02/01/2021</c:v>
                </c:pt>
                <c:pt idx="1802">
                  <c:v>03/01/2021</c:v>
                </c:pt>
                <c:pt idx="1803">
                  <c:v>04/01/2021</c:v>
                </c:pt>
                <c:pt idx="1804">
                  <c:v>05/01/2021</c:v>
                </c:pt>
                <c:pt idx="1805">
                  <c:v>06/01/2021</c:v>
                </c:pt>
                <c:pt idx="1806">
                  <c:v>07/01/2021</c:v>
                </c:pt>
                <c:pt idx="1807">
                  <c:v>08/01/2021</c:v>
                </c:pt>
                <c:pt idx="1808">
                  <c:v>09/01/2021</c:v>
                </c:pt>
                <c:pt idx="1809">
                  <c:v>10/01/2021</c:v>
                </c:pt>
                <c:pt idx="1810">
                  <c:v>11/01/2021</c:v>
                </c:pt>
                <c:pt idx="1811">
                  <c:v>12/01/2021</c:v>
                </c:pt>
                <c:pt idx="1812">
                  <c:v>01/01/2022</c:v>
                </c:pt>
                <c:pt idx="1813">
                  <c:v>02/01/2022</c:v>
                </c:pt>
                <c:pt idx="1814">
                  <c:v>03/01/2022</c:v>
                </c:pt>
                <c:pt idx="1815">
                  <c:v>04/01/2022</c:v>
                </c:pt>
                <c:pt idx="1816">
                  <c:v>05/01/2022</c:v>
                </c:pt>
                <c:pt idx="1817">
                  <c:v>06/01/2022</c:v>
                </c:pt>
                <c:pt idx="1818">
                  <c:v>07/01/2022</c:v>
                </c:pt>
                <c:pt idx="1819">
                  <c:v>08/01/2022</c:v>
                </c:pt>
                <c:pt idx="1820">
                  <c:v>09/01/2022</c:v>
                </c:pt>
                <c:pt idx="1821">
                  <c:v>10/01/2022</c:v>
                </c:pt>
                <c:pt idx="1822">
                  <c:v>11/01/2022</c:v>
                </c:pt>
                <c:pt idx="1823">
                  <c:v>12/01/2022</c:v>
                </c:pt>
                <c:pt idx="1824">
                  <c:v>01/01/2023</c:v>
                </c:pt>
                <c:pt idx="1825">
                  <c:v>02/01/2023</c:v>
                </c:pt>
                <c:pt idx="1826">
                  <c:v>03/01/2023</c:v>
                </c:pt>
              </c:strCache>
            </c:strRef>
          </c:cat>
          <c:val>
            <c:numRef>
              <c:f>'RSI (2)'!$B$2:$B$1828</c:f>
              <c:numCache>
                <c:formatCode>0.00</c:formatCode>
                <c:ptCount val="1827"/>
                <c:pt idx="14">
                  <c:v>72.058823529411768</c:v>
                </c:pt>
                <c:pt idx="15">
                  <c:v>74.847250509164965</c:v>
                </c:pt>
                <c:pt idx="16">
                  <c:v>74.847250509164965</c:v>
                </c:pt>
                <c:pt idx="17">
                  <c:v>71.876193452070964</c:v>
                </c:pt>
                <c:pt idx="18">
                  <c:v>70.078741182627965</c:v>
                </c:pt>
                <c:pt idx="19">
                  <c:v>66.497040466439898</c:v>
                </c:pt>
                <c:pt idx="20">
                  <c:v>61.425632146924343</c:v>
                </c:pt>
                <c:pt idx="21">
                  <c:v>62.117052553167085</c:v>
                </c:pt>
                <c:pt idx="22">
                  <c:v>60.940705320840706</c:v>
                </c:pt>
                <c:pt idx="23">
                  <c:v>65.1991453721715</c:v>
                </c:pt>
                <c:pt idx="24">
                  <c:v>66.509855313978278</c:v>
                </c:pt>
                <c:pt idx="25">
                  <c:v>67.815277925189605</c:v>
                </c:pt>
                <c:pt idx="26">
                  <c:v>65.083232564128735</c:v>
                </c:pt>
                <c:pt idx="27">
                  <c:v>60.490508756322583</c:v>
                </c:pt>
                <c:pt idx="28">
                  <c:v>60.914834916810698</c:v>
                </c:pt>
                <c:pt idx="29">
                  <c:v>56.352430823738381</c:v>
                </c:pt>
                <c:pt idx="30">
                  <c:v>55.710491018393064</c:v>
                </c:pt>
                <c:pt idx="31">
                  <c:v>55.710491018393071</c:v>
                </c:pt>
                <c:pt idx="32">
                  <c:v>37.089990885734203</c:v>
                </c:pt>
                <c:pt idx="33">
                  <c:v>26.89840171353832</c:v>
                </c:pt>
                <c:pt idx="34">
                  <c:v>24.211661215694988</c:v>
                </c:pt>
                <c:pt idx="35">
                  <c:v>40.441670708554341</c:v>
                </c:pt>
                <c:pt idx="36">
                  <c:v>48.013781235097703</c:v>
                </c:pt>
                <c:pt idx="37">
                  <c:v>51.858753786404471</c:v>
                </c:pt>
                <c:pt idx="38">
                  <c:v>49.872561125771639</c:v>
                </c:pt>
                <c:pt idx="39">
                  <c:v>46.324128603772024</c:v>
                </c:pt>
                <c:pt idx="40">
                  <c:v>43.264102339672121</c:v>
                </c:pt>
                <c:pt idx="41">
                  <c:v>42.757158137546377</c:v>
                </c:pt>
                <c:pt idx="42">
                  <c:v>42.757158137546377</c:v>
                </c:pt>
                <c:pt idx="43">
                  <c:v>43.143482493863502</c:v>
                </c:pt>
                <c:pt idx="44">
                  <c:v>45.896077869451005</c:v>
                </c:pt>
                <c:pt idx="45">
                  <c:v>45.556763984736847</c:v>
                </c:pt>
                <c:pt idx="46">
                  <c:v>47.23711220164877</c:v>
                </c:pt>
                <c:pt idx="47">
                  <c:v>46.088189132654264</c:v>
                </c:pt>
                <c:pt idx="48">
                  <c:v>46.088189132654257</c:v>
                </c:pt>
                <c:pt idx="49">
                  <c:v>45.658869375321679</c:v>
                </c:pt>
                <c:pt idx="50">
                  <c:v>48.743988734415815</c:v>
                </c:pt>
                <c:pt idx="51">
                  <c:v>51.697237002978476</c:v>
                </c:pt>
                <c:pt idx="52">
                  <c:v>43.584094294927034</c:v>
                </c:pt>
                <c:pt idx="53">
                  <c:v>40.188049580958136</c:v>
                </c:pt>
                <c:pt idx="54">
                  <c:v>40.740565822128858</c:v>
                </c:pt>
                <c:pt idx="55">
                  <c:v>41.896606878210704</c:v>
                </c:pt>
                <c:pt idx="56">
                  <c:v>40.207199966968211</c:v>
                </c:pt>
                <c:pt idx="57">
                  <c:v>37.367501618758169</c:v>
                </c:pt>
                <c:pt idx="58">
                  <c:v>41.794573165180054</c:v>
                </c:pt>
                <c:pt idx="59">
                  <c:v>41.794573165180054</c:v>
                </c:pt>
                <c:pt idx="60">
                  <c:v>47.344351149588583</c:v>
                </c:pt>
                <c:pt idx="61">
                  <c:v>50.717956403058977</c:v>
                </c:pt>
                <c:pt idx="62">
                  <c:v>50.141350931384224</c:v>
                </c:pt>
                <c:pt idx="63">
                  <c:v>41.503012098290313</c:v>
                </c:pt>
                <c:pt idx="64">
                  <c:v>35.333188113802635</c:v>
                </c:pt>
                <c:pt idx="65">
                  <c:v>34.303472729659575</c:v>
                </c:pt>
                <c:pt idx="66">
                  <c:v>32.598320960052689</c:v>
                </c:pt>
                <c:pt idx="67">
                  <c:v>27.57878390984726</c:v>
                </c:pt>
                <c:pt idx="68">
                  <c:v>22.347147711375015</c:v>
                </c:pt>
                <c:pt idx="69">
                  <c:v>21.973074430929785</c:v>
                </c:pt>
                <c:pt idx="70">
                  <c:v>20.66898756682626</c:v>
                </c:pt>
                <c:pt idx="71">
                  <c:v>20.298313428436657</c:v>
                </c:pt>
                <c:pt idx="72">
                  <c:v>19.726826565476344</c:v>
                </c:pt>
                <c:pt idx="73">
                  <c:v>16.273025457189263</c:v>
                </c:pt>
                <c:pt idx="74">
                  <c:v>14.118106843840295</c:v>
                </c:pt>
                <c:pt idx="75">
                  <c:v>11.834699464025263</c:v>
                </c:pt>
                <c:pt idx="76">
                  <c:v>11.834699464025263</c:v>
                </c:pt>
                <c:pt idx="77">
                  <c:v>10.104206033855817</c:v>
                </c:pt>
                <c:pt idx="78">
                  <c:v>17.525490785932462</c:v>
                </c:pt>
                <c:pt idx="79">
                  <c:v>28.169004871000325</c:v>
                </c:pt>
                <c:pt idx="80">
                  <c:v>36.546755370004639</c:v>
                </c:pt>
                <c:pt idx="81">
                  <c:v>39.353175751761135</c:v>
                </c:pt>
                <c:pt idx="82">
                  <c:v>38.058366819120359</c:v>
                </c:pt>
                <c:pt idx="83">
                  <c:v>37.790558605681468</c:v>
                </c:pt>
                <c:pt idx="84">
                  <c:v>37.790558605681468</c:v>
                </c:pt>
                <c:pt idx="85">
                  <c:v>35.748363118883802</c:v>
                </c:pt>
                <c:pt idx="86">
                  <c:v>38.801141087671965</c:v>
                </c:pt>
                <c:pt idx="87">
                  <c:v>43.163433738039764</c:v>
                </c:pt>
                <c:pt idx="88">
                  <c:v>43.644110312152158</c:v>
                </c:pt>
                <c:pt idx="89">
                  <c:v>47.021692516173239</c:v>
                </c:pt>
                <c:pt idx="90">
                  <c:v>50.233770208758457</c:v>
                </c:pt>
                <c:pt idx="91">
                  <c:v>48.866338461866178</c:v>
                </c:pt>
                <c:pt idx="92">
                  <c:v>52.140072464531201</c:v>
                </c:pt>
                <c:pt idx="93">
                  <c:v>50.16368292969053</c:v>
                </c:pt>
                <c:pt idx="94">
                  <c:v>49.656919367381334</c:v>
                </c:pt>
                <c:pt idx="95">
                  <c:v>48.599463812128825</c:v>
                </c:pt>
                <c:pt idx="96">
                  <c:v>55.267574993415813</c:v>
                </c:pt>
                <c:pt idx="97">
                  <c:v>60.750961827411466</c:v>
                </c:pt>
                <c:pt idx="98">
                  <c:v>57.262080881202557</c:v>
                </c:pt>
                <c:pt idx="99">
                  <c:v>61.966576708573264</c:v>
                </c:pt>
                <c:pt idx="100">
                  <c:v>67.435442381614479</c:v>
                </c:pt>
                <c:pt idx="101">
                  <c:v>68.018084753733291</c:v>
                </c:pt>
                <c:pt idx="102">
                  <c:v>70.306637552959032</c:v>
                </c:pt>
                <c:pt idx="103">
                  <c:v>71.140624677498863</c:v>
                </c:pt>
                <c:pt idx="104">
                  <c:v>74.931829847715747</c:v>
                </c:pt>
                <c:pt idx="105">
                  <c:v>82.516905572502651</c:v>
                </c:pt>
                <c:pt idx="106">
                  <c:v>85.147241757563037</c:v>
                </c:pt>
                <c:pt idx="107">
                  <c:v>84.598961431363094</c:v>
                </c:pt>
                <c:pt idx="108">
                  <c:v>86.391908919504729</c:v>
                </c:pt>
                <c:pt idx="109">
                  <c:v>87.154749406465172</c:v>
                </c:pt>
                <c:pt idx="110">
                  <c:v>87.962217191399958</c:v>
                </c:pt>
                <c:pt idx="111">
                  <c:v>81.353392653048303</c:v>
                </c:pt>
                <c:pt idx="112">
                  <c:v>63.734140165802785</c:v>
                </c:pt>
                <c:pt idx="113">
                  <c:v>64.142109360210767</c:v>
                </c:pt>
                <c:pt idx="114">
                  <c:v>68.358696905700512</c:v>
                </c:pt>
                <c:pt idx="115">
                  <c:v>71.329328251948823</c:v>
                </c:pt>
                <c:pt idx="116">
                  <c:v>70.93090737015261</c:v>
                </c:pt>
                <c:pt idx="117">
                  <c:v>73.336728503782098</c:v>
                </c:pt>
                <c:pt idx="118">
                  <c:v>77.140016614864052</c:v>
                </c:pt>
                <c:pt idx="119">
                  <c:v>79.701356934007308</c:v>
                </c:pt>
                <c:pt idx="120">
                  <c:v>82.850348922234915</c:v>
                </c:pt>
                <c:pt idx="121">
                  <c:v>82.066884767162918</c:v>
                </c:pt>
                <c:pt idx="122">
                  <c:v>82.684080720658685</c:v>
                </c:pt>
                <c:pt idx="123">
                  <c:v>81.817655668076753</c:v>
                </c:pt>
                <c:pt idx="124">
                  <c:v>84.298319694745203</c:v>
                </c:pt>
                <c:pt idx="125">
                  <c:v>84.930908888093995</c:v>
                </c:pt>
                <c:pt idx="126">
                  <c:v>75.511738765653789</c:v>
                </c:pt>
                <c:pt idx="127">
                  <c:v>70.054988926125787</c:v>
                </c:pt>
                <c:pt idx="128">
                  <c:v>70.812144612316104</c:v>
                </c:pt>
                <c:pt idx="129">
                  <c:v>67.154907290071264</c:v>
                </c:pt>
                <c:pt idx="130">
                  <c:v>67.869739827718263</c:v>
                </c:pt>
                <c:pt idx="131">
                  <c:v>61.394437607250957</c:v>
                </c:pt>
                <c:pt idx="132">
                  <c:v>58.394511378579409</c:v>
                </c:pt>
                <c:pt idx="133">
                  <c:v>54.269519902258608</c:v>
                </c:pt>
                <c:pt idx="134">
                  <c:v>53.953791011987661</c:v>
                </c:pt>
                <c:pt idx="135">
                  <c:v>53.953791011987661</c:v>
                </c:pt>
                <c:pt idx="136">
                  <c:v>51.520437041011419</c:v>
                </c:pt>
                <c:pt idx="137">
                  <c:v>50.469870863125898</c:v>
                </c:pt>
                <c:pt idx="138">
                  <c:v>59.869870637885342</c:v>
                </c:pt>
                <c:pt idx="139">
                  <c:v>64.007722355217425</c:v>
                </c:pt>
                <c:pt idx="140">
                  <c:v>65.292394891467723</c:v>
                </c:pt>
                <c:pt idx="141">
                  <c:v>58.879826825913327</c:v>
                </c:pt>
                <c:pt idx="142">
                  <c:v>50.6814556099553</c:v>
                </c:pt>
                <c:pt idx="143">
                  <c:v>51.520247151169492</c:v>
                </c:pt>
                <c:pt idx="144">
                  <c:v>50.593579752137231</c:v>
                </c:pt>
                <c:pt idx="145">
                  <c:v>46.675762710688836</c:v>
                </c:pt>
                <c:pt idx="146">
                  <c:v>48.967349136906819</c:v>
                </c:pt>
                <c:pt idx="147">
                  <c:v>52.718549562291642</c:v>
                </c:pt>
                <c:pt idx="148">
                  <c:v>49.456088457503462</c:v>
                </c:pt>
                <c:pt idx="149">
                  <c:v>51.086020779650362</c:v>
                </c:pt>
                <c:pt idx="150">
                  <c:v>48.080453413638068</c:v>
                </c:pt>
                <c:pt idx="151">
                  <c:v>40.641531818519411</c:v>
                </c:pt>
                <c:pt idx="152">
                  <c:v>42.839395855767634</c:v>
                </c:pt>
                <c:pt idx="153">
                  <c:v>38.955955079593764</c:v>
                </c:pt>
                <c:pt idx="154">
                  <c:v>41.976998392583354</c:v>
                </c:pt>
                <c:pt idx="155">
                  <c:v>38.869581941357623</c:v>
                </c:pt>
                <c:pt idx="156">
                  <c:v>35.134926428355072</c:v>
                </c:pt>
                <c:pt idx="157">
                  <c:v>40.520144788954376</c:v>
                </c:pt>
                <c:pt idx="158">
                  <c:v>40.009124556927901</c:v>
                </c:pt>
                <c:pt idx="159">
                  <c:v>34.40226061780416</c:v>
                </c:pt>
                <c:pt idx="160">
                  <c:v>27.350681033066664</c:v>
                </c:pt>
                <c:pt idx="161">
                  <c:v>24.812490522949687</c:v>
                </c:pt>
                <c:pt idx="162">
                  <c:v>24.812490522949687</c:v>
                </c:pt>
                <c:pt idx="163">
                  <c:v>35.105405624233882</c:v>
                </c:pt>
                <c:pt idx="164">
                  <c:v>32.535769193378016</c:v>
                </c:pt>
                <c:pt idx="165">
                  <c:v>30.158430266100282</c:v>
                </c:pt>
                <c:pt idx="166">
                  <c:v>28.798741628250028</c:v>
                </c:pt>
                <c:pt idx="167">
                  <c:v>28.644212697578538</c:v>
                </c:pt>
                <c:pt idx="168">
                  <c:v>27.079408014623326</c:v>
                </c:pt>
                <c:pt idx="169">
                  <c:v>32.26018933665452</c:v>
                </c:pt>
                <c:pt idx="170">
                  <c:v>32.65654203534551</c:v>
                </c:pt>
                <c:pt idx="171">
                  <c:v>32.452055491627632</c:v>
                </c:pt>
                <c:pt idx="172">
                  <c:v>31.393558159178824</c:v>
                </c:pt>
                <c:pt idx="173">
                  <c:v>30.958574257494149</c:v>
                </c:pt>
                <c:pt idx="174">
                  <c:v>38.321359085099573</c:v>
                </c:pt>
                <c:pt idx="175">
                  <c:v>47.705473640690826</c:v>
                </c:pt>
                <c:pt idx="176">
                  <c:v>45.900496070154261</c:v>
                </c:pt>
                <c:pt idx="177">
                  <c:v>54.28307752010538</c:v>
                </c:pt>
                <c:pt idx="178">
                  <c:v>61.831562254460948</c:v>
                </c:pt>
                <c:pt idx="179">
                  <c:v>60.487125319627637</c:v>
                </c:pt>
                <c:pt idx="180">
                  <c:v>60.487125319627637</c:v>
                </c:pt>
                <c:pt idx="181">
                  <c:v>62.830421715498836</c:v>
                </c:pt>
                <c:pt idx="182">
                  <c:v>58.706129625817162</c:v>
                </c:pt>
                <c:pt idx="183">
                  <c:v>56.178911103523724</c:v>
                </c:pt>
                <c:pt idx="184">
                  <c:v>52.689364893619803</c:v>
                </c:pt>
                <c:pt idx="185">
                  <c:v>58.997720386072785</c:v>
                </c:pt>
                <c:pt idx="186">
                  <c:v>60.948216494722345</c:v>
                </c:pt>
                <c:pt idx="187">
                  <c:v>61.923539227013734</c:v>
                </c:pt>
                <c:pt idx="188">
                  <c:v>65.199548206707362</c:v>
                </c:pt>
                <c:pt idx="189">
                  <c:v>68.15058517830748</c:v>
                </c:pt>
                <c:pt idx="190">
                  <c:v>70.815743906789066</c:v>
                </c:pt>
                <c:pt idx="191">
                  <c:v>64.580271060967377</c:v>
                </c:pt>
                <c:pt idx="192">
                  <c:v>62.220249380033877</c:v>
                </c:pt>
                <c:pt idx="193">
                  <c:v>60.629529347123061</c:v>
                </c:pt>
                <c:pt idx="194">
                  <c:v>63.863090341038863</c:v>
                </c:pt>
                <c:pt idx="195">
                  <c:v>66.799643588179535</c:v>
                </c:pt>
                <c:pt idx="196">
                  <c:v>68.893646604067499</c:v>
                </c:pt>
                <c:pt idx="197">
                  <c:v>61.762004441232406</c:v>
                </c:pt>
                <c:pt idx="198">
                  <c:v>56.568627882874338</c:v>
                </c:pt>
                <c:pt idx="199">
                  <c:v>51.871405416086304</c:v>
                </c:pt>
                <c:pt idx="200">
                  <c:v>49.651411561694935</c:v>
                </c:pt>
                <c:pt idx="201">
                  <c:v>44.390370672800607</c:v>
                </c:pt>
                <c:pt idx="202">
                  <c:v>47.705555956840627</c:v>
                </c:pt>
                <c:pt idx="203">
                  <c:v>46.804093627010928</c:v>
                </c:pt>
                <c:pt idx="204">
                  <c:v>48.209343195084358</c:v>
                </c:pt>
                <c:pt idx="205">
                  <c:v>47.202217682561027</c:v>
                </c:pt>
                <c:pt idx="206">
                  <c:v>41.045966963713148</c:v>
                </c:pt>
                <c:pt idx="207">
                  <c:v>41.862539252903474</c:v>
                </c:pt>
                <c:pt idx="208">
                  <c:v>44.747158283055349</c:v>
                </c:pt>
                <c:pt idx="209">
                  <c:v>39.876815787198133</c:v>
                </c:pt>
                <c:pt idx="210">
                  <c:v>45.104824182124915</c:v>
                </c:pt>
                <c:pt idx="211">
                  <c:v>49.135200996511195</c:v>
                </c:pt>
                <c:pt idx="212">
                  <c:v>53.481984415770555</c:v>
                </c:pt>
                <c:pt idx="213">
                  <c:v>52.369756454215405</c:v>
                </c:pt>
                <c:pt idx="214">
                  <c:v>48.395571857395623</c:v>
                </c:pt>
                <c:pt idx="215">
                  <c:v>45.048680934037925</c:v>
                </c:pt>
                <c:pt idx="216">
                  <c:v>48.857599805320945</c:v>
                </c:pt>
                <c:pt idx="217">
                  <c:v>51.049963271792308</c:v>
                </c:pt>
                <c:pt idx="218">
                  <c:v>47.066426807181905</c:v>
                </c:pt>
                <c:pt idx="219">
                  <c:v>46.709588555397268</c:v>
                </c:pt>
                <c:pt idx="220">
                  <c:v>52.176186089353287</c:v>
                </c:pt>
                <c:pt idx="221">
                  <c:v>55.347320906199194</c:v>
                </c:pt>
                <c:pt idx="222">
                  <c:v>50.904474347731473</c:v>
                </c:pt>
                <c:pt idx="223">
                  <c:v>53.464471037786801</c:v>
                </c:pt>
                <c:pt idx="224">
                  <c:v>57.859183188087918</c:v>
                </c:pt>
                <c:pt idx="225">
                  <c:v>53.661139073973736</c:v>
                </c:pt>
                <c:pt idx="226">
                  <c:v>51.643492957379088</c:v>
                </c:pt>
                <c:pt idx="227">
                  <c:v>50.41856231217303</c:v>
                </c:pt>
                <c:pt idx="228">
                  <c:v>52.828417872937372</c:v>
                </c:pt>
                <c:pt idx="229">
                  <c:v>50.200771185706266</c:v>
                </c:pt>
                <c:pt idx="230">
                  <c:v>48.469899364723254</c:v>
                </c:pt>
                <c:pt idx="231">
                  <c:v>53.244176313539285</c:v>
                </c:pt>
                <c:pt idx="232">
                  <c:v>61.314864586823667</c:v>
                </c:pt>
                <c:pt idx="233">
                  <c:v>59.394695987535229</c:v>
                </c:pt>
                <c:pt idx="234">
                  <c:v>57.456932754306791</c:v>
                </c:pt>
                <c:pt idx="235">
                  <c:v>51.568428551475925</c:v>
                </c:pt>
                <c:pt idx="236">
                  <c:v>47.907823829713649</c:v>
                </c:pt>
                <c:pt idx="237">
                  <c:v>39.79532868402115</c:v>
                </c:pt>
                <c:pt idx="238">
                  <c:v>31.062427213630059</c:v>
                </c:pt>
                <c:pt idx="239">
                  <c:v>29.023279911933955</c:v>
                </c:pt>
                <c:pt idx="240">
                  <c:v>38.508199626150557</c:v>
                </c:pt>
                <c:pt idx="241">
                  <c:v>40.643745538955365</c:v>
                </c:pt>
                <c:pt idx="242">
                  <c:v>38.484728481280499</c:v>
                </c:pt>
                <c:pt idx="243">
                  <c:v>44.16336111971885</c:v>
                </c:pt>
                <c:pt idx="244">
                  <c:v>43.621292761100982</c:v>
                </c:pt>
                <c:pt idx="245">
                  <c:v>40.917019244734732</c:v>
                </c:pt>
                <c:pt idx="246">
                  <c:v>38.842425361512419</c:v>
                </c:pt>
                <c:pt idx="247">
                  <c:v>44.863612080908567</c:v>
                </c:pt>
                <c:pt idx="248">
                  <c:v>56.416249282498875</c:v>
                </c:pt>
                <c:pt idx="249">
                  <c:v>56.416249282498875</c:v>
                </c:pt>
                <c:pt idx="250">
                  <c:v>53.801462577620669</c:v>
                </c:pt>
                <c:pt idx="251">
                  <c:v>57.994712073638944</c:v>
                </c:pt>
                <c:pt idx="252">
                  <c:v>60.413166678938545</c:v>
                </c:pt>
                <c:pt idx="253">
                  <c:v>60.657107758146125</c:v>
                </c:pt>
                <c:pt idx="254">
                  <c:v>62.163643437617971</c:v>
                </c:pt>
                <c:pt idx="255">
                  <c:v>61.739308945145126</c:v>
                </c:pt>
                <c:pt idx="256">
                  <c:v>61.739308945145126</c:v>
                </c:pt>
                <c:pt idx="257">
                  <c:v>60.307020886031552</c:v>
                </c:pt>
                <c:pt idx="258">
                  <c:v>60.307020886031545</c:v>
                </c:pt>
                <c:pt idx="259">
                  <c:v>62.964243422785763</c:v>
                </c:pt>
                <c:pt idx="260">
                  <c:v>55.910345948310308</c:v>
                </c:pt>
                <c:pt idx="261">
                  <c:v>59.727928651739468</c:v>
                </c:pt>
                <c:pt idx="262">
                  <c:v>58.73217965929944</c:v>
                </c:pt>
                <c:pt idx="263">
                  <c:v>55.730454372184731</c:v>
                </c:pt>
                <c:pt idx="264">
                  <c:v>59.450229284816487</c:v>
                </c:pt>
                <c:pt idx="265">
                  <c:v>54.517031997704159</c:v>
                </c:pt>
                <c:pt idx="266">
                  <c:v>46.250779196280305</c:v>
                </c:pt>
                <c:pt idx="267">
                  <c:v>46.250779196280305</c:v>
                </c:pt>
                <c:pt idx="268">
                  <c:v>32.72651891982072</c:v>
                </c:pt>
                <c:pt idx="269">
                  <c:v>28.356688005105269</c:v>
                </c:pt>
                <c:pt idx="270">
                  <c:v>22.3485546395613</c:v>
                </c:pt>
                <c:pt idx="271">
                  <c:v>21.222407996057939</c:v>
                </c:pt>
                <c:pt idx="272">
                  <c:v>31.934093639770992</c:v>
                </c:pt>
                <c:pt idx="273">
                  <c:v>36.126884999435937</c:v>
                </c:pt>
                <c:pt idx="274">
                  <c:v>38.32975400116851</c:v>
                </c:pt>
                <c:pt idx="275">
                  <c:v>35.330412548534269</c:v>
                </c:pt>
                <c:pt idx="276">
                  <c:v>33.73147177006669</c:v>
                </c:pt>
                <c:pt idx="277">
                  <c:v>35.816911792126575</c:v>
                </c:pt>
                <c:pt idx="278">
                  <c:v>40.207416832893571</c:v>
                </c:pt>
                <c:pt idx="279">
                  <c:v>42.173550236519795</c:v>
                </c:pt>
                <c:pt idx="280">
                  <c:v>38.327954222760113</c:v>
                </c:pt>
                <c:pt idx="281">
                  <c:v>37.044060447197261</c:v>
                </c:pt>
                <c:pt idx="282">
                  <c:v>35.142450508605663</c:v>
                </c:pt>
                <c:pt idx="283">
                  <c:v>40.946251119241765</c:v>
                </c:pt>
                <c:pt idx="284">
                  <c:v>43.335311860810755</c:v>
                </c:pt>
                <c:pt idx="285">
                  <c:v>39.861928616074309</c:v>
                </c:pt>
                <c:pt idx="286">
                  <c:v>39.861928616074309</c:v>
                </c:pt>
                <c:pt idx="287">
                  <c:v>38.830625135687917</c:v>
                </c:pt>
                <c:pt idx="288">
                  <c:v>37.523764506743973</c:v>
                </c:pt>
                <c:pt idx="289">
                  <c:v>35.959761360169963</c:v>
                </c:pt>
                <c:pt idx="290">
                  <c:v>35.959761360169963</c:v>
                </c:pt>
                <c:pt idx="291">
                  <c:v>44.070538689766984</c:v>
                </c:pt>
                <c:pt idx="292">
                  <c:v>52.676674792697348</c:v>
                </c:pt>
                <c:pt idx="293">
                  <c:v>55.445377306079244</c:v>
                </c:pt>
                <c:pt idx="294">
                  <c:v>56.060592996272028</c:v>
                </c:pt>
                <c:pt idx="295">
                  <c:v>58.23432911840554</c:v>
                </c:pt>
                <c:pt idx="296">
                  <c:v>59.16667125875626</c:v>
                </c:pt>
                <c:pt idx="297">
                  <c:v>56.024051522653082</c:v>
                </c:pt>
                <c:pt idx="298">
                  <c:v>49.54619096104517</c:v>
                </c:pt>
                <c:pt idx="299">
                  <c:v>40.942907573924572</c:v>
                </c:pt>
                <c:pt idx="300">
                  <c:v>39.572534714722529</c:v>
                </c:pt>
                <c:pt idx="301">
                  <c:v>46.513097678057754</c:v>
                </c:pt>
                <c:pt idx="302">
                  <c:v>44.378372791133401</c:v>
                </c:pt>
                <c:pt idx="303">
                  <c:v>45.906153933255851</c:v>
                </c:pt>
                <c:pt idx="304">
                  <c:v>45.237091239592083</c:v>
                </c:pt>
                <c:pt idx="305">
                  <c:v>42.564757214443283</c:v>
                </c:pt>
                <c:pt idx="306">
                  <c:v>34.813144740749763</c:v>
                </c:pt>
                <c:pt idx="307">
                  <c:v>29.982891567063163</c:v>
                </c:pt>
                <c:pt idx="308">
                  <c:v>38.03418488370454</c:v>
                </c:pt>
                <c:pt idx="309">
                  <c:v>41.305027003699365</c:v>
                </c:pt>
                <c:pt idx="310">
                  <c:v>50.125401634466591</c:v>
                </c:pt>
                <c:pt idx="311">
                  <c:v>45.882349144515544</c:v>
                </c:pt>
                <c:pt idx="312">
                  <c:v>45.882349144515544</c:v>
                </c:pt>
                <c:pt idx="313">
                  <c:v>44.783228627130441</c:v>
                </c:pt>
                <c:pt idx="314">
                  <c:v>45.137065748367789</c:v>
                </c:pt>
                <c:pt idx="315">
                  <c:v>41.421018767528025</c:v>
                </c:pt>
                <c:pt idx="316">
                  <c:v>42.209292779281832</c:v>
                </c:pt>
                <c:pt idx="317">
                  <c:v>49.202636227364508</c:v>
                </c:pt>
                <c:pt idx="318">
                  <c:v>55.059312789532733</c:v>
                </c:pt>
                <c:pt idx="319">
                  <c:v>62.219257038403903</c:v>
                </c:pt>
                <c:pt idx="320">
                  <c:v>66.744555336338621</c:v>
                </c:pt>
                <c:pt idx="321">
                  <c:v>61.248524288012014</c:v>
                </c:pt>
                <c:pt idx="322">
                  <c:v>55.974554903517998</c:v>
                </c:pt>
                <c:pt idx="323">
                  <c:v>58.251828425821358</c:v>
                </c:pt>
                <c:pt idx="324">
                  <c:v>61.070946836813384</c:v>
                </c:pt>
                <c:pt idx="325">
                  <c:v>60.731220513885518</c:v>
                </c:pt>
                <c:pt idx="326">
                  <c:v>53.65916271914314</c:v>
                </c:pt>
                <c:pt idx="327">
                  <c:v>51.318907698941146</c:v>
                </c:pt>
                <c:pt idx="328">
                  <c:v>58.609116132223377</c:v>
                </c:pt>
                <c:pt idx="329">
                  <c:v>62.444991798651749</c:v>
                </c:pt>
                <c:pt idx="330">
                  <c:v>62.835427961119052</c:v>
                </c:pt>
                <c:pt idx="331">
                  <c:v>66.408337058624781</c:v>
                </c:pt>
                <c:pt idx="332">
                  <c:v>66.048433257597111</c:v>
                </c:pt>
                <c:pt idx="333">
                  <c:v>62.063875833186124</c:v>
                </c:pt>
                <c:pt idx="334">
                  <c:v>65.525330158078077</c:v>
                </c:pt>
                <c:pt idx="335">
                  <c:v>71.047838085638944</c:v>
                </c:pt>
                <c:pt idx="336">
                  <c:v>76.361514257925634</c:v>
                </c:pt>
                <c:pt idx="337">
                  <c:v>78.621639685514793</c:v>
                </c:pt>
                <c:pt idx="338">
                  <c:v>79.449642158947526</c:v>
                </c:pt>
                <c:pt idx="339">
                  <c:v>80.184322351800489</c:v>
                </c:pt>
                <c:pt idx="340">
                  <c:v>70.963447847426266</c:v>
                </c:pt>
                <c:pt idx="341">
                  <c:v>66.681540854680719</c:v>
                </c:pt>
                <c:pt idx="342">
                  <c:v>69.6407117679571</c:v>
                </c:pt>
                <c:pt idx="343">
                  <c:v>71.702829796233743</c:v>
                </c:pt>
                <c:pt idx="344">
                  <c:v>69.479314113192785</c:v>
                </c:pt>
                <c:pt idx="345">
                  <c:v>68.49893150916526</c:v>
                </c:pt>
                <c:pt idx="346">
                  <c:v>70.303956971085654</c:v>
                </c:pt>
                <c:pt idx="347">
                  <c:v>57.331859841273065</c:v>
                </c:pt>
                <c:pt idx="348">
                  <c:v>58.819652539488196</c:v>
                </c:pt>
                <c:pt idx="349">
                  <c:v>60.841516609860122</c:v>
                </c:pt>
                <c:pt idx="350">
                  <c:v>61.760558880469667</c:v>
                </c:pt>
                <c:pt idx="351">
                  <c:v>63.246866360462029</c:v>
                </c:pt>
                <c:pt idx="352">
                  <c:v>54.666013030608219</c:v>
                </c:pt>
                <c:pt idx="353">
                  <c:v>50.259961693645479</c:v>
                </c:pt>
                <c:pt idx="354">
                  <c:v>50.259961693645465</c:v>
                </c:pt>
                <c:pt idx="355">
                  <c:v>52.243986366394367</c:v>
                </c:pt>
                <c:pt idx="356">
                  <c:v>48.591223182486573</c:v>
                </c:pt>
                <c:pt idx="357">
                  <c:v>53.808276970888329</c:v>
                </c:pt>
                <c:pt idx="358">
                  <c:v>62.886203648396844</c:v>
                </c:pt>
                <c:pt idx="359">
                  <c:v>68.430447965616551</c:v>
                </c:pt>
                <c:pt idx="360">
                  <c:v>70.836457419606518</c:v>
                </c:pt>
                <c:pt idx="361">
                  <c:v>72.842524707041747</c:v>
                </c:pt>
                <c:pt idx="362">
                  <c:v>75.467540032265759</c:v>
                </c:pt>
                <c:pt idx="363">
                  <c:v>80.408960549591711</c:v>
                </c:pt>
                <c:pt idx="364">
                  <c:v>70.461934238700707</c:v>
                </c:pt>
                <c:pt idx="365">
                  <c:v>76.373252156145412</c:v>
                </c:pt>
                <c:pt idx="366">
                  <c:v>65.865098319591709</c:v>
                </c:pt>
                <c:pt idx="367">
                  <c:v>66.814045339320586</c:v>
                </c:pt>
                <c:pt idx="368">
                  <c:v>66.09449597388577</c:v>
                </c:pt>
                <c:pt idx="369">
                  <c:v>64.413612207437737</c:v>
                </c:pt>
                <c:pt idx="370">
                  <c:v>66.164031514485274</c:v>
                </c:pt>
                <c:pt idx="371">
                  <c:v>63.588220626796414</c:v>
                </c:pt>
                <c:pt idx="372">
                  <c:v>65.480754088598985</c:v>
                </c:pt>
                <c:pt idx="373">
                  <c:v>66.258433686311534</c:v>
                </c:pt>
                <c:pt idx="374">
                  <c:v>66.374977341457878</c:v>
                </c:pt>
                <c:pt idx="375">
                  <c:v>69.546734833615943</c:v>
                </c:pt>
                <c:pt idx="376">
                  <c:v>69.045742659730138</c:v>
                </c:pt>
                <c:pt idx="377">
                  <c:v>67.732111316387432</c:v>
                </c:pt>
                <c:pt idx="378">
                  <c:v>70.062958277519442</c:v>
                </c:pt>
                <c:pt idx="379">
                  <c:v>72.63944023854711</c:v>
                </c:pt>
                <c:pt idx="380">
                  <c:v>72.858188143481584</c:v>
                </c:pt>
                <c:pt idx="381">
                  <c:v>65.020597136714713</c:v>
                </c:pt>
                <c:pt idx="382">
                  <c:v>57.209485199625867</c:v>
                </c:pt>
                <c:pt idx="383">
                  <c:v>53.243485045745942</c:v>
                </c:pt>
                <c:pt idx="384">
                  <c:v>59.730898351846562</c:v>
                </c:pt>
                <c:pt idx="385">
                  <c:v>58.661949906860009</c:v>
                </c:pt>
                <c:pt idx="386">
                  <c:v>52.042194626419892</c:v>
                </c:pt>
                <c:pt idx="387">
                  <c:v>46.40301043524375</c:v>
                </c:pt>
                <c:pt idx="388">
                  <c:v>44.065664451847603</c:v>
                </c:pt>
                <c:pt idx="389">
                  <c:v>38.255209414222215</c:v>
                </c:pt>
                <c:pt idx="390">
                  <c:v>34.415381648529902</c:v>
                </c:pt>
                <c:pt idx="391">
                  <c:v>32.10200303300941</c:v>
                </c:pt>
                <c:pt idx="392">
                  <c:v>30.496447387162334</c:v>
                </c:pt>
                <c:pt idx="393">
                  <c:v>28.482901834387988</c:v>
                </c:pt>
                <c:pt idx="394">
                  <c:v>28.96394761770172</c:v>
                </c:pt>
                <c:pt idx="395">
                  <c:v>35.715947982688704</c:v>
                </c:pt>
                <c:pt idx="396">
                  <c:v>38.11861205809425</c:v>
                </c:pt>
                <c:pt idx="397">
                  <c:v>35.763078934960063</c:v>
                </c:pt>
                <c:pt idx="398">
                  <c:v>35.500578672060399</c:v>
                </c:pt>
                <c:pt idx="399">
                  <c:v>39.33672665904183</c:v>
                </c:pt>
                <c:pt idx="400">
                  <c:v>37.249121755485952</c:v>
                </c:pt>
                <c:pt idx="401">
                  <c:v>37.504249228622371</c:v>
                </c:pt>
                <c:pt idx="402">
                  <c:v>44.111330345055968</c:v>
                </c:pt>
                <c:pt idx="403">
                  <c:v>49.052510544375409</c:v>
                </c:pt>
                <c:pt idx="404">
                  <c:v>54.846963285746078</c:v>
                </c:pt>
                <c:pt idx="405">
                  <c:v>61.404203453749311</c:v>
                </c:pt>
                <c:pt idx="406">
                  <c:v>66.518690476631022</c:v>
                </c:pt>
                <c:pt idx="407">
                  <c:v>67.404708034189525</c:v>
                </c:pt>
                <c:pt idx="408">
                  <c:v>69.368839463708099</c:v>
                </c:pt>
                <c:pt idx="409">
                  <c:v>72.973902853232516</c:v>
                </c:pt>
                <c:pt idx="410">
                  <c:v>75.105819660545805</c:v>
                </c:pt>
                <c:pt idx="411">
                  <c:v>72.399615607386721</c:v>
                </c:pt>
                <c:pt idx="412">
                  <c:v>62.672023691743824</c:v>
                </c:pt>
                <c:pt idx="413">
                  <c:v>63.860480660876107</c:v>
                </c:pt>
                <c:pt idx="414">
                  <c:v>66.922643342694528</c:v>
                </c:pt>
                <c:pt idx="415">
                  <c:v>70.241522602346549</c:v>
                </c:pt>
                <c:pt idx="416">
                  <c:v>70.531002240448402</c:v>
                </c:pt>
                <c:pt idx="417">
                  <c:v>71.810674568363495</c:v>
                </c:pt>
                <c:pt idx="418">
                  <c:v>70.541878658687651</c:v>
                </c:pt>
                <c:pt idx="419">
                  <c:v>72.912761081745515</c:v>
                </c:pt>
                <c:pt idx="420">
                  <c:v>75.908718642893859</c:v>
                </c:pt>
                <c:pt idx="421">
                  <c:v>74.038059210379004</c:v>
                </c:pt>
                <c:pt idx="422">
                  <c:v>67.86309277994286</c:v>
                </c:pt>
                <c:pt idx="423">
                  <c:v>64.714628078764335</c:v>
                </c:pt>
                <c:pt idx="424">
                  <c:v>59.041722687940627</c:v>
                </c:pt>
                <c:pt idx="425">
                  <c:v>60.817236537724888</c:v>
                </c:pt>
                <c:pt idx="426">
                  <c:v>55.623768423623069</c:v>
                </c:pt>
                <c:pt idx="427">
                  <c:v>64.689168511690184</c:v>
                </c:pt>
                <c:pt idx="428">
                  <c:v>67.855619380613348</c:v>
                </c:pt>
                <c:pt idx="429">
                  <c:v>61.879788307416831</c:v>
                </c:pt>
                <c:pt idx="430">
                  <c:v>64.14670220912268</c:v>
                </c:pt>
                <c:pt idx="431">
                  <c:v>62.349850103503393</c:v>
                </c:pt>
                <c:pt idx="432">
                  <c:v>57.000321553361765</c:v>
                </c:pt>
                <c:pt idx="433">
                  <c:v>51.86570207751091</c:v>
                </c:pt>
                <c:pt idx="434">
                  <c:v>40.073538992272987</c:v>
                </c:pt>
                <c:pt idx="435">
                  <c:v>40.711634919501883</c:v>
                </c:pt>
                <c:pt idx="436">
                  <c:v>37.586811255741544</c:v>
                </c:pt>
                <c:pt idx="437">
                  <c:v>34.993501434106363</c:v>
                </c:pt>
                <c:pt idx="438">
                  <c:v>40.126663456199161</c:v>
                </c:pt>
                <c:pt idx="439">
                  <c:v>34.211188458230936</c:v>
                </c:pt>
                <c:pt idx="440">
                  <c:v>33.513406111077728</c:v>
                </c:pt>
                <c:pt idx="441">
                  <c:v>27.416109088913089</c:v>
                </c:pt>
                <c:pt idx="442">
                  <c:v>25.052706512455003</c:v>
                </c:pt>
                <c:pt idx="443">
                  <c:v>30.357588656216194</c:v>
                </c:pt>
                <c:pt idx="444">
                  <c:v>34.712154475999895</c:v>
                </c:pt>
                <c:pt idx="445">
                  <c:v>32.743528557012013</c:v>
                </c:pt>
                <c:pt idx="446">
                  <c:v>36.905342447140136</c:v>
                </c:pt>
                <c:pt idx="447">
                  <c:v>42.185066788093913</c:v>
                </c:pt>
                <c:pt idx="448">
                  <c:v>47.200369069129216</c:v>
                </c:pt>
                <c:pt idx="449">
                  <c:v>47.32654281184972</c:v>
                </c:pt>
                <c:pt idx="450">
                  <c:v>50.866960069914271</c:v>
                </c:pt>
                <c:pt idx="451">
                  <c:v>54.836631153634841</c:v>
                </c:pt>
                <c:pt idx="452">
                  <c:v>53.602075228687823</c:v>
                </c:pt>
                <c:pt idx="453">
                  <c:v>54.819202703848077</c:v>
                </c:pt>
                <c:pt idx="454">
                  <c:v>60.990550736986016</c:v>
                </c:pt>
                <c:pt idx="455">
                  <c:v>62.93764003788457</c:v>
                </c:pt>
                <c:pt idx="456">
                  <c:v>63.234080462205029</c:v>
                </c:pt>
                <c:pt idx="457">
                  <c:v>58.841451596442205</c:v>
                </c:pt>
                <c:pt idx="458">
                  <c:v>60.21512620243616</c:v>
                </c:pt>
                <c:pt idx="459">
                  <c:v>64.471713208386134</c:v>
                </c:pt>
                <c:pt idx="460">
                  <c:v>67.384162980790421</c:v>
                </c:pt>
                <c:pt idx="461">
                  <c:v>68.890258418443466</c:v>
                </c:pt>
                <c:pt idx="462">
                  <c:v>70.114178229155314</c:v>
                </c:pt>
                <c:pt idx="463">
                  <c:v>72.137845667635816</c:v>
                </c:pt>
                <c:pt idx="464">
                  <c:v>72.222246068574663</c:v>
                </c:pt>
                <c:pt idx="465">
                  <c:v>72.580046780550731</c:v>
                </c:pt>
                <c:pt idx="466">
                  <c:v>71.342988759440132</c:v>
                </c:pt>
                <c:pt idx="467">
                  <c:v>72.552130973305239</c:v>
                </c:pt>
                <c:pt idx="468">
                  <c:v>66.97293117104627</c:v>
                </c:pt>
                <c:pt idx="469">
                  <c:v>58.98024408635186</c:v>
                </c:pt>
                <c:pt idx="470">
                  <c:v>62.217504024256783</c:v>
                </c:pt>
                <c:pt idx="471">
                  <c:v>57.343836180284768</c:v>
                </c:pt>
                <c:pt idx="472">
                  <c:v>54.290593288355765</c:v>
                </c:pt>
                <c:pt idx="473">
                  <c:v>46.607244150243723</c:v>
                </c:pt>
                <c:pt idx="474">
                  <c:v>40.443317809309335</c:v>
                </c:pt>
                <c:pt idx="475">
                  <c:v>44.079307973248795</c:v>
                </c:pt>
                <c:pt idx="476">
                  <c:v>45.110403449506755</c:v>
                </c:pt>
                <c:pt idx="477">
                  <c:v>51.66844816695901</c:v>
                </c:pt>
                <c:pt idx="478">
                  <c:v>51.506807811601952</c:v>
                </c:pt>
                <c:pt idx="479">
                  <c:v>47.358417671611164</c:v>
                </c:pt>
                <c:pt idx="480">
                  <c:v>50.957730036637983</c:v>
                </c:pt>
                <c:pt idx="481">
                  <c:v>53.450529452479891</c:v>
                </c:pt>
                <c:pt idx="482">
                  <c:v>51.511956273197974</c:v>
                </c:pt>
                <c:pt idx="483">
                  <c:v>50.790574273735288</c:v>
                </c:pt>
                <c:pt idx="484">
                  <c:v>54.241116635322001</c:v>
                </c:pt>
                <c:pt idx="485">
                  <c:v>57.304026888226652</c:v>
                </c:pt>
                <c:pt idx="486">
                  <c:v>56.44739578742103</c:v>
                </c:pt>
                <c:pt idx="487">
                  <c:v>47.629460935755382</c:v>
                </c:pt>
                <c:pt idx="488">
                  <c:v>40.266339224276656</c:v>
                </c:pt>
                <c:pt idx="489">
                  <c:v>41.244520557669958</c:v>
                </c:pt>
                <c:pt idx="490">
                  <c:v>47.700742959264652</c:v>
                </c:pt>
                <c:pt idx="491">
                  <c:v>48.398602787925562</c:v>
                </c:pt>
                <c:pt idx="492">
                  <c:v>48.583317473123593</c:v>
                </c:pt>
                <c:pt idx="493">
                  <c:v>47.129832553893479</c:v>
                </c:pt>
                <c:pt idx="494">
                  <c:v>52.14116829869991</c:v>
                </c:pt>
                <c:pt idx="495">
                  <c:v>57.033158489173246</c:v>
                </c:pt>
                <c:pt idx="496">
                  <c:v>56.817487269884708</c:v>
                </c:pt>
                <c:pt idx="497">
                  <c:v>56.817487269884708</c:v>
                </c:pt>
                <c:pt idx="498">
                  <c:v>57.006043786625391</c:v>
                </c:pt>
                <c:pt idx="499">
                  <c:v>61.036876430389185</c:v>
                </c:pt>
                <c:pt idx="500">
                  <c:v>61.910893961595853</c:v>
                </c:pt>
                <c:pt idx="501">
                  <c:v>61.318375761059599</c:v>
                </c:pt>
                <c:pt idx="502">
                  <c:v>58.028902576320782</c:v>
                </c:pt>
                <c:pt idx="503">
                  <c:v>49.018297179038363</c:v>
                </c:pt>
                <c:pt idx="504">
                  <c:v>47.213683984427604</c:v>
                </c:pt>
                <c:pt idx="505">
                  <c:v>40.577481449173568</c:v>
                </c:pt>
                <c:pt idx="506">
                  <c:v>37.642220965339618</c:v>
                </c:pt>
                <c:pt idx="507">
                  <c:v>37.47051437004427</c:v>
                </c:pt>
                <c:pt idx="508">
                  <c:v>33.518713898344345</c:v>
                </c:pt>
                <c:pt idx="509">
                  <c:v>27.851215513649592</c:v>
                </c:pt>
                <c:pt idx="510">
                  <c:v>31.062427370896899</c:v>
                </c:pt>
                <c:pt idx="511">
                  <c:v>37.092937166013165</c:v>
                </c:pt>
                <c:pt idx="512">
                  <c:v>39.176568814870507</c:v>
                </c:pt>
                <c:pt idx="513">
                  <c:v>34.966993443428237</c:v>
                </c:pt>
                <c:pt idx="514">
                  <c:v>32.079751961113914</c:v>
                </c:pt>
                <c:pt idx="515">
                  <c:v>31.944486748323385</c:v>
                </c:pt>
                <c:pt idx="516">
                  <c:v>40.813519474255116</c:v>
                </c:pt>
                <c:pt idx="517">
                  <c:v>43.458623459939496</c:v>
                </c:pt>
                <c:pt idx="518">
                  <c:v>40.61532684806015</c:v>
                </c:pt>
                <c:pt idx="519">
                  <c:v>37.32777228176105</c:v>
                </c:pt>
                <c:pt idx="520">
                  <c:v>38.664429712462464</c:v>
                </c:pt>
                <c:pt idx="521">
                  <c:v>37.966802081239791</c:v>
                </c:pt>
                <c:pt idx="522">
                  <c:v>31.156093872604558</c:v>
                </c:pt>
                <c:pt idx="523">
                  <c:v>31.156093872604558</c:v>
                </c:pt>
                <c:pt idx="524">
                  <c:v>31.156093872604558</c:v>
                </c:pt>
                <c:pt idx="525">
                  <c:v>31.156093872604558</c:v>
                </c:pt>
                <c:pt idx="526">
                  <c:v>31.156093872604558</c:v>
                </c:pt>
                <c:pt idx="527">
                  <c:v>26.169456361558346</c:v>
                </c:pt>
                <c:pt idx="528">
                  <c:v>30.863896351774102</c:v>
                </c:pt>
                <c:pt idx="529">
                  <c:v>29.319544424577202</c:v>
                </c:pt>
                <c:pt idx="530">
                  <c:v>35.884020752061247</c:v>
                </c:pt>
                <c:pt idx="531">
                  <c:v>50.682254936060509</c:v>
                </c:pt>
                <c:pt idx="532">
                  <c:v>46.804382121011372</c:v>
                </c:pt>
                <c:pt idx="533">
                  <c:v>48.802672136366354</c:v>
                </c:pt>
                <c:pt idx="534">
                  <c:v>48.153331726698255</c:v>
                </c:pt>
                <c:pt idx="535">
                  <c:v>55.396665553913593</c:v>
                </c:pt>
                <c:pt idx="536">
                  <c:v>60.77718131980901</c:v>
                </c:pt>
                <c:pt idx="537">
                  <c:v>67.345621269660597</c:v>
                </c:pt>
                <c:pt idx="538">
                  <c:v>70.850319698602732</c:v>
                </c:pt>
                <c:pt idx="539">
                  <c:v>71.059384869091858</c:v>
                </c:pt>
                <c:pt idx="540">
                  <c:v>67.168405937063994</c:v>
                </c:pt>
                <c:pt idx="541">
                  <c:v>63.902583068562336</c:v>
                </c:pt>
                <c:pt idx="542">
                  <c:v>63.139639757683341</c:v>
                </c:pt>
                <c:pt idx="543">
                  <c:v>60.544779430591007</c:v>
                </c:pt>
                <c:pt idx="544">
                  <c:v>63.753233561506377</c:v>
                </c:pt>
                <c:pt idx="545">
                  <c:v>65.127502127453056</c:v>
                </c:pt>
                <c:pt idx="546">
                  <c:v>61.500352474406277</c:v>
                </c:pt>
                <c:pt idx="547">
                  <c:v>62.704814724139574</c:v>
                </c:pt>
                <c:pt idx="548">
                  <c:v>68.47131746748164</c:v>
                </c:pt>
                <c:pt idx="549">
                  <c:v>72.134428106431159</c:v>
                </c:pt>
                <c:pt idx="550">
                  <c:v>74.573486975708832</c:v>
                </c:pt>
                <c:pt idx="551">
                  <c:v>63.84535024876201</c:v>
                </c:pt>
                <c:pt idx="552">
                  <c:v>58.740249701326363</c:v>
                </c:pt>
                <c:pt idx="553">
                  <c:v>48.861680753641878</c:v>
                </c:pt>
                <c:pt idx="554">
                  <c:v>53.251760989023325</c:v>
                </c:pt>
                <c:pt idx="555">
                  <c:v>50.898937164444334</c:v>
                </c:pt>
                <c:pt idx="556">
                  <c:v>46.04740477575448</c:v>
                </c:pt>
                <c:pt idx="557">
                  <c:v>49.082239271125083</c:v>
                </c:pt>
                <c:pt idx="558">
                  <c:v>45.273195138248198</c:v>
                </c:pt>
                <c:pt idx="559">
                  <c:v>41.65281620590649</c:v>
                </c:pt>
                <c:pt idx="560">
                  <c:v>36.672584051008982</c:v>
                </c:pt>
                <c:pt idx="561">
                  <c:v>32.220251029548407</c:v>
                </c:pt>
                <c:pt idx="562">
                  <c:v>27.071813389245335</c:v>
                </c:pt>
                <c:pt idx="563">
                  <c:v>25.43076313411359</c:v>
                </c:pt>
                <c:pt idx="564">
                  <c:v>32.912515654644963</c:v>
                </c:pt>
                <c:pt idx="565">
                  <c:v>36.588992227065368</c:v>
                </c:pt>
                <c:pt idx="566">
                  <c:v>35.17365146886678</c:v>
                </c:pt>
                <c:pt idx="567">
                  <c:v>34.502906064627837</c:v>
                </c:pt>
                <c:pt idx="568">
                  <c:v>38.643077258163359</c:v>
                </c:pt>
                <c:pt idx="569">
                  <c:v>38.824141706923307</c:v>
                </c:pt>
                <c:pt idx="570">
                  <c:v>39.968817370442643</c:v>
                </c:pt>
                <c:pt idx="571">
                  <c:v>41.34767393676956</c:v>
                </c:pt>
                <c:pt idx="572">
                  <c:v>40.771379753757905</c:v>
                </c:pt>
                <c:pt idx="573">
                  <c:v>47.121043140309624</c:v>
                </c:pt>
                <c:pt idx="574">
                  <c:v>50.679878718596449</c:v>
                </c:pt>
                <c:pt idx="575">
                  <c:v>47.902362233357159</c:v>
                </c:pt>
                <c:pt idx="576">
                  <c:v>47.034850119689956</c:v>
                </c:pt>
                <c:pt idx="577">
                  <c:v>47.647471588523146</c:v>
                </c:pt>
                <c:pt idx="578">
                  <c:v>52.391638021225781</c:v>
                </c:pt>
                <c:pt idx="579">
                  <c:v>57.10143538191064</c:v>
                </c:pt>
                <c:pt idx="580">
                  <c:v>65.090733381725016</c:v>
                </c:pt>
                <c:pt idx="581">
                  <c:v>67.76589148840614</c:v>
                </c:pt>
                <c:pt idx="582">
                  <c:v>70.780155738847483</c:v>
                </c:pt>
                <c:pt idx="583">
                  <c:v>58.263088990123663</c:v>
                </c:pt>
                <c:pt idx="584">
                  <c:v>59.932325725949546</c:v>
                </c:pt>
                <c:pt idx="585">
                  <c:v>64.899660467166456</c:v>
                </c:pt>
                <c:pt idx="586">
                  <c:v>60.021864212415906</c:v>
                </c:pt>
                <c:pt idx="587">
                  <c:v>55.676338593068643</c:v>
                </c:pt>
                <c:pt idx="588">
                  <c:v>54.265997836485255</c:v>
                </c:pt>
                <c:pt idx="589">
                  <c:v>44.43414719190018</c:v>
                </c:pt>
                <c:pt idx="590">
                  <c:v>51.780427772877104</c:v>
                </c:pt>
                <c:pt idx="591">
                  <c:v>50.890601994006168</c:v>
                </c:pt>
                <c:pt idx="592">
                  <c:v>44.532892789720961</c:v>
                </c:pt>
                <c:pt idx="593">
                  <c:v>43.031920215642643</c:v>
                </c:pt>
                <c:pt idx="594">
                  <c:v>42.920640836218162</c:v>
                </c:pt>
                <c:pt idx="595">
                  <c:v>39.509700782629324</c:v>
                </c:pt>
                <c:pt idx="596">
                  <c:v>43.705912810747634</c:v>
                </c:pt>
                <c:pt idx="597">
                  <c:v>43.861242833009626</c:v>
                </c:pt>
                <c:pt idx="598">
                  <c:v>39.201710641895843</c:v>
                </c:pt>
                <c:pt idx="599">
                  <c:v>32.897584569562298</c:v>
                </c:pt>
                <c:pt idx="600">
                  <c:v>37.726548315008827</c:v>
                </c:pt>
                <c:pt idx="601">
                  <c:v>37.245462451628093</c:v>
                </c:pt>
                <c:pt idx="602">
                  <c:v>35.490858081324632</c:v>
                </c:pt>
                <c:pt idx="603">
                  <c:v>36.031741658442499</c:v>
                </c:pt>
                <c:pt idx="604">
                  <c:v>39.834615761835352</c:v>
                </c:pt>
                <c:pt idx="605">
                  <c:v>33.937177699117825</c:v>
                </c:pt>
                <c:pt idx="606">
                  <c:v>33.748380513268103</c:v>
                </c:pt>
                <c:pt idx="607">
                  <c:v>32.958552383654364</c:v>
                </c:pt>
                <c:pt idx="608">
                  <c:v>36.175766366890429</c:v>
                </c:pt>
                <c:pt idx="609">
                  <c:v>37.978719763511712</c:v>
                </c:pt>
                <c:pt idx="610">
                  <c:v>44.707133272396256</c:v>
                </c:pt>
                <c:pt idx="611">
                  <c:v>48.856524427768989</c:v>
                </c:pt>
                <c:pt idx="612">
                  <c:v>48.699096836163591</c:v>
                </c:pt>
                <c:pt idx="613">
                  <c:v>51.397586652232327</c:v>
                </c:pt>
                <c:pt idx="614">
                  <c:v>55.781137704736047</c:v>
                </c:pt>
                <c:pt idx="615">
                  <c:v>61.979912472128127</c:v>
                </c:pt>
                <c:pt idx="616">
                  <c:v>65.52361173939245</c:v>
                </c:pt>
                <c:pt idx="617">
                  <c:v>63.919618214362373</c:v>
                </c:pt>
                <c:pt idx="618">
                  <c:v>64.619168225633658</c:v>
                </c:pt>
                <c:pt idx="619">
                  <c:v>68.164396041988539</c:v>
                </c:pt>
                <c:pt idx="620">
                  <c:v>70.45584517621387</c:v>
                </c:pt>
                <c:pt idx="621">
                  <c:v>72.321480786447353</c:v>
                </c:pt>
                <c:pt idx="622">
                  <c:v>62.539590162321389</c:v>
                </c:pt>
                <c:pt idx="623">
                  <c:v>62.146016852989838</c:v>
                </c:pt>
                <c:pt idx="624">
                  <c:v>63.625151580374407</c:v>
                </c:pt>
                <c:pt idx="625">
                  <c:v>67.902324124341163</c:v>
                </c:pt>
                <c:pt idx="626">
                  <c:v>69.430375740816089</c:v>
                </c:pt>
                <c:pt idx="627">
                  <c:v>62.393044703326112</c:v>
                </c:pt>
                <c:pt idx="628">
                  <c:v>54.623787889588854</c:v>
                </c:pt>
                <c:pt idx="629">
                  <c:v>49.526798588970905</c:v>
                </c:pt>
                <c:pt idx="630">
                  <c:v>45.635756422449127</c:v>
                </c:pt>
                <c:pt idx="631">
                  <c:v>46.285000357936518</c:v>
                </c:pt>
                <c:pt idx="632">
                  <c:v>47.134882011474424</c:v>
                </c:pt>
                <c:pt idx="633">
                  <c:v>45.283079143823741</c:v>
                </c:pt>
                <c:pt idx="634">
                  <c:v>49.55193526752894</c:v>
                </c:pt>
                <c:pt idx="635">
                  <c:v>54.055485464829161</c:v>
                </c:pt>
                <c:pt idx="636">
                  <c:v>58.085100935328413</c:v>
                </c:pt>
                <c:pt idx="637">
                  <c:v>58.643139413221256</c:v>
                </c:pt>
                <c:pt idx="638">
                  <c:v>55.27494132910499</c:v>
                </c:pt>
                <c:pt idx="639">
                  <c:v>51.525485329442461</c:v>
                </c:pt>
                <c:pt idx="640">
                  <c:v>50.967008630172266</c:v>
                </c:pt>
                <c:pt idx="641">
                  <c:v>53.840609484773211</c:v>
                </c:pt>
                <c:pt idx="642">
                  <c:v>60.131256240196919</c:v>
                </c:pt>
                <c:pt idx="643">
                  <c:v>64.202897392722633</c:v>
                </c:pt>
                <c:pt idx="644">
                  <c:v>62.216314355241643</c:v>
                </c:pt>
                <c:pt idx="645">
                  <c:v>59.569640108413999</c:v>
                </c:pt>
                <c:pt idx="646">
                  <c:v>66.158616280747339</c:v>
                </c:pt>
                <c:pt idx="647">
                  <c:v>71.295283619589625</c:v>
                </c:pt>
                <c:pt idx="648">
                  <c:v>74.643089694239507</c:v>
                </c:pt>
                <c:pt idx="649">
                  <c:v>75.307669315401412</c:v>
                </c:pt>
                <c:pt idx="650">
                  <c:v>69.228608436880222</c:v>
                </c:pt>
                <c:pt idx="651">
                  <c:v>66.942389420658941</c:v>
                </c:pt>
                <c:pt idx="652">
                  <c:v>70.129390783140295</c:v>
                </c:pt>
                <c:pt idx="653">
                  <c:v>71.814254069774961</c:v>
                </c:pt>
                <c:pt idx="654">
                  <c:v>74.281013382463854</c:v>
                </c:pt>
                <c:pt idx="655">
                  <c:v>75.438476682922115</c:v>
                </c:pt>
                <c:pt idx="656">
                  <c:v>77.341933370979262</c:v>
                </c:pt>
                <c:pt idx="657">
                  <c:v>79.805254425013629</c:v>
                </c:pt>
                <c:pt idx="658">
                  <c:v>81.871845604472128</c:v>
                </c:pt>
                <c:pt idx="659">
                  <c:v>82.891030530345517</c:v>
                </c:pt>
                <c:pt idx="660">
                  <c:v>83.821588770623066</c:v>
                </c:pt>
                <c:pt idx="661">
                  <c:v>83.920728369613428</c:v>
                </c:pt>
                <c:pt idx="662">
                  <c:v>65.370600720671547</c:v>
                </c:pt>
                <c:pt idx="663">
                  <c:v>59.899196205336608</c:v>
                </c:pt>
                <c:pt idx="664">
                  <c:v>60.756712654223371</c:v>
                </c:pt>
                <c:pt idx="665">
                  <c:v>66.120630173296561</c:v>
                </c:pt>
                <c:pt idx="666">
                  <c:v>70.189535820189633</c:v>
                </c:pt>
                <c:pt idx="667">
                  <c:v>73.544190776273908</c:v>
                </c:pt>
                <c:pt idx="668">
                  <c:v>74.767359838471933</c:v>
                </c:pt>
                <c:pt idx="669">
                  <c:v>69.571329447379711</c:v>
                </c:pt>
                <c:pt idx="670">
                  <c:v>70.809316906843662</c:v>
                </c:pt>
                <c:pt idx="671">
                  <c:v>72.904345389075019</c:v>
                </c:pt>
                <c:pt idx="672">
                  <c:v>71.252193949750179</c:v>
                </c:pt>
                <c:pt idx="673">
                  <c:v>73.145533427186493</c:v>
                </c:pt>
                <c:pt idx="674">
                  <c:v>74.600584181208106</c:v>
                </c:pt>
                <c:pt idx="675">
                  <c:v>76.79300919352886</c:v>
                </c:pt>
                <c:pt idx="676">
                  <c:v>79.534713951127046</c:v>
                </c:pt>
                <c:pt idx="677">
                  <c:v>80.49687604006516</c:v>
                </c:pt>
                <c:pt idx="678">
                  <c:v>82.07330923376243</c:v>
                </c:pt>
                <c:pt idx="679">
                  <c:v>85.229255127840403</c:v>
                </c:pt>
                <c:pt idx="680">
                  <c:v>87.822918906664341</c:v>
                </c:pt>
                <c:pt idx="681">
                  <c:v>83.32115022164183</c:v>
                </c:pt>
                <c:pt idx="682">
                  <c:v>84.566349610029889</c:v>
                </c:pt>
                <c:pt idx="683">
                  <c:v>85.770609387437659</c:v>
                </c:pt>
                <c:pt idx="684">
                  <c:v>85.97682456298871</c:v>
                </c:pt>
                <c:pt idx="685">
                  <c:v>82.13135611206809</c:v>
                </c:pt>
                <c:pt idx="686">
                  <c:v>85.272842130420145</c:v>
                </c:pt>
                <c:pt idx="687">
                  <c:v>88.066696678268812</c:v>
                </c:pt>
                <c:pt idx="688">
                  <c:v>89.216163016396138</c:v>
                </c:pt>
                <c:pt idx="689">
                  <c:v>76.2901763053531</c:v>
                </c:pt>
                <c:pt idx="690">
                  <c:v>76.807141244861313</c:v>
                </c:pt>
                <c:pt idx="691">
                  <c:v>78.991737743214358</c:v>
                </c:pt>
                <c:pt idx="692">
                  <c:v>82.884182015850882</c:v>
                </c:pt>
                <c:pt idx="693">
                  <c:v>83.879256693651925</c:v>
                </c:pt>
                <c:pt idx="694">
                  <c:v>86.705443973747265</c:v>
                </c:pt>
                <c:pt idx="695">
                  <c:v>86.858390204858125</c:v>
                </c:pt>
                <c:pt idx="696">
                  <c:v>89.362450674270875</c:v>
                </c:pt>
                <c:pt idx="697">
                  <c:v>89.525848777017714</c:v>
                </c:pt>
                <c:pt idx="698">
                  <c:v>90.081188896896634</c:v>
                </c:pt>
                <c:pt idx="699">
                  <c:v>88.361202184736101</c:v>
                </c:pt>
                <c:pt idx="700">
                  <c:v>88.937467603680474</c:v>
                </c:pt>
                <c:pt idx="701">
                  <c:v>89.649152136217097</c:v>
                </c:pt>
                <c:pt idx="702">
                  <c:v>92.214134543073484</c:v>
                </c:pt>
                <c:pt idx="703">
                  <c:v>93.4326768891748</c:v>
                </c:pt>
                <c:pt idx="704">
                  <c:v>94.1615951841206</c:v>
                </c:pt>
                <c:pt idx="705">
                  <c:v>70.814045696634281</c:v>
                </c:pt>
                <c:pt idx="706">
                  <c:v>44.320234215069931</c:v>
                </c:pt>
                <c:pt idx="707">
                  <c:v>46.696846124186081</c:v>
                </c:pt>
                <c:pt idx="708">
                  <c:v>47.607312827161969</c:v>
                </c:pt>
                <c:pt idx="709">
                  <c:v>51.519671086484841</c:v>
                </c:pt>
                <c:pt idx="710">
                  <c:v>53.891658976463432</c:v>
                </c:pt>
                <c:pt idx="711">
                  <c:v>57.778441068342268</c:v>
                </c:pt>
                <c:pt idx="712">
                  <c:v>52.969786278251775</c:v>
                </c:pt>
                <c:pt idx="713">
                  <c:v>46.355066503598337</c:v>
                </c:pt>
                <c:pt idx="714">
                  <c:v>45.199632141213954</c:v>
                </c:pt>
                <c:pt idx="715">
                  <c:v>44.498525140665109</c:v>
                </c:pt>
                <c:pt idx="716">
                  <c:v>44.471011546273338</c:v>
                </c:pt>
                <c:pt idx="717">
                  <c:v>37.356864367323148</c:v>
                </c:pt>
                <c:pt idx="718">
                  <c:v>34.643954879250742</c:v>
                </c:pt>
                <c:pt idx="719">
                  <c:v>32.475337790197358</c:v>
                </c:pt>
                <c:pt idx="720">
                  <c:v>34.349272758230597</c:v>
                </c:pt>
                <c:pt idx="721">
                  <c:v>39.075662857175168</c:v>
                </c:pt>
                <c:pt idx="722">
                  <c:v>40.327091303443517</c:v>
                </c:pt>
                <c:pt idx="723">
                  <c:v>36.267182802091924</c:v>
                </c:pt>
                <c:pt idx="724">
                  <c:v>32.990270169298569</c:v>
                </c:pt>
                <c:pt idx="725">
                  <c:v>32.0525679265223</c:v>
                </c:pt>
                <c:pt idx="726">
                  <c:v>34.070666842199728</c:v>
                </c:pt>
                <c:pt idx="727">
                  <c:v>33.081543451914129</c:v>
                </c:pt>
                <c:pt idx="728">
                  <c:v>28.753885304294045</c:v>
                </c:pt>
                <c:pt idx="729">
                  <c:v>25.962120836399052</c:v>
                </c:pt>
                <c:pt idx="730">
                  <c:v>26.641772990766782</c:v>
                </c:pt>
                <c:pt idx="731">
                  <c:v>23.417286534196748</c:v>
                </c:pt>
                <c:pt idx="732">
                  <c:v>23.200182970958693</c:v>
                </c:pt>
                <c:pt idx="733">
                  <c:v>23.084940165448117</c:v>
                </c:pt>
                <c:pt idx="734">
                  <c:v>23.260873107011207</c:v>
                </c:pt>
                <c:pt idx="735">
                  <c:v>20.007993831337203</c:v>
                </c:pt>
                <c:pt idx="736">
                  <c:v>18.901019906017154</c:v>
                </c:pt>
                <c:pt idx="737">
                  <c:v>17.877343911228763</c:v>
                </c:pt>
                <c:pt idx="738">
                  <c:v>19.401978837053861</c:v>
                </c:pt>
                <c:pt idx="739">
                  <c:v>33.386274100802467</c:v>
                </c:pt>
                <c:pt idx="740">
                  <c:v>36.806805031121378</c:v>
                </c:pt>
                <c:pt idx="741">
                  <c:v>33.880954676735726</c:v>
                </c:pt>
                <c:pt idx="742">
                  <c:v>33.703788593764926</c:v>
                </c:pt>
                <c:pt idx="743">
                  <c:v>33.091500403998822</c:v>
                </c:pt>
                <c:pt idx="744">
                  <c:v>34.593665217821126</c:v>
                </c:pt>
                <c:pt idx="745">
                  <c:v>32.173552902921642</c:v>
                </c:pt>
                <c:pt idx="746">
                  <c:v>32.115943281851045</c:v>
                </c:pt>
                <c:pt idx="747">
                  <c:v>36.177288185341723</c:v>
                </c:pt>
                <c:pt idx="748">
                  <c:v>46.515311236658761</c:v>
                </c:pt>
                <c:pt idx="749">
                  <c:v>52.831785882401334</c:v>
                </c:pt>
                <c:pt idx="750">
                  <c:v>55.929315460775449</c:v>
                </c:pt>
                <c:pt idx="751">
                  <c:v>53.411110578929261</c:v>
                </c:pt>
                <c:pt idx="752">
                  <c:v>52.998109579859836</c:v>
                </c:pt>
                <c:pt idx="753">
                  <c:v>48.386785317978756</c:v>
                </c:pt>
                <c:pt idx="754">
                  <c:v>49.44459651331384</c:v>
                </c:pt>
                <c:pt idx="755">
                  <c:v>50.34986649257754</c:v>
                </c:pt>
                <c:pt idx="756">
                  <c:v>53.065130662753248</c:v>
                </c:pt>
                <c:pt idx="757">
                  <c:v>56.565627206068605</c:v>
                </c:pt>
                <c:pt idx="758">
                  <c:v>53.377675239212905</c:v>
                </c:pt>
                <c:pt idx="759">
                  <c:v>54.239617165979148</c:v>
                </c:pt>
                <c:pt idx="760">
                  <c:v>48.308423522987141</c:v>
                </c:pt>
                <c:pt idx="761">
                  <c:v>49.011660044861699</c:v>
                </c:pt>
                <c:pt idx="762">
                  <c:v>46.546161767356232</c:v>
                </c:pt>
                <c:pt idx="763">
                  <c:v>44.642279021621313</c:v>
                </c:pt>
                <c:pt idx="764">
                  <c:v>43.50286943939679</c:v>
                </c:pt>
                <c:pt idx="765">
                  <c:v>43.992691403976458</c:v>
                </c:pt>
                <c:pt idx="766">
                  <c:v>45.800022106410232</c:v>
                </c:pt>
                <c:pt idx="767">
                  <c:v>46.248334529079301</c:v>
                </c:pt>
                <c:pt idx="768">
                  <c:v>46.248334529079294</c:v>
                </c:pt>
                <c:pt idx="769">
                  <c:v>44.266650220616242</c:v>
                </c:pt>
                <c:pt idx="770">
                  <c:v>40.465421924170869</c:v>
                </c:pt>
                <c:pt idx="771">
                  <c:v>45.986224381086338</c:v>
                </c:pt>
                <c:pt idx="772">
                  <c:v>51.450359482047418</c:v>
                </c:pt>
                <c:pt idx="773">
                  <c:v>54.0586087511236</c:v>
                </c:pt>
                <c:pt idx="774">
                  <c:v>57.574600485256354</c:v>
                </c:pt>
                <c:pt idx="775">
                  <c:v>61.846485565611246</c:v>
                </c:pt>
                <c:pt idx="776">
                  <c:v>63.177463188680115</c:v>
                </c:pt>
                <c:pt idx="777">
                  <c:v>64.881606004736042</c:v>
                </c:pt>
                <c:pt idx="778">
                  <c:v>70.240330181903502</c:v>
                </c:pt>
                <c:pt idx="779">
                  <c:v>70.240330181903502</c:v>
                </c:pt>
                <c:pt idx="780">
                  <c:v>73.280129707749026</c:v>
                </c:pt>
                <c:pt idx="781">
                  <c:v>76.157808313495266</c:v>
                </c:pt>
                <c:pt idx="782">
                  <c:v>77.195681578359</c:v>
                </c:pt>
                <c:pt idx="783">
                  <c:v>77.264444876268726</c:v>
                </c:pt>
                <c:pt idx="784">
                  <c:v>68.480523289694702</c:v>
                </c:pt>
                <c:pt idx="785">
                  <c:v>71.162049216173031</c:v>
                </c:pt>
                <c:pt idx="786">
                  <c:v>74.543852668204508</c:v>
                </c:pt>
                <c:pt idx="787">
                  <c:v>75.640046964586375</c:v>
                </c:pt>
                <c:pt idx="788">
                  <c:v>76.278791456983498</c:v>
                </c:pt>
                <c:pt idx="789">
                  <c:v>79.040754318224714</c:v>
                </c:pt>
                <c:pt idx="790">
                  <c:v>80.414832868359042</c:v>
                </c:pt>
                <c:pt idx="791">
                  <c:v>76.947171714511555</c:v>
                </c:pt>
                <c:pt idx="792">
                  <c:v>78.69508392288779</c:v>
                </c:pt>
                <c:pt idx="793">
                  <c:v>80.275305013951595</c:v>
                </c:pt>
                <c:pt idx="794">
                  <c:v>80.029438642317587</c:v>
                </c:pt>
                <c:pt idx="795">
                  <c:v>67.930189086425074</c:v>
                </c:pt>
                <c:pt idx="796">
                  <c:v>60.947263776584954</c:v>
                </c:pt>
                <c:pt idx="797">
                  <c:v>55.973785991494999</c:v>
                </c:pt>
                <c:pt idx="798">
                  <c:v>61.175533451433061</c:v>
                </c:pt>
                <c:pt idx="799">
                  <c:v>62.058020945446266</c:v>
                </c:pt>
                <c:pt idx="800">
                  <c:v>46.268401418420559</c:v>
                </c:pt>
                <c:pt idx="801">
                  <c:v>37.264150443481121</c:v>
                </c:pt>
                <c:pt idx="802">
                  <c:v>33.622825348358262</c:v>
                </c:pt>
                <c:pt idx="803">
                  <c:v>33.04328342450485</c:v>
                </c:pt>
                <c:pt idx="804">
                  <c:v>34.987556747397534</c:v>
                </c:pt>
                <c:pt idx="805">
                  <c:v>33.997720358024438</c:v>
                </c:pt>
                <c:pt idx="806">
                  <c:v>31.410307305973262</c:v>
                </c:pt>
                <c:pt idx="807">
                  <c:v>29.995854942771587</c:v>
                </c:pt>
                <c:pt idx="808">
                  <c:v>30.715847409013179</c:v>
                </c:pt>
                <c:pt idx="809">
                  <c:v>32.62300185185677</c:v>
                </c:pt>
                <c:pt idx="810">
                  <c:v>46.595720133820834</c:v>
                </c:pt>
                <c:pt idx="811">
                  <c:v>47.00385174792013</c:v>
                </c:pt>
                <c:pt idx="812">
                  <c:v>44.100232146096509</c:v>
                </c:pt>
                <c:pt idx="813">
                  <c:v>51.628030754517894</c:v>
                </c:pt>
                <c:pt idx="814">
                  <c:v>51.681522235121854</c:v>
                </c:pt>
                <c:pt idx="815">
                  <c:v>49.443973536355017</c:v>
                </c:pt>
                <c:pt idx="816">
                  <c:v>48.317562481935546</c:v>
                </c:pt>
                <c:pt idx="817">
                  <c:v>47.701609371481773</c:v>
                </c:pt>
                <c:pt idx="818">
                  <c:v>47.636211361585318</c:v>
                </c:pt>
                <c:pt idx="819">
                  <c:v>38.718401611013128</c:v>
                </c:pt>
                <c:pt idx="820">
                  <c:v>41.730587074552339</c:v>
                </c:pt>
                <c:pt idx="821">
                  <c:v>43.233043624555243</c:v>
                </c:pt>
                <c:pt idx="822">
                  <c:v>45.357296318425412</c:v>
                </c:pt>
                <c:pt idx="823">
                  <c:v>44.274030106104291</c:v>
                </c:pt>
                <c:pt idx="824">
                  <c:v>53.017181158563581</c:v>
                </c:pt>
                <c:pt idx="825">
                  <c:v>53.84148085000264</c:v>
                </c:pt>
                <c:pt idx="826">
                  <c:v>52.099867079339518</c:v>
                </c:pt>
                <c:pt idx="827">
                  <c:v>49.835475345135279</c:v>
                </c:pt>
                <c:pt idx="828">
                  <c:v>49.297084520823745</c:v>
                </c:pt>
                <c:pt idx="829">
                  <c:v>48.650209487267212</c:v>
                </c:pt>
                <c:pt idx="830">
                  <c:v>48.056000097282066</c:v>
                </c:pt>
                <c:pt idx="831">
                  <c:v>49.201444587042481</c:v>
                </c:pt>
                <c:pt idx="832">
                  <c:v>36.870255710531211</c:v>
                </c:pt>
                <c:pt idx="833">
                  <c:v>32.191713418639267</c:v>
                </c:pt>
                <c:pt idx="834">
                  <c:v>35.300757470395325</c:v>
                </c:pt>
                <c:pt idx="835">
                  <c:v>37.331466213987994</c:v>
                </c:pt>
                <c:pt idx="836">
                  <c:v>41.388119947917311</c:v>
                </c:pt>
                <c:pt idx="837">
                  <c:v>42.323172451372074</c:v>
                </c:pt>
                <c:pt idx="838">
                  <c:v>44.698439393253828</c:v>
                </c:pt>
                <c:pt idx="839">
                  <c:v>41.393944666119225</c:v>
                </c:pt>
                <c:pt idx="840">
                  <c:v>41.600588921048903</c:v>
                </c:pt>
                <c:pt idx="841">
                  <c:v>36.968173849164266</c:v>
                </c:pt>
                <c:pt idx="842">
                  <c:v>37.647926462665716</c:v>
                </c:pt>
                <c:pt idx="843">
                  <c:v>35.516750321768697</c:v>
                </c:pt>
                <c:pt idx="844">
                  <c:v>34.10817819106262</c:v>
                </c:pt>
                <c:pt idx="845">
                  <c:v>38.252420459442291</c:v>
                </c:pt>
                <c:pt idx="846">
                  <c:v>43.999488780770243</c:v>
                </c:pt>
                <c:pt idx="847">
                  <c:v>43.562844938960104</c:v>
                </c:pt>
                <c:pt idx="848">
                  <c:v>43.922432622912112</c:v>
                </c:pt>
                <c:pt idx="849">
                  <c:v>40.156735546667406</c:v>
                </c:pt>
                <c:pt idx="850">
                  <c:v>36.387369493370549</c:v>
                </c:pt>
                <c:pt idx="851">
                  <c:v>32.086214579774534</c:v>
                </c:pt>
                <c:pt idx="852">
                  <c:v>34.412998065969873</c:v>
                </c:pt>
                <c:pt idx="853">
                  <c:v>32.441515409496134</c:v>
                </c:pt>
                <c:pt idx="854">
                  <c:v>29.397128337058618</c:v>
                </c:pt>
                <c:pt idx="855">
                  <c:v>27.394381827446566</c:v>
                </c:pt>
                <c:pt idx="856">
                  <c:v>28.777585219125442</c:v>
                </c:pt>
                <c:pt idx="857">
                  <c:v>34.729226437496763</c:v>
                </c:pt>
                <c:pt idx="858">
                  <c:v>38.984675164768326</c:v>
                </c:pt>
                <c:pt idx="859">
                  <c:v>38.548136232961205</c:v>
                </c:pt>
                <c:pt idx="860">
                  <c:v>39.853691400993227</c:v>
                </c:pt>
                <c:pt idx="861">
                  <c:v>48.270052406210098</c:v>
                </c:pt>
                <c:pt idx="862">
                  <c:v>50.034785782055685</c:v>
                </c:pt>
                <c:pt idx="863">
                  <c:v>50.639266008133738</c:v>
                </c:pt>
                <c:pt idx="864">
                  <c:v>57.022554566088345</c:v>
                </c:pt>
                <c:pt idx="865">
                  <c:v>62.517379851857001</c:v>
                </c:pt>
                <c:pt idx="866">
                  <c:v>65.523800243593968</c:v>
                </c:pt>
                <c:pt idx="867">
                  <c:v>68.198472416177793</c:v>
                </c:pt>
                <c:pt idx="868">
                  <c:v>71.13183545883571</c:v>
                </c:pt>
                <c:pt idx="869">
                  <c:v>72.41077158013367</c:v>
                </c:pt>
                <c:pt idx="870">
                  <c:v>73.89357145770056</c:v>
                </c:pt>
                <c:pt idx="871">
                  <c:v>64.749236090998878</c:v>
                </c:pt>
                <c:pt idx="872">
                  <c:v>66.574869028095549</c:v>
                </c:pt>
                <c:pt idx="873">
                  <c:v>64.980225898029175</c:v>
                </c:pt>
                <c:pt idx="874">
                  <c:v>57.556797943002735</c:v>
                </c:pt>
                <c:pt idx="875">
                  <c:v>58.934679081663631</c:v>
                </c:pt>
                <c:pt idx="876">
                  <c:v>62.194914679625775</c:v>
                </c:pt>
                <c:pt idx="877">
                  <c:v>61.066038121349372</c:v>
                </c:pt>
                <c:pt idx="878">
                  <c:v>63.971074188202593</c:v>
                </c:pt>
                <c:pt idx="879">
                  <c:v>60.85908290949962</c:v>
                </c:pt>
                <c:pt idx="880">
                  <c:v>62.807554792177463</c:v>
                </c:pt>
                <c:pt idx="881">
                  <c:v>67.532077026930637</c:v>
                </c:pt>
                <c:pt idx="882">
                  <c:v>69.914831945522423</c:v>
                </c:pt>
                <c:pt idx="883">
                  <c:v>66.871895741816189</c:v>
                </c:pt>
                <c:pt idx="884">
                  <c:v>63.578209689150206</c:v>
                </c:pt>
                <c:pt idx="885">
                  <c:v>66.222974454468329</c:v>
                </c:pt>
                <c:pt idx="886">
                  <c:v>64.75286308791253</c:v>
                </c:pt>
                <c:pt idx="887">
                  <c:v>67.192969047279746</c:v>
                </c:pt>
                <c:pt idx="888">
                  <c:v>70.279252608716305</c:v>
                </c:pt>
                <c:pt idx="889">
                  <c:v>73.389882106532596</c:v>
                </c:pt>
                <c:pt idx="890">
                  <c:v>73.206519620157238</c:v>
                </c:pt>
                <c:pt idx="891">
                  <c:v>75.512577005127184</c:v>
                </c:pt>
                <c:pt idx="892">
                  <c:v>78.576277537628158</c:v>
                </c:pt>
                <c:pt idx="893">
                  <c:v>79.928469663573665</c:v>
                </c:pt>
                <c:pt idx="894">
                  <c:v>74.142287981585184</c:v>
                </c:pt>
                <c:pt idx="895">
                  <c:v>74.463392753116665</c:v>
                </c:pt>
                <c:pt idx="896">
                  <c:v>79.894689208890355</c:v>
                </c:pt>
                <c:pt idx="897">
                  <c:v>82.512169874962126</c:v>
                </c:pt>
                <c:pt idx="898">
                  <c:v>84.311789078543768</c:v>
                </c:pt>
                <c:pt idx="899">
                  <c:v>85.19303987247325</c:v>
                </c:pt>
                <c:pt idx="900">
                  <c:v>87.056100583515033</c:v>
                </c:pt>
                <c:pt idx="901">
                  <c:v>87.181960747885583</c:v>
                </c:pt>
                <c:pt idx="902">
                  <c:v>78.32413355784584</c:v>
                </c:pt>
                <c:pt idx="903">
                  <c:v>82.362509385845215</c:v>
                </c:pt>
                <c:pt idx="904">
                  <c:v>82.486892012592548</c:v>
                </c:pt>
                <c:pt idx="905">
                  <c:v>80.649381188529617</c:v>
                </c:pt>
                <c:pt idx="906">
                  <c:v>72.922796202851217</c:v>
                </c:pt>
                <c:pt idx="907">
                  <c:v>68.271210692765649</c:v>
                </c:pt>
                <c:pt idx="908">
                  <c:v>45.144999241761113</c:v>
                </c:pt>
                <c:pt idx="909">
                  <c:v>43.096967456163682</c:v>
                </c:pt>
                <c:pt idx="910">
                  <c:v>42.728581946338458</c:v>
                </c:pt>
                <c:pt idx="911">
                  <c:v>46.350257789455853</c:v>
                </c:pt>
                <c:pt idx="912">
                  <c:v>47.006428474021128</c:v>
                </c:pt>
                <c:pt idx="913">
                  <c:v>51.698420102415348</c:v>
                </c:pt>
                <c:pt idx="914">
                  <c:v>46.852467597760715</c:v>
                </c:pt>
                <c:pt idx="915">
                  <c:v>43.049981881139004</c:v>
                </c:pt>
                <c:pt idx="916">
                  <c:v>41.371166672280708</c:v>
                </c:pt>
                <c:pt idx="917">
                  <c:v>45.752357138034967</c:v>
                </c:pt>
                <c:pt idx="918">
                  <c:v>52.81521533364414</c:v>
                </c:pt>
                <c:pt idx="919">
                  <c:v>50.456994762597382</c:v>
                </c:pt>
                <c:pt idx="920">
                  <c:v>47.509271424549262</c:v>
                </c:pt>
                <c:pt idx="921">
                  <c:v>50.543037420446971</c:v>
                </c:pt>
                <c:pt idx="922">
                  <c:v>49.131627358894882</c:v>
                </c:pt>
                <c:pt idx="923">
                  <c:v>47.237529271717499</c:v>
                </c:pt>
                <c:pt idx="924">
                  <c:v>45.657880617735309</c:v>
                </c:pt>
                <c:pt idx="925">
                  <c:v>40.35352801638156</c:v>
                </c:pt>
                <c:pt idx="926">
                  <c:v>42.3302981132138</c:v>
                </c:pt>
                <c:pt idx="927">
                  <c:v>51.793249928713124</c:v>
                </c:pt>
                <c:pt idx="928">
                  <c:v>56.976880906862306</c:v>
                </c:pt>
                <c:pt idx="929">
                  <c:v>61.010308325813803</c:v>
                </c:pt>
                <c:pt idx="930">
                  <c:v>57.541928596648475</c:v>
                </c:pt>
                <c:pt idx="931">
                  <c:v>53.603841953029459</c:v>
                </c:pt>
                <c:pt idx="932">
                  <c:v>52.162150602056627</c:v>
                </c:pt>
                <c:pt idx="933">
                  <c:v>55.257950508069236</c:v>
                </c:pt>
                <c:pt idx="934">
                  <c:v>48.223662245266418</c:v>
                </c:pt>
                <c:pt idx="935">
                  <c:v>47.500122665041211</c:v>
                </c:pt>
                <c:pt idx="936">
                  <c:v>48.903664821289397</c:v>
                </c:pt>
                <c:pt idx="937">
                  <c:v>44.461087199520755</c:v>
                </c:pt>
                <c:pt idx="938">
                  <c:v>45.721129507608282</c:v>
                </c:pt>
                <c:pt idx="939">
                  <c:v>45.562099848361875</c:v>
                </c:pt>
                <c:pt idx="940">
                  <c:v>44.642379312518315</c:v>
                </c:pt>
                <c:pt idx="941">
                  <c:v>38.482252481372967</c:v>
                </c:pt>
                <c:pt idx="942">
                  <c:v>46.269593645862592</c:v>
                </c:pt>
                <c:pt idx="943">
                  <c:v>50.77190255859712</c:v>
                </c:pt>
                <c:pt idx="944">
                  <c:v>52.393056560717298</c:v>
                </c:pt>
                <c:pt idx="945">
                  <c:v>55.546139417960532</c:v>
                </c:pt>
                <c:pt idx="946">
                  <c:v>57.224211012897804</c:v>
                </c:pt>
                <c:pt idx="947">
                  <c:v>60.372859612693368</c:v>
                </c:pt>
                <c:pt idx="948">
                  <c:v>62.710146323956025</c:v>
                </c:pt>
                <c:pt idx="949">
                  <c:v>64.875595206090082</c:v>
                </c:pt>
                <c:pt idx="950">
                  <c:v>65.78340084940092</c:v>
                </c:pt>
                <c:pt idx="951">
                  <c:v>68.820798298262474</c:v>
                </c:pt>
                <c:pt idx="952">
                  <c:v>72.088132307760517</c:v>
                </c:pt>
                <c:pt idx="953">
                  <c:v>73.578978479087098</c:v>
                </c:pt>
                <c:pt idx="954">
                  <c:v>58.360665565879962</c:v>
                </c:pt>
                <c:pt idx="955">
                  <c:v>64.470589835221844</c:v>
                </c:pt>
                <c:pt idx="956">
                  <c:v>67.636484626877163</c:v>
                </c:pt>
                <c:pt idx="957">
                  <c:v>71.016772201125107</c:v>
                </c:pt>
                <c:pt idx="958">
                  <c:v>70.614601842987611</c:v>
                </c:pt>
                <c:pt idx="959">
                  <c:v>69.763673192056331</c:v>
                </c:pt>
                <c:pt idx="960">
                  <c:v>75.553470912532987</c:v>
                </c:pt>
                <c:pt idx="961">
                  <c:v>78.007439882684011</c:v>
                </c:pt>
                <c:pt idx="962">
                  <c:v>74.248224171393048</c:v>
                </c:pt>
                <c:pt idx="963">
                  <c:v>75.254770268812322</c:v>
                </c:pt>
                <c:pt idx="964">
                  <c:v>75.29063559177861</c:v>
                </c:pt>
                <c:pt idx="965">
                  <c:v>71.074951051470279</c:v>
                </c:pt>
                <c:pt idx="966">
                  <c:v>72.719919143932685</c:v>
                </c:pt>
                <c:pt idx="967">
                  <c:v>76.375222480823908</c:v>
                </c:pt>
                <c:pt idx="968">
                  <c:v>78.299684237045909</c:v>
                </c:pt>
                <c:pt idx="969">
                  <c:v>76.927112951018344</c:v>
                </c:pt>
                <c:pt idx="970">
                  <c:v>69.790561740740529</c:v>
                </c:pt>
                <c:pt idx="971">
                  <c:v>72.725110434623303</c:v>
                </c:pt>
                <c:pt idx="972">
                  <c:v>75.572570753781051</c:v>
                </c:pt>
                <c:pt idx="973">
                  <c:v>71.065481681001899</c:v>
                </c:pt>
                <c:pt idx="974">
                  <c:v>71.316695993154383</c:v>
                </c:pt>
                <c:pt idx="975">
                  <c:v>70.547142135473408</c:v>
                </c:pt>
                <c:pt idx="976">
                  <c:v>70.430220872313114</c:v>
                </c:pt>
                <c:pt idx="977">
                  <c:v>73.504125390451875</c:v>
                </c:pt>
                <c:pt idx="978">
                  <c:v>76.354841025878073</c:v>
                </c:pt>
                <c:pt idx="979">
                  <c:v>76.739853435835386</c:v>
                </c:pt>
                <c:pt idx="980">
                  <c:v>71.709983152276294</c:v>
                </c:pt>
                <c:pt idx="981">
                  <c:v>65.682785704883969</c:v>
                </c:pt>
                <c:pt idx="982">
                  <c:v>69.738754970778501</c:v>
                </c:pt>
                <c:pt idx="983">
                  <c:v>74.068186283890526</c:v>
                </c:pt>
                <c:pt idx="984">
                  <c:v>74.610425385185493</c:v>
                </c:pt>
                <c:pt idx="985">
                  <c:v>70.958123347269037</c:v>
                </c:pt>
                <c:pt idx="986">
                  <c:v>71.567052971448263</c:v>
                </c:pt>
                <c:pt idx="987">
                  <c:v>58.549804951453879</c:v>
                </c:pt>
                <c:pt idx="988">
                  <c:v>59.358333975192529</c:v>
                </c:pt>
                <c:pt idx="989">
                  <c:v>51.895104963914228</c:v>
                </c:pt>
                <c:pt idx="990">
                  <c:v>54.26105102776495</c:v>
                </c:pt>
                <c:pt idx="991">
                  <c:v>54.962658302508061</c:v>
                </c:pt>
                <c:pt idx="992">
                  <c:v>46.381341850867159</c:v>
                </c:pt>
                <c:pt idx="993">
                  <c:v>51.480167712622091</c:v>
                </c:pt>
                <c:pt idx="994">
                  <c:v>54.971597338686351</c:v>
                </c:pt>
                <c:pt idx="995">
                  <c:v>57.044256980031371</c:v>
                </c:pt>
                <c:pt idx="996">
                  <c:v>60.757937721654159</c:v>
                </c:pt>
                <c:pt idx="997">
                  <c:v>63.7573453495461</c:v>
                </c:pt>
                <c:pt idx="998">
                  <c:v>66.468163325895517</c:v>
                </c:pt>
                <c:pt idx="999">
                  <c:v>70.974179268668877</c:v>
                </c:pt>
                <c:pt idx="1000">
                  <c:v>74.764066285616423</c:v>
                </c:pt>
                <c:pt idx="1001">
                  <c:v>75.484835776868891</c:v>
                </c:pt>
                <c:pt idx="1002">
                  <c:v>78.801654212876343</c:v>
                </c:pt>
                <c:pt idx="1003">
                  <c:v>80.275471336166973</c:v>
                </c:pt>
                <c:pt idx="1004">
                  <c:v>81.901575375835094</c:v>
                </c:pt>
                <c:pt idx="1005">
                  <c:v>83.396175064140635</c:v>
                </c:pt>
                <c:pt idx="1006">
                  <c:v>85.605735836101601</c:v>
                </c:pt>
                <c:pt idx="1007">
                  <c:v>87.739354115760392</c:v>
                </c:pt>
                <c:pt idx="1008">
                  <c:v>88.495537923806282</c:v>
                </c:pt>
                <c:pt idx="1009">
                  <c:v>89.777990725001644</c:v>
                </c:pt>
                <c:pt idx="1010">
                  <c:v>87.226127544653991</c:v>
                </c:pt>
                <c:pt idx="1011">
                  <c:v>88.725599029128304</c:v>
                </c:pt>
                <c:pt idx="1012">
                  <c:v>87.323810711945583</c:v>
                </c:pt>
                <c:pt idx="1013">
                  <c:v>89.709398714037306</c:v>
                </c:pt>
                <c:pt idx="1014">
                  <c:v>91.900593958231326</c:v>
                </c:pt>
                <c:pt idx="1015">
                  <c:v>90.055511979598876</c:v>
                </c:pt>
                <c:pt idx="1016">
                  <c:v>91.418535802026938</c:v>
                </c:pt>
                <c:pt idx="1017">
                  <c:v>77.979776309420032</c:v>
                </c:pt>
                <c:pt idx="1018">
                  <c:v>81.674478395392271</c:v>
                </c:pt>
                <c:pt idx="1019">
                  <c:v>82.151432616036402</c:v>
                </c:pt>
                <c:pt idx="1020">
                  <c:v>75.966464176938729</c:v>
                </c:pt>
                <c:pt idx="1021">
                  <c:v>76.405515930195946</c:v>
                </c:pt>
                <c:pt idx="1022">
                  <c:v>80.580732199067967</c:v>
                </c:pt>
                <c:pt idx="1023">
                  <c:v>81.235164222697634</c:v>
                </c:pt>
                <c:pt idx="1024">
                  <c:v>73.994100177947274</c:v>
                </c:pt>
                <c:pt idx="1025">
                  <c:v>72.745464479179404</c:v>
                </c:pt>
                <c:pt idx="1026">
                  <c:v>76.684407908145147</c:v>
                </c:pt>
                <c:pt idx="1027">
                  <c:v>75.329790422000698</c:v>
                </c:pt>
                <c:pt idx="1028">
                  <c:v>67.972567533051517</c:v>
                </c:pt>
                <c:pt idx="1029">
                  <c:v>65.468580540422522</c:v>
                </c:pt>
                <c:pt idx="1030">
                  <c:v>63.454685825380032</c:v>
                </c:pt>
                <c:pt idx="1031">
                  <c:v>65.092897430563085</c:v>
                </c:pt>
                <c:pt idx="1032">
                  <c:v>60.737831583022995</c:v>
                </c:pt>
                <c:pt idx="1033">
                  <c:v>53.287044745449862</c:v>
                </c:pt>
                <c:pt idx="1034">
                  <c:v>54.98609484961051</c:v>
                </c:pt>
                <c:pt idx="1035">
                  <c:v>57.983758305683757</c:v>
                </c:pt>
                <c:pt idx="1036">
                  <c:v>62.540260181484584</c:v>
                </c:pt>
                <c:pt idx="1037">
                  <c:v>64.391235231869018</c:v>
                </c:pt>
                <c:pt idx="1038">
                  <c:v>66.60667842777535</c:v>
                </c:pt>
                <c:pt idx="1039">
                  <c:v>56.144225493575611</c:v>
                </c:pt>
                <c:pt idx="1040">
                  <c:v>50.225522217261656</c:v>
                </c:pt>
                <c:pt idx="1041">
                  <c:v>43.029250455923901</c:v>
                </c:pt>
                <c:pt idx="1042">
                  <c:v>40.975572902327116</c:v>
                </c:pt>
                <c:pt idx="1043">
                  <c:v>40.928299501257811</c:v>
                </c:pt>
                <c:pt idx="1044">
                  <c:v>43.691713206300818</c:v>
                </c:pt>
                <c:pt idx="1045">
                  <c:v>44.189982609502671</c:v>
                </c:pt>
                <c:pt idx="1046">
                  <c:v>47.242457077726684</c:v>
                </c:pt>
                <c:pt idx="1047">
                  <c:v>48.070114925528202</c:v>
                </c:pt>
                <c:pt idx="1048">
                  <c:v>52.786687327260196</c:v>
                </c:pt>
                <c:pt idx="1049">
                  <c:v>56.101747744460965</c:v>
                </c:pt>
                <c:pt idx="1050">
                  <c:v>59.673777079330648</c:v>
                </c:pt>
                <c:pt idx="1051">
                  <c:v>64.075895821973916</c:v>
                </c:pt>
                <c:pt idx="1052">
                  <c:v>66.924350834582469</c:v>
                </c:pt>
                <c:pt idx="1053">
                  <c:v>70.854923518224794</c:v>
                </c:pt>
                <c:pt idx="1054">
                  <c:v>73.496780999373385</c:v>
                </c:pt>
                <c:pt idx="1055">
                  <c:v>75.052258053420388</c:v>
                </c:pt>
                <c:pt idx="1056">
                  <c:v>78.038688157130082</c:v>
                </c:pt>
                <c:pt idx="1057">
                  <c:v>74.220402447472807</c:v>
                </c:pt>
                <c:pt idx="1058">
                  <c:v>76.265522015231909</c:v>
                </c:pt>
                <c:pt idx="1059">
                  <c:v>77.56188515523047</c:v>
                </c:pt>
                <c:pt idx="1060">
                  <c:v>78.707726044933779</c:v>
                </c:pt>
                <c:pt idx="1061">
                  <c:v>76.269113059679967</c:v>
                </c:pt>
                <c:pt idx="1062">
                  <c:v>79.402972988287203</c:v>
                </c:pt>
                <c:pt idx="1063">
                  <c:v>77.753986751996464</c:v>
                </c:pt>
                <c:pt idx="1064">
                  <c:v>67.343945453137422</c:v>
                </c:pt>
                <c:pt idx="1065">
                  <c:v>67.137984491423595</c:v>
                </c:pt>
                <c:pt idx="1066">
                  <c:v>67.628432081037857</c:v>
                </c:pt>
                <c:pt idx="1067">
                  <c:v>71.298776022311301</c:v>
                </c:pt>
                <c:pt idx="1068">
                  <c:v>66.713874519105644</c:v>
                </c:pt>
                <c:pt idx="1069">
                  <c:v>57.947629813409861</c:v>
                </c:pt>
                <c:pt idx="1070">
                  <c:v>55.30417958660923</c:v>
                </c:pt>
                <c:pt idx="1071">
                  <c:v>57.265478319006057</c:v>
                </c:pt>
                <c:pt idx="1072">
                  <c:v>55.385430562434031</c:v>
                </c:pt>
                <c:pt idx="1073">
                  <c:v>60.913209585420056</c:v>
                </c:pt>
                <c:pt idx="1074">
                  <c:v>55.736470338093454</c:v>
                </c:pt>
                <c:pt idx="1075">
                  <c:v>57.568790497266676</c:v>
                </c:pt>
                <c:pt idx="1076">
                  <c:v>51.718710469796875</c:v>
                </c:pt>
                <c:pt idx="1077">
                  <c:v>48.356759253307885</c:v>
                </c:pt>
                <c:pt idx="1078">
                  <c:v>53.591026126347018</c:v>
                </c:pt>
                <c:pt idx="1079">
                  <c:v>57.164824150117525</c:v>
                </c:pt>
                <c:pt idx="1080">
                  <c:v>63.762643762627278</c:v>
                </c:pt>
                <c:pt idx="1081">
                  <c:v>68.189883674214485</c:v>
                </c:pt>
                <c:pt idx="1082">
                  <c:v>71.205268815347097</c:v>
                </c:pt>
                <c:pt idx="1083">
                  <c:v>73.571195256801943</c:v>
                </c:pt>
                <c:pt idx="1084">
                  <c:v>74.456774290782903</c:v>
                </c:pt>
                <c:pt idx="1085">
                  <c:v>71.087505705518495</c:v>
                </c:pt>
                <c:pt idx="1086">
                  <c:v>70.385902418842036</c:v>
                </c:pt>
                <c:pt idx="1087">
                  <c:v>73.994537459560647</c:v>
                </c:pt>
                <c:pt idx="1088">
                  <c:v>71.867525930761047</c:v>
                </c:pt>
                <c:pt idx="1089">
                  <c:v>73.033104798660872</c:v>
                </c:pt>
                <c:pt idx="1090">
                  <c:v>77.25677062132678</c:v>
                </c:pt>
                <c:pt idx="1091">
                  <c:v>78.050127349721151</c:v>
                </c:pt>
                <c:pt idx="1092">
                  <c:v>67.753394488633887</c:v>
                </c:pt>
                <c:pt idx="1093">
                  <c:v>69.612855121985604</c:v>
                </c:pt>
                <c:pt idx="1094">
                  <c:v>69.727284948548444</c:v>
                </c:pt>
                <c:pt idx="1095">
                  <c:v>61.717965653557222</c:v>
                </c:pt>
                <c:pt idx="1096">
                  <c:v>48.238472039111251</c:v>
                </c:pt>
                <c:pt idx="1097">
                  <c:v>35.942091366814225</c:v>
                </c:pt>
                <c:pt idx="1098">
                  <c:v>38.991300362803706</c:v>
                </c:pt>
                <c:pt idx="1099">
                  <c:v>42.406376740573563</c:v>
                </c:pt>
                <c:pt idx="1100">
                  <c:v>41.565754929400704</c:v>
                </c:pt>
                <c:pt idx="1101">
                  <c:v>38.6612146045006</c:v>
                </c:pt>
                <c:pt idx="1102">
                  <c:v>47.082620931931778</c:v>
                </c:pt>
                <c:pt idx="1103">
                  <c:v>51.86413358976931</c:v>
                </c:pt>
                <c:pt idx="1104">
                  <c:v>55.861814790445884</c:v>
                </c:pt>
                <c:pt idx="1105">
                  <c:v>57.221482741308911</c:v>
                </c:pt>
                <c:pt idx="1106">
                  <c:v>56.674925582039521</c:v>
                </c:pt>
                <c:pt idx="1107">
                  <c:v>61.561914785904101</c:v>
                </c:pt>
                <c:pt idx="1108">
                  <c:v>63.539909362750343</c:v>
                </c:pt>
                <c:pt idx="1109">
                  <c:v>63.463452952962491</c:v>
                </c:pt>
                <c:pt idx="1110">
                  <c:v>60.735080300926832</c:v>
                </c:pt>
                <c:pt idx="1111">
                  <c:v>63.812085674989206</c:v>
                </c:pt>
                <c:pt idx="1112">
                  <c:v>66.573945194893014</c:v>
                </c:pt>
                <c:pt idx="1113">
                  <c:v>66.836316523598086</c:v>
                </c:pt>
                <c:pt idx="1114">
                  <c:v>65.573741331058869</c:v>
                </c:pt>
                <c:pt idx="1115">
                  <c:v>68.032342497106924</c:v>
                </c:pt>
                <c:pt idx="1116">
                  <c:v>71.281345930182979</c:v>
                </c:pt>
                <c:pt idx="1117">
                  <c:v>72.521320846471511</c:v>
                </c:pt>
                <c:pt idx="1118">
                  <c:v>74.312914792306628</c:v>
                </c:pt>
                <c:pt idx="1119">
                  <c:v>75.692818431868346</c:v>
                </c:pt>
                <c:pt idx="1120">
                  <c:v>76.618334189683992</c:v>
                </c:pt>
                <c:pt idx="1121">
                  <c:v>74.732557024302267</c:v>
                </c:pt>
                <c:pt idx="1122">
                  <c:v>78.302964455085984</c:v>
                </c:pt>
                <c:pt idx="1123">
                  <c:v>73.710815672423337</c:v>
                </c:pt>
                <c:pt idx="1124">
                  <c:v>75.499204304014057</c:v>
                </c:pt>
                <c:pt idx="1125">
                  <c:v>77.204727535144315</c:v>
                </c:pt>
                <c:pt idx="1126">
                  <c:v>77.884021585458626</c:v>
                </c:pt>
                <c:pt idx="1127">
                  <c:v>72.081321178137614</c:v>
                </c:pt>
                <c:pt idx="1128">
                  <c:v>75.007906175007946</c:v>
                </c:pt>
                <c:pt idx="1129">
                  <c:v>75.80456291164819</c:v>
                </c:pt>
                <c:pt idx="1130">
                  <c:v>75.909576896591048</c:v>
                </c:pt>
                <c:pt idx="1131">
                  <c:v>77.41394330895325</c:v>
                </c:pt>
                <c:pt idx="1132">
                  <c:v>79.03415824714881</c:v>
                </c:pt>
                <c:pt idx="1133">
                  <c:v>63.225245957613076</c:v>
                </c:pt>
                <c:pt idx="1134">
                  <c:v>62.810405661948977</c:v>
                </c:pt>
                <c:pt idx="1135">
                  <c:v>65.751633625723201</c:v>
                </c:pt>
                <c:pt idx="1136">
                  <c:v>70.367939121860829</c:v>
                </c:pt>
                <c:pt idx="1137">
                  <c:v>73.085185223644288</c:v>
                </c:pt>
                <c:pt idx="1138">
                  <c:v>74.053997838928041</c:v>
                </c:pt>
                <c:pt idx="1139">
                  <c:v>72.500853245995131</c:v>
                </c:pt>
                <c:pt idx="1140">
                  <c:v>74.666975390906174</c:v>
                </c:pt>
                <c:pt idx="1141">
                  <c:v>72.238895732092317</c:v>
                </c:pt>
                <c:pt idx="1142">
                  <c:v>59.613425580489029</c:v>
                </c:pt>
                <c:pt idx="1143">
                  <c:v>64.397379984723173</c:v>
                </c:pt>
                <c:pt idx="1144">
                  <c:v>52.524083458673317</c:v>
                </c:pt>
                <c:pt idx="1145">
                  <c:v>51.011087257812946</c:v>
                </c:pt>
                <c:pt idx="1146">
                  <c:v>50.53210261214322</c:v>
                </c:pt>
                <c:pt idx="1147">
                  <c:v>40.799278861192576</c:v>
                </c:pt>
                <c:pt idx="1148">
                  <c:v>36.640476618836495</c:v>
                </c:pt>
                <c:pt idx="1149">
                  <c:v>35.702083951551515</c:v>
                </c:pt>
                <c:pt idx="1150">
                  <c:v>44.405996460649867</c:v>
                </c:pt>
                <c:pt idx="1151">
                  <c:v>45.110820413665792</c:v>
                </c:pt>
                <c:pt idx="1152">
                  <c:v>51.222150158357152</c:v>
                </c:pt>
                <c:pt idx="1153">
                  <c:v>56.128459638201058</c:v>
                </c:pt>
                <c:pt idx="1154">
                  <c:v>59.253004688481369</c:v>
                </c:pt>
                <c:pt idx="1155">
                  <c:v>61.46265660112563</c:v>
                </c:pt>
                <c:pt idx="1156">
                  <c:v>63.706092038181296</c:v>
                </c:pt>
                <c:pt idx="1157">
                  <c:v>60.985199918932501</c:v>
                </c:pt>
                <c:pt idx="1158">
                  <c:v>63.285336830421798</c:v>
                </c:pt>
                <c:pt idx="1159">
                  <c:v>65.34626861881344</c:v>
                </c:pt>
                <c:pt idx="1160">
                  <c:v>67.119089288998026</c:v>
                </c:pt>
                <c:pt idx="1161">
                  <c:v>66.701497072928333</c:v>
                </c:pt>
                <c:pt idx="1162">
                  <c:v>58.819402726300069</c:v>
                </c:pt>
                <c:pt idx="1163">
                  <c:v>62.966705582665362</c:v>
                </c:pt>
                <c:pt idx="1164">
                  <c:v>62.301242568761538</c:v>
                </c:pt>
                <c:pt idx="1165">
                  <c:v>52.451221007737956</c:v>
                </c:pt>
                <c:pt idx="1166">
                  <c:v>49.209154953435721</c:v>
                </c:pt>
                <c:pt idx="1167">
                  <c:v>59.812825349195649</c:v>
                </c:pt>
                <c:pt idx="1168">
                  <c:v>62.622538923069449</c:v>
                </c:pt>
                <c:pt idx="1169">
                  <c:v>65.709076102761344</c:v>
                </c:pt>
                <c:pt idx="1170">
                  <c:v>65.267689765382499</c:v>
                </c:pt>
                <c:pt idx="1171">
                  <c:v>60.477158229526104</c:v>
                </c:pt>
                <c:pt idx="1172">
                  <c:v>64.557875123119203</c:v>
                </c:pt>
                <c:pt idx="1173">
                  <c:v>67.398776819553177</c:v>
                </c:pt>
                <c:pt idx="1174">
                  <c:v>69.105571489724326</c:v>
                </c:pt>
                <c:pt idx="1175">
                  <c:v>70.258411216076411</c:v>
                </c:pt>
                <c:pt idx="1176">
                  <c:v>60.338892243656176</c:v>
                </c:pt>
                <c:pt idx="1177">
                  <c:v>59.336457578017146</c:v>
                </c:pt>
                <c:pt idx="1178">
                  <c:v>55.006255300707274</c:v>
                </c:pt>
                <c:pt idx="1179">
                  <c:v>58.006525552255184</c:v>
                </c:pt>
                <c:pt idx="1180">
                  <c:v>62.455163673814461</c:v>
                </c:pt>
                <c:pt idx="1181">
                  <c:v>52.538101580205208</c:v>
                </c:pt>
                <c:pt idx="1182">
                  <c:v>46.136934234096579</c:v>
                </c:pt>
                <c:pt idx="1183">
                  <c:v>45.423874670682103</c:v>
                </c:pt>
                <c:pt idx="1184">
                  <c:v>45.983664429108913</c:v>
                </c:pt>
                <c:pt idx="1185">
                  <c:v>47.750107980999402</c:v>
                </c:pt>
                <c:pt idx="1186">
                  <c:v>48.977680737036309</c:v>
                </c:pt>
                <c:pt idx="1187">
                  <c:v>41.261346826165834</c:v>
                </c:pt>
                <c:pt idx="1188">
                  <c:v>40.191668186851928</c:v>
                </c:pt>
                <c:pt idx="1189">
                  <c:v>36.211002360653019</c:v>
                </c:pt>
                <c:pt idx="1190">
                  <c:v>39.274725876718023</c:v>
                </c:pt>
                <c:pt idx="1191">
                  <c:v>35.909067026098882</c:v>
                </c:pt>
                <c:pt idx="1192">
                  <c:v>26.836971004881974</c:v>
                </c:pt>
                <c:pt idx="1193">
                  <c:v>26.494405253644317</c:v>
                </c:pt>
                <c:pt idx="1194">
                  <c:v>26.772833218708087</c:v>
                </c:pt>
                <c:pt idx="1195">
                  <c:v>31.501487974123506</c:v>
                </c:pt>
                <c:pt idx="1196">
                  <c:v>40.296087833371011</c:v>
                </c:pt>
                <c:pt idx="1197">
                  <c:v>43.307119139462742</c:v>
                </c:pt>
                <c:pt idx="1198">
                  <c:v>43.189179012310213</c:v>
                </c:pt>
                <c:pt idx="1199">
                  <c:v>52.180531589772087</c:v>
                </c:pt>
                <c:pt idx="1200">
                  <c:v>56.591519422959628</c:v>
                </c:pt>
                <c:pt idx="1201">
                  <c:v>60.699805065809151</c:v>
                </c:pt>
                <c:pt idx="1202">
                  <c:v>63.274519090537652</c:v>
                </c:pt>
                <c:pt idx="1203">
                  <c:v>66.501686466697933</c:v>
                </c:pt>
                <c:pt idx="1204">
                  <c:v>64.007556671648658</c:v>
                </c:pt>
                <c:pt idx="1205">
                  <c:v>60.714542388243231</c:v>
                </c:pt>
                <c:pt idx="1206">
                  <c:v>59.453018141569579</c:v>
                </c:pt>
                <c:pt idx="1207">
                  <c:v>56.369732875123347</c:v>
                </c:pt>
                <c:pt idx="1208">
                  <c:v>59.168464649391488</c:v>
                </c:pt>
                <c:pt idx="1209">
                  <c:v>55.428077070300589</c:v>
                </c:pt>
                <c:pt idx="1210">
                  <c:v>48.38707536991717</c:v>
                </c:pt>
                <c:pt idx="1211">
                  <c:v>56.766820548054078</c:v>
                </c:pt>
                <c:pt idx="1212">
                  <c:v>61.156425238558775</c:v>
                </c:pt>
                <c:pt idx="1213">
                  <c:v>63.016802102043279</c:v>
                </c:pt>
                <c:pt idx="1214">
                  <c:v>65.367195158407739</c:v>
                </c:pt>
                <c:pt idx="1215">
                  <c:v>66.379649915407043</c:v>
                </c:pt>
                <c:pt idx="1216">
                  <c:v>64.35362103539434</c:v>
                </c:pt>
                <c:pt idx="1217">
                  <c:v>64.670332277779323</c:v>
                </c:pt>
                <c:pt idx="1218">
                  <c:v>63.061301304840796</c:v>
                </c:pt>
                <c:pt idx="1219">
                  <c:v>67.231818747658778</c:v>
                </c:pt>
                <c:pt idx="1220">
                  <c:v>63.957500398799972</c:v>
                </c:pt>
                <c:pt idx="1221">
                  <c:v>64.192256931782566</c:v>
                </c:pt>
                <c:pt idx="1222">
                  <c:v>69.982476370881727</c:v>
                </c:pt>
                <c:pt idx="1223">
                  <c:v>72.102390642619099</c:v>
                </c:pt>
                <c:pt idx="1224">
                  <c:v>72.875985123148325</c:v>
                </c:pt>
                <c:pt idx="1225">
                  <c:v>63.962216745476582</c:v>
                </c:pt>
                <c:pt idx="1226">
                  <c:v>60.544325425780997</c:v>
                </c:pt>
                <c:pt idx="1227">
                  <c:v>56.735253157423401</c:v>
                </c:pt>
                <c:pt idx="1228">
                  <c:v>51.57671628840118</c:v>
                </c:pt>
                <c:pt idx="1229">
                  <c:v>47.942362478831257</c:v>
                </c:pt>
                <c:pt idx="1230">
                  <c:v>49.537918716185196</c:v>
                </c:pt>
                <c:pt idx="1231">
                  <c:v>46.470191083427046</c:v>
                </c:pt>
                <c:pt idx="1232">
                  <c:v>49.501200520472011</c:v>
                </c:pt>
                <c:pt idx="1233">
                  <c:v>55.791341770905824</c:v>
                </c:pt>
                <c:pt idx="1234">
                  <c:v>44.664501960545458</c:v>
                </c:pt>
                <c:pt idx="1235">
                  <c:v>37.25744937740761</c:v>
                </c:pt>
                <c:pt idx="1236">
                  <c:v>39.255867649671565</c:v>
                </c:pt>
                <c:pt idx="1237">
                  <c:v>36.73571200870844</c:v>
                </c:pt>
                <c:pt idx="1238">
                  <c:v>42.680062802696455</c:v>
                </c:pt>
                <c:pt idx="1239">
                  <c:v>37.894205529751261</c:v>
                </c:pt>
                <c:pt idx="1240">
                  <c:v>35.492960585236347</c:v>
                </c:pt>
                <c:pt idx="1241">
                  <c:v>35.68174218218671</c:v>
                </c:pt>
                <c:pt idx="1242">
                  <c:v>27.980333754164661</c:v>
                </c:pt>
                <c:pt idx="1243">
                  <c:v>26.082856813947188</c:v>
                </c:pt>
                <c:pt idx="1244">
                  <c:v>22.177019747949132</c:v>
                </c:pt>
                <c:pt idx="1245">
                  <c:v>24.216482855002639</c:v>
                </c:pt>
                <c:pt idx="1246">
                  <c:v>27.768485686665144</c:v>
                </c:pt>
                <c:pt idx="1247">
                  <c:v>25.187113247191604</c:v>
                </c:pt>
                <c:pt idx="1248">
                  <c:v>33.064710370280721</c:v>
                </c:pt>
                <c:pt idx="1249">
                  <c:v>42.084489932432575</c:v>
                </c:pt>
                <c:pt idx="1250">
                  <c:v>45.915182521173151</c:v>
                </c:pt>
                <c:pt idx="1251">
                  <c:v>46.881659760055207</c:v>
                </c:pt>
                <c:pt idx="1252">
                  <c:v>52.151786885535941</c:v>
                </c:pt>
                <c:pt idx="1253">
                  <c:v>54.24192315721973</c:v>
                </c:pt>
                <c:pt idx="1254">
                  <c:v>54.326000171535298</c:v>
                </c:pt>
                <c:pt idx="1255">
                  <c:v>47.278359063460726</c:v>
                </c:pt>
                <c:pt idx="1256">
                  <c:v>46.286435705134743</c:v>
                </c:pt>
                <c:pt idx="1257">
                  <c:v>50.482039084368445</c:v>
                </c:pt>
                <c:pt idx="1258">
                  <c:v>52.033911779264059</c:v>
                </c:pt>
                <c:pt idx="1259">
                  <c:v>50.477914844107616</c:v>
                </c:pt>
                <c:pt idx="1260">
                  <c:v>58.448084791965869</c:v>
                </c:pt>
                <c:pt idx="1261">
                  <c:v>61.506015585303054</c:v>
                </c:pt>
                <c:pt idx="1262">
                  <c:v>61.909600770999148</c:v>
                </c:pt>
                <c:pt idx="1263">
                  <c:v>62.585507660246364</c:v>
                </c:pt>
                <c:pt idx="1264">
                  <c:v>61.556221720752987</c:v>
                </c:pt>
                <c:pt idx="1265">
                  <c:v>62.131109055399428</c:v>
                </c:pt>
                <c:pt idx="1266">
                  <c:v>64.422884616701424</c:v>
                </c:pt>
                <c:pt idx="1267">
                  <c:v>62.885937278936176</c:v>
                </c:pt>
                <c:pt idx="1268">
                  <c:v>65.079091673339803</c:v>
                </c:pt>
                <c:pt idx="1269">
                  <c:v>58.941264429114305</c:v>
                </c:pt>
                <c:pt idx="1270">
                  <c:v>57.799755271153622</c:v>
                </c:pt>
                <c:pt idx="1271">
                  <c:v>61.784946048177794</c:v>
                </c:pt>
                <c:pt idx="1272">
                  <c:v>60.210366641203414</c:v>
                </c:pt>
                <c:pt idx="1273">
                  <c:v>55.473736039947674</c:v>
                </c:pt>
                <c:pt idx="1274">
                  <c:v>54.810378470826983</c:v>
                </c:pt>
                <c:pt idx="1275">
                  <c:v>52.205240298021394</c:v>
                </c:pt>
                <c:pt idx="1276">
                  <c:v>51.71002540635542</c:v>
                </c:pt>
                <c:pt idx="1277">
                  <c:v>52.595071016223727</c:v>
                </c:pt>
                <c:pt idx="1278">
                  <c:v>54.148918764506192</c:v>
                </c:pt>
                <c:pt idx="1279">
                  <c:v>49.449380470629357</c:v>
                </c:pt>
                <c:pt idx="1280">
                  <c:v>46.739137159213904</c:v>
                </c:pt>
                <c:pt idx="1281">
                  <c:v>42.618312649108795</c:v>
                </c:pt>
                <c:pt idx="1282">
                  <c:v>43.776033895200392</c:v>
                </c:pt>
                <c:pt idx="1283">
                  <c:v>42.980513994196642</c:v>
                </c:pt>
                <c:pt idx="1284">
                  <c:v>37.313257490716772</c:v>
                </c:pt>
                <c:pt idx="1285">
                  <c:v>35.519010165851782</c:v>
                </c:pt>
                <c:pt idx="1286">
                  <c:v>35.288782894007625</c:v>
                </c:pt>
                <c:pt idx="1287">
                  <c:v>44.677606433949251</c:v>
                </c:pt>
                <c:pt idx="1288">
                  <c:v>53.463029096807723</c:v>
                </c:pt>
                <c:pt idx="1289">
                  <c:v>53.882550203708483</c:v>
                </c:pt>
                <c:pt idx="1290">
                  <c:v>52.916741029406815</c:v>
                </c:pt>
                <c:pt idx="1291">
                  <c:v>63.088833512997645</c:v>
                </c:pt>
                <c:pt idx="1292">
                  <c:v>63.088833512997645</c:v>
                </c:pt>
                <c:pt idx="1293">
                  <c:v>56.167501590569067</c:v>
                </c:pt>
                <c:pt idx="1294">
                  <c:v>46.385914224612065</c:v>
                </c:pt>
                <c:pt idx="1295">
                  <c:v>48.673933296764162</c:v>
                </c:pt>
                <c:pt idx="1296">
                  <c:v>54.09851907876925</c:v>
                </c:pt>
                <c:pt idx="1297">
                  <c:v>51.680290009935838</c:v>
                </c:pt>
                <c:pt idx="1298">
                  <c:v>54.450785978903113</c:v>
                </c:pt>
                <c:pt idx="1299">
                  <c:v>57.272504648702402</c:v>
                </c:pt>
                <c:pt idx="1300">
                  <c:v>53.076480534356044</c:v>
                </c:pt>
                <c:pt idx="1301">
                  <c:v>55.964482392440303</c:v>
                </c:pt>
                <c:pt idx="1302">
                  <c:v>57.397847695853244</c:v>
                </c:pt>
                <c:pt idx="1303">
                  <c:v>63.423909798620748</c:v>
                </c:pt>
                <c:pt idx="1304">
                  <c:v>64.793203601500963</c:v>
                </c:pt>
                <c:pt idx="1305">
                  <c:v>56.94862054361024</c:v>
                </c:pt>
                <c:pt idx="1306">
                  <c:v>55.535745252899325</c:v>
                </c:pt>
                <c:pt idx="1307">
                  <c:v>60.890953915101676</c:v>
                </c:pt>
                <c:pt idx="1308">
                  <c:v>64.383770946466115</c:v>
                </c:pt>
                <c:pt idx="1309">
                  <c:v>68.661839845054061</c:v>
                </c:pt>
                <c:pt idx="1310">
                  <c:v>52.348526653041134</c:v>
                </c:pt>
                <c:pt idx="1311">
                  <c:v>50.285078279000665</c:v>
                </c:pt>
                <c:pt idx="1312">
                  <c:v>55.506828870093564</c:v>
                </c:pt>
                <c:pt idx="1313">
                  <c:v>61.843157708129922</c:v>
                </c:pt>
                <c:pt idx="1314">
                  <c:v>65.79641362787271</c:v>
                </c:pt>
                <c:pt idx="1315">
                  <c:v>68.312113568947936</c:v>
                </c:pt>
                <c:pt idx="1316">
                  <c:v>70.224395804400999</c:v>
                </c:pt>
                <c:pt idx="1317">
                  <c:v>72.433920569421645</c:v>
                </c:pt>
                <c:pt idx="1318">
                  <c:v>75.360834395545169</c:v>
                </c:pt>
                <c:pt idx="1319">
                  <c:v>72.064719744345368</c:v>
                </c:pt>
                <c:pt idx="1320">
                  <c:v>71.301434467162579</c:v>
                </c:pt>
                <c:pt idx="1321">
                  <c:v>64.529750519684626</c:v>
                </c:pt>
                <c:pt idx="1322">
                  <c:v>67.95026152516354</c:v>
                </c:pt>
                <c:pt idx="1323">
                  <c:v>68.761305344676416</c:v>
                </c:pt>
                <c:pt idx="1324">
                  <c:v>64.788606279576257</c:v>
                </c:pt>
                <c:pt idx="1325">
                  <c:v>65.268818581752271</c:v>
                </c:pt>
                <c:pt idx="1326">
                  <c:v>60.527630841218652</c:v>
                </c:pt>
                <c:pt idx="1327">
                  <c:v>61.004284578843169</c:v>
                </c:pt>
                <c:pt idx="1328">
                  <c:v>47.14752132150528</c:v>
                </c:pt>
                <c:pt idx="1329">
                  <c:v>48.809733085957539</c:v>
                </c:pt>
                <c:pt idx="1330">
                  <c:v>52.158471015257291</c:v>
                </c:pt>
                <c:pt idx="1331">
                  <c:v>53.117366481536358</c:v>
                </c:pt>
                <c:pt idx="1332">
                  <c:v>45.953601942856928</c:v>
                </c:pt>
                <c:pt idx="1333">
                  <c:v>43.24778744214332</c:v>
                </c:pt>
                <c:pt idx="1334">
                  <c:v>39.904109348700104</c:v>
                </c:pt>
                <c:pt idx="1335">
                  <c:v>46.522837859414864</c:v>
                </c:pt>
                <c:pt idx="1336">
                  <c:v>46.637913813747751</c:v>
                </c:pt>
                <c:pt idx="1337">
                  <c:v>40.369856931862003</c:v>
                </c:pt>
                <c:pt idx="1338">
                  <c:v>40.109914792902813</c:v>
                </c:pt>
                <c:pt idx="1339">
                  <c:v>40.522352104095084</c:v>
                </c:pt>
                <c:pt idx="1340">
                  <c:v>54.733946346708436</c:v>
                </c:pt>
                <c:pt idx="1341">
                  <c:v>62.549575522648752</c:v>
                </c:pt>
                <c:pt idx="1342">
                  <c:v>65.876103261024738</c:v>
                </c:pt>
                <c:pt idx="1343">
                  <c:v>66.644241700403882</c:v>
                </c:pt>
                <c:pt idx="1344">
                  <c:v>69.436887585830803</c:v>
                </c:pt>
                <c:pt idx="1345">
                  <c:v>70.781010117836203</c:v>
                </c:pt>
                <c:pt idx="1346">
                  <c:v>73.355351449965866</c:v>
                </c:pt>
                <c:pt idx="1347">
                  <c:v>75.950431294719309</c:v>
                </c:pt>
                <c:pt idx="1348">
                  <c:v>78.445154190126701</c:v>
                </c:pt>
                <c:pt idx="1349">
                  <c:v>79.27710563269035</c:v>
                </c:pt>
                <c:pt idx="1350">
                  <c:v>79.499399630337678</c:v>
                </c:pt>
                <c:pt idx="1351">
                  <c:v>73.031287439340915</c:v>
                </c:pt>
                <c:pt idx="1352">
                  <c:v>75.290445893756598</c:v>
                </c:pt>
                <c:pt idx="1353">
                  <c:v>75.520485559490297</c:v>
                </c:pt>
                <c:pt idx="1354">
                  <c:v>71.915409239020278</c:v>
                </c:pt>
                <c:pt idx="1355">
                  <c:v>70.751497659890504</c:v>
                </c:pt>
                <c:pt idx="1356">
                  <c:v>71.972744080295257</c:v>
                </c:pt>
                <c:pt idx="1357">
                  <c:v>59.74848260179332</c:v>
                </c:pt>
                <c:pt idx="1358">
                  <c:v>59.829226192427285</c:v>
                </c:pt>
                <c:pt idx="1359">
                  <c:v>60.002039953700155</c:v>
                </c:pt>
                <c:pt idx="1360">
                  <c:v>58.643590861428336</c:v>
                </c:pt>
                <c:pt idx="1361">
                  <c:v>54.032681347337515</c:v>
                </c:pt>
                <c:pt idx="1362">
                  <c:v>51.538957772073523</c:v>
                </c:pt>
                <c:pt idx="1363">
                  <c:v>63.577374403939977</c:v>
                </c:pt>
                <c:pt idx="1364">
                  <c:v>64.78165456540745</c:v>
                </c:pt>
                <c:pt idx="1365">
                  <c:v>63.064457794857326</c:v>
                </c:pt>
                <c:pt idx="1366">
                  <c:v>64.242255579526969</c:v>
                </c:pt>
                <c:pt idx="1367">
                  <c:v>61.699673117938147</c:v>
                </c:pt>
                <c:pt idx="1368">
                  <c:v>67.212051679202929</c:v>
                </c:pt>
                <c:pt idx="1369">
                  <c:v>72.745375011239403</c:v>
                </c:pt>
                <c:pt idx="1370">
                  <c:v>70.673695359124267</c:v>
                </c:pt>
                <c:pt idx="1371">
                  <c:v>71.375994741947835</c:v>
                </c:pt>
                <c:pt idx="1372">
                  <c:v>73.797470147760194</c:v>
                </c:pt>
                <c:pt idx="1373">
                  <c:v>75.84457705913789</c:v>
                </c:pt>
                <c:pt idx="1374">
                  <c:v>77.544929378607719</c:v>
                </c:pt>
                <c:pt idx="1375">
                  <c:v>71.244007623137293</c:v>
                </c:pt>
                <c:pt idx="1376">
                  <c:v>65.511399649648084</c:v>
                </c:pt>
                <c:pt idx="1377">
                  <c:v>66.943632775198154</c:v>
                </c:pt>
                <c:pt idx="1378">
                  <c:v>73.355559867733632</c:v>
                </c:pt>
                <c:pt idx="1379">
                  <c:v>77.442169032831742</c:v>
                </c:pt>
                <c:pt idx="1380">
                  <c:v>77.779236318221763</c:v>
                </c:pt>
                <c:pt idx="1381">
                  <c:v>81.48660323899793</c:v>
                </c:pt>
                <c:pt idx="1382">
                  <c:v>84.660992739032181</c:v>
                </c:pt>
                <c:pt idx="1383">
                  <c:v>85.818111661535212</c:v>
                </c:pt>
                <c:pt idx="1384">
                  <c:v>85.918460124328774</c:v>
                </c:pt>
                <c:pt idx="1385">
                  <c:v>87.240746491922238</c:v>
                </c:pt>
                <c:pt idx="1386">
                  <c:v>81.090516134618369</c:v>
                </c:pt>
                <c:pt idx="1387">
                  <c:v>82.35157052371892</c:v>
                </c:pt>
                <c:pt idx="1388">
                  <c:v>74.848241462991652</c:v>
                </c:pt>
                <c:pt idx="1389">
                  <c:v>73.87453233416548</c:v>
                </c:pt>
                <c:pt idx="1390">
                  <c:v>76.670809458387893</c:v>
                </c:pt>
                <c:pt idx="1391">
                  <c:v>77.832257045151948</c:v>
                </c:pt>
                <c:pt idx="1392">
                  <c:v>82.17402816128839</c:v>
                </c:pt>
                <c:pt idx="1393">
                  <c:v>85.359252984348132</c:v>
                </c:pt>
                <c:pt idx="1394">
                  <c:v>87.113250900635151</c:v>
                </c:pt>
                <c:pt idx="1395">
                  <c:v>84.119343366443161</c:v>
                </c:pt>
                <c:pt idx="1396">
                  <c:v>83.925205043447491</c:v>
                </c:pt>
                <c:pt idx="1397">
                  <c:v>86.056514655305094</c:v>
                </c:pt>
                <c:pt idx="1398">
                  <c:v>87.335559934679409</c:v>
                </c:pt>
                <c:pt idx="1399">
                  <c:v>89.612056043477395</c:v>
                </c:pt>
                <c:pt idx="1400">
                  <c:v>80.926767253979165</c:v>
                </c:pt>
                <c:pt idx="1401">
                  <c:v>58.831865435761387</c:v>
                </c:pt>
                <c:pt idx="1402">
                  <c:v>46.367273608876566</c:v>
                </c:pt>
                <c:pt idx="1403">
                  <c:v>45.195450197742922</c:v>
                </c:pt>
                <c:pt idx="1404">
                  <c:v>48.522910561613536</c:v>
                </c:pt>
                <c:pt idx="1405">
                  <c:v>51.081743411334642</c:v>
                </c:pt>
                <c:pt idx="1406">
                  <c:v>53.567370080002988</c:v>
                </c:pt>
                <c:pt idx="1407">
                  <c:v>52.397840784232436</c:v>
                </c:pt>
                <c:pt idx="1408">
                  <c:v>49.93599505492444</c:v>
                </c:pt>
                <c:pt idx="1409">
                  <c:v>55.045140549145728</c:v>
                </c:pt>
                <c:pt idx="1410">
                  <c:v>54.39006100546451</c:v>
                </c:pt>
                <c:pt idx="1411">
                  <c:v>52.134977124368078</c:v>
                </c:pt>
                <c:pt idx="1412">
                  <c:v>53.778393352855986</c:v>
                </c:pt>
                <c:pt idx="1413">
                  <c:v>57.235087612752345</c:v>
                </c:pt>
                <c:pt idx="1414">
                  <c:v>54.259787209363914</c:v>
                </c:pt>
                <c:pt idx="1415">
                  <c:v>56.35934174899797</c:v>
                </c:pt>
                <c:pt idx="1416">
                  <c:v>59.591645361340866</c:v>
                </c:pt>
                <c:pt idx="1417">
                  <c:v>62.483251727490988</c:v>
                </c:pt>
                <c:pt idx="1418">
                  <c:v>61.763750974356853</c:v>
                </c:pt>
                <c:pt idx="1419">
                  <c:v>64.97150915267882</c:v>
                </c:pt>
                <c:pt idx="1420">
                  <c:v>68.419146968039882</c:v>
                </c:pt>
                <c:pt idx="1421">
                  <c:v>71.014704781294867</c:v>
                </c:pt>
                <c:pt idx="1422">
                  <c:v>73.013318198378983</c:v>
                </c:pt>
                <c:pt idx="1423">
                  <c:v>76.183712640464478</c:v>
                </c:pt>
                <c:pt idx="1424">
                  <c:v>76.326337310806096</c:v>
                </c:pt>
                <c:pt idx="1425">
                  <c:v>76.348128089678397</c:v>
                </c:pt>
                <c:pt idx="1426">
                  <c:v>71.262052560488868</c:v>
                </c:pt>
                <c:pt idx="1427">
                  <c:v>73.481594199831221</c:v>
                </c:pt>
                <c:pt idx="1428">
                  <c:v>67.696751270140567</c:v>
                </c:pt>
                <c:pt idx="1429">
                  <c:v>61.906955018089945</c:v>
                </c:pt>
                <c:pt idx="1430">
                  <c:v>64.646673786328392</c:v>
                </c:pt>
                <c:pt idx="1431">
                  <c:v>64.472114720343811</c:v>
                </c:pt>
                <c:pt idx="1432">
                  <c:v>68.429526505018302</c:v>
                </c:pt>
                <c:pt idx="1433">
                  <c:v>71.3198029531153</c:v>
                </c:pt>
                <c:pt idx="1434">
                  <c:v>71.071031732124482</c:v>
                </c:pt>
                <c:pt idx="1435">
                  <c:v>54.438762619343379</c:v>
                </c:pt>
                <c:pt idx="1436">
                  <c:v>48.08917939275652</c:v>
                </c:pt>
                <c:pt idx="1437">
                  <c:v>45.032322056020568</c:v>
                </c:pt>
                <c:pt idx="1438">
                  <c:v>48.506352871647948</c:v>
                </c:pt>
                <c:pt idx="1439">
                  <c:v>53.698306854797153</c:v>
                </c:pt>
                <c:pt idx="1440">
                  <c:v>52.322298040411773</c:v>
                </c:pt>
                <c:pt idx="1441">
                  <c:v>63.639740812448856</c:v>
                </c:pt>
                <c:pt idx="1442">
                  <c:v>66.007690344268894</c:v>
                </c:pt>
                <c:pt idx="1443">
                  <c:v>67.681643940092528</c:v>
                </c:pt>
                <c:pt idx="1444">
                  <c:v>66.871718772667862</c:v>
                </c:pt>
                <c:pt idx="1445">
                  <c:v>66.947332343113743</c:v>
                </c:pt>
                <c:pt idx="1446">
                  <c:v>67.464490773358904</c:v>
                </c:pt>
                <c:pt idx="1447">
                  <c:v>69.86467849641069</c:v>
                </c:pt>
                <c:pt idx="1448">
                  <c:v>68.557955636500552</c:v>
                </c:pt>
                <c:pt idx="1449">
                  <c:v>68.357681379946087</c:v>
                </c:pt>
                <c:pt idx="1450">
                  <c:v>67.71856353341488</c:v>
                </c:pt>
                <c:pt idx="1451">
                  <c:v>68.57229158361281</c:v>
                </c:pt>
                <c:pt idx="1452">
                  <c:v>75.883674393658964</c:v>
                </c:pt>
                <c:pt idx="1453">
                  <c:v>73.531598157601366</c:v>
                </c:pt>
                <c:pt idx="1454">
                  <c:v>70.076041888222505</c:v>
                </c:pt>
                <c:pt idx="1455">
                  <c:v>70.090596581537781</c:v>
                </c:pt>
                <c:pt idx="1456">
                  <c:v>72.242444784450541</c:v>
                </c:pt>
                <c:pt idx="1457">
                  <c:v>67.612641920491086</c:v>
                </c:pt>
                <c:pt idx="1458">
                  <c:v>69.775210916625454</c:v>
                </c:pt>
                <c:pt idx="1459">
                  <c:v>70.671066885948008</c:v>
                </c:pt>
                <c:pt idx="1460">
                  <c:v>70.848766601519458</c:v>
                </c:pt>
                <c:pt idx="1461">
                  <c:v>66.15545583738762</c:v>
                </c:pt>
                <c:pt idx="1462">
                  <c:v>69.871863341530059</c:v>
                </c:pt>
                <c:pt idx="1463">
                  <c:v>73.719100810631602</c:v>
                </c:pt>
                <c:pt idx="1464">
                  <c:v>73.395800217424096</c:v>
                </c:pt>
                <c:pt idx="1465">
                  <c:v>75.241084162096101</c:v>
                </c:pt>
                <c:pt idx="1466">
                  <c:v>77.444129157909714</c:v>
                </c:pt>
                <c:pt idx="1467">
                  <c:v>71.694679819922101</c:v>
                </c:pt>
                <c:pt idx="1468">
                  <c:v>72.371702220892516</c:v>
                </c:pt>
                <c:pt idx="1469">
                  <c:v>73.26350875175703</c:v>
                </c:pt>
                <c:pt idx="1470">
                  <c:v>72.572225476018559</c:v>
                </c:pt>
                <c:pt idx="1471">
                  <c:v>74.84301550204674</c:v>
                </c:pt>
                <c:pt idx="1472">
                  <c:v>76.414062009577464</c:v>
                </c:pt>
                <c:pt idx="1473">
                  <c:v>77.777019954869644</c:v>
                </c:pt>
                <c:pt idx="1474">
                  <c:v>76.741920435845529</c:v>
                </c:pt>
                <c:pt idx="1475">
                  <c:v>77.709817490463621</c:v>
                </c:pt>
                <c:pt idx="1476">
                  <c:v>79.793285940559173</c:v>
                </c:pt>
                <c:pt idx="1477">
                  <c:v>78.216392942530391</c:v>
                </c:pt>
                <c:pt idx="1478">
                  <c:v>70.006105155042093</c:v>
                </c:pt>
                <c:pt idx="1479">
                  <c:v>56.401159295298775</c:v>
                </c:pt>
                <c:pt idx="1480">
                  <c:v>58.331504339060125</c:v>
                </c:pt>
                <c:pt idx="1481">
                  <c:v>60.355697504246116</c:v>
                </c:pt>
                <c:pt idx="1482">
                  <c:v>57.720225514807638</c:v>
                </c:pt>
                <c:pt idx="1483">
                  <c:v>64.048839820904831</c:v>
                </c:pt>
                <c:pt idx="1484">
                  <c:v>65.23596022139381</c:v>
                </c:pt>
                <c:pt idx="1485">
                  <c:v>62.65566992412645</c:v>
                </c:pt>
                <c:pt idx="1486">
                  <c:v>60.369891818019902</c:v>
                </c:pt>
                <c:pt idx="1487">
                  <c:v>55.812127102137246</c:v>
                </c:pt>
                <c:pt idx="1488">
                  <c:v>61.256963550183286</c:v>
                </c:pt>
                <c:pt idx="1489">
                  <c:v>68.240530286706502</c:v>
                </c:pt>
                <c:pt idx="1490">
                  <c:v>71.91344576158005</c:v>
                </c:pt>
                <c:pt idx="1491">
                  <c:v>75.864283332898836</c:v>
                </c:pt>
                <c:pt idx="1492">
                  <c:v>79.250359616726215</c:v>
                </c:pt>
                <c:pt idx="1493">
                  <c:v>81.920111279397418</c:v>
                </c:pt>
                <c:pt idx="1494">
                  <c:v>84.4229554403191</c:v>
                </c:pt>
                <c:pt idx="1495">
                  <c:v>84.644007764211409</c:v>
                </c:pt>
                <c:pt idx="1496">
                  <c:v>86.905157179393143</c:v>
                </c:pt>
                <c:pt idx="1497">
                  <c:v>87.329289730058917</c:v>
                </c:pt>
                <c:pt idx="1498">
                  <c:v>88.543527921524031</c:v>
                </c:pt>
                <c:pt idx="1499">
                  <c:v>90.088063695163328</c:v>
                </c:pt>
                <c:pt idx="1500">
                  <c:v>89.985137278668589</c:v>
                </c:pt>
                <c:pt idx="1501">
                  <c:v>92.224946056993218</c:v>
                </c:pt>
                <c:pt idx="1502">
                  <c:v>90.688750552870744</c:v>
                </c:pt>
                <c:pt idx="1503">
                  <c:v>90.695507935014177</c:v>
                </c:pt>
                <c:pt idx="1504">
                  <c:v>91.616710209053537</c:v>
                </c:pt>
                <c:pt idx="1505">
                  <c:v>92.054740545104366</c:v>
                </c:pt>
                <c:pt idx="1506">
                  <c:v>77.416270314741908</c:v>
                </c:pt>
                <c:pt idx="1507">
                  <c:v>80.022423437655291</c:v>
                </c:pt>
                <c:pt idx="1508">
                  <c:v>81.527402219194073</c:v>
                </c:pt>
                <c:pt idx="1509">
                  <c:v>84.30206348181008</c:v>
                </c:pt>
                <c:pt idx="1510">
                  <c:v>87.007088355565884</c:v>
                </c:pt>
                <c:pt idx="1511">
                  <c:v>87.520228671205572</c:v>
                </c:pt>
                <c:pt idx="1512">
                  <c:v>88.945057264973158</c:v>
                </c:pt>
                <c:pt idx="1513">
                  <c:v>90.569056711028352</c:v>
                </c:pt>
                <c:pt idx="1514">
                  <c:v>87.87674698260129</c:v>
                </c:pt>
                <c:pt idx="1515">
                  <c:v>76.744116780523456</c:v>
                </c:pt>
                <c:pt idx="1516">
                  <c:v>82.569881496758313</c:v>
                </c:pt>
                <c:pt idx="1517">
                  <c:v>85.083505529522213</c:v>
                </c:pt>
                <c:pt idx="1518">
                  <c:v>87.317586484173646</c:v>
                </c:pt>
                <c:pt idx="1519">
                  <c:v>87.398473443244455</c:v>
                </c:pt>
                <c:pt idx="1520">
                  <c:v>87.818116430755126</c:v>
                </c:pt>
                <c:pt idx="1521">
                  <c:v>88.418615751053025</c:v>
                </c:pt>
                <c:pt idx="1522">
                  <c:v>84.534016074678732</c:v>
                </c:pt>
                <c:pt idx="1523">
                  <c:v>85.819428258745944</c:v>
                </c:pt>
                <c:pt idx="1524">
                  <c:v>85.872810604782273</c:v>
                </c:pt>
                <c:pt idx="1525">
                  <c:v>88.673382606995119</c:v>
                </c:pt>
                <c:pt idx="1526">
                  <c:v>90.4635096344647</c:v>
                </c:pt>
                <c:pt idx="1527">
                  <c:v>91.434757947568784</c:v>
                </c:pt>
                <c:pt idx="1528">
                  <c:v>90.375422591045151</c:v>
                </c:pt>
                <c:pt idx="1529">
                  <c:v>90.366474227407977</c:v>
                </c:pt>
                <c:pt idx="1530">
                  <c:v>91.775234684873837</c:v>
                </c:pt>
                <c:pt idx="1531">
                  <c:v>72.386862452914613</c:v>
                </c:pt>
                <c:pt idx="1532">
                  <c:v>62.953786788487335</c:v>
                </c:pt>
                <c:pt idx="1533">
                  <c:v>64.059183212998278</c:v>
                </c:pt>
                <c:pt idx="1534">
                  <c:v>72.440442883531418</c:v>
                </c:pt>
                <c:pt idx="1535">
                  <c:v>74.998789930603181</c:v>
                </c:pt>
                <c:pt idx="1536">
                  <c:v>77.849111292571678</c:v>
                </c:pt>
                <c:pt idx="1537">
                  <c:v>77.494261062439406</c:v>
                </c:pt>
                <c:pt idx="1538">
                  <c:v>79.134896642288552</c:v>
                </c:pt>
                <c:pt idx="1539">
                  <c:v>81.351018269816507</c:v>
                </c:pt>
                <c:pt idx="1540">
                  <c:v>80.882346026392298</c:v>
                </c:pt>
                <c:pt idx="1541">
                  <c:v>79.144558589052664</c:v>
                </c:pt>
                <c:pt idx="1542">
                  <c:v>81.738380452450286</c:v>
                </c:pt>
                <c:pt idx="1543">
                  <c:v>72.810597681164069</c:v>
                </c:pt>
                <c:pt idx="1544">
                  <c:v>71.348589536703798</c:v>
                </c:pt>
                <c:pt idx="1545">
                  <c:v>68.463884915795603</c:v>
                </c:pt>
                <c:pt idx="1546">
                  <c:v>74.111716290843162</c:v>
                </c:pt>
                <c:pt idx="1547">
                  <c:v>76.026447583999982</c:v>
                </c:pt>
                <c:pt idx="1548">
                  <c:v>75.533076131788846</c:v>
                </c:pt>
                <c:pt idx="1549">
                  <c:v>69.741097237039</c:v>
                </c:pt>
                <c:pt idx="1550">
                  <c:v>72.982080073592158</c:v>
                </c:pt>
                <c:pt idx="1551">
                  <c:v>74.056448967405331</c:v>
                </c:pt>
                <c:pt idx="1552">
                  <c:v>67.576550291485944</c:v>
                </c:pt>
                <c:pt idx="1553">
                  <c:v>70.404373837601298</c:v>
                </c:pt>
                <c:pt idx="1554">
                  <c:v>71.093738837561631</c:v>
                </c:pt>
                <c:pt idx="1555">
                  <c:v>71.889573381251395</c:v>
                </c:pt>
                <c:pt idx="1556">
                  <c:v>69.029791958776599</c:v>
                </c:pt>
                <c:pt idx="1557">
                  <c:v>57.92496424137078</c:v>
                </c:pt>
                <c:pt idx="1558">
                  <c:v>56.407260114122657</c:v>
                </c:pt>
                <c:pt idx="1559">
                  <c:v>50.823829268438622</c:v>
                </c:pt>
                <c:pt idx="1560">
                  <c:v>51.341312125252898</c:v>
                </c:pt>
                <c:pt idx="1561">
                  <c:v>47.890968883290824</c:v>
                </c:pt>
                <c:pt idx="1562">
                  <c:v>37.112851010974097</c:v>
                </c:pt>
                <c:pt idx="1563">
                  <c:v>37.616004959018355</c:v>
                </c:pt>
                <c:pt idx="1564">
                  <c:v>46.857648854260049</c:v>
                </c:pt>
                <c:pt idx="1565">
                  <c:v>44.09213960506812</c:v>
                </c:pt>
                <c:pt idx="1566">
                  <c:v>41.254684349110256</c:v>
                </c:pt>
                <c:pt idx="1567">
                  <c:v>39.19710529358877</c:v>
                </c:pt>
                <c:pt idx="1568">
                  <c:v>30.693120909701193</c:v>
                </c:pt>
                <c:pt idx="1569">
                  <c:v>34.353968595066505</c:v>
                </c:pt>
                <c:pt idx="1570">
                  <c:v>40.023092299874655</c:v>
                </c:pt>
                <c:pt idx="1571">
                  <c:v>41.583663460487955</c:v>
                </c:pt>
                <c:pt idx="1572">
                  <c:v>41.226120025674582</c:v>
                </c:pt>
                <c:pt idx="1573">
                  <c:v>38.258467938933883</c:v>
                </c:pt>
                <c:pt idx="1574">
                  <c:v>44.082142885128739</c:v>
                </c:pt>
                <c:pt idx="1575">
                  <c:v>40.81501923773714</c:v>
                </c:pt>
                <c:pt idx="1576">
                  <c:v>38.420940798675325</c:v>
                </c:pt>
                <c:pt idx="1577">
                  <c:v>34.118997816151605</c:v>
                </c:pt>
                <c:pt idx="1578">
                  <c:v>28.334821608810032</c:v>
                </c:pt>
                <c:pt idx="1579">
                  <c:v>29.380920927454397</c:v>
                </c:pt>
                <c:pt idx="1580">
                  <c:v>27.242540404302815</c:v>
                </c:pt>
                <c:pt idx="1581">
                  <c:v>26.627706980412981</c:v>
                </c:pt>
                <c:pt idx="1582">
                  <c:v>33.417611114053187</c:v>
                </c:pt>
                <c:pt idx="1583">
                  <c:v>32.782511585391632</c:v>
                </c:pt>
                <c:pt idx="1584">
                  <c:v>32.575364721590958</c:v>
                </c:pt>
                <c:pt idx="1585">
                  <c:v>29.089849315332771</c:v>
                </c:pt>
                <c:pt idx="1586">
                  <c:v>30.399024555301153</c:v>
                </c:pt>
                <c:pt idx="1587">
                  <c:v>36.139221135879595</c:v>
                </c:pt>
                <c:pt idx="1588">
                  <c:v>41.626055841874901</c:v>
                </c:pt>
                <c:pt idx="1589">
                  <c:v>47.165091390648811</c:v>
                </c:pt>
                <c:pt idx="1590">
                  <c:v>47.631949353236401</c:v>
                </c:pt>
                <c:pt idx="1591">
                  <c:v>47.33332436657691</c:v>
                </c:pt>
                <c:pt idx="1592">
                  <c:v>50.644612370618326</c:v>
                </c:pt>
                <c:pt idx="1593">
                  <c:v>52.709677819141518</c:v>
                </c:pt>
                <c:pt idx="1594">
                  <c:v>53.912193965833318</c:v>
                </c:pt>
                <c:pt idx="1595">
                  <c:v>57.142065534668411</c:v>
                </c:pt>
                <c:pt idx="1596">
                  <c:v>61.984272149729676</c:v>
                </c:pt>
                <c:pt idx="1597">
                  <c:v>62.926782985411776</c:v>
                </c:pt>
                <c:pt idx="1598">
                  <c:v>60.05985681994418</c:v>
                </c:pt>
                <c:pt idx="1599">
                  <c:v>60.98632725350609</c:v>
                </c:pt>
                <c:pt idx="1600">
                  <c:v>56.393595721574783</c:v>
                </c:pt>
                <c:pt idx="1601">
                  <c:v>59.605342797460082</c:v>
                </c:pt>
                <c:pt idx="1602">
                  <c:v>55.643712782539446</c:v>
                </c:pt>
                <c:pt idx="1603">
                  <c:v>53.248676302183199</c:v>
                </c:pt>
                <c:pt idx="1604">
                  <c:v>56.660637348158346</c:v>
                </c:pt>
                <c:pt idx="1605">
                  <c:v>56.590947442129163</c:v>
                </c:pt>
                <c:pt idx="1606">
                  <c:v>62.327231031763596</c:v>
                </c:pt>
                <c:pt idx="1607">
                  <c:v>65.223203979649469</c:v>
                </c:pt>
                <c:pt idx="1608">
                  <c:v>62.19546825599906</c:v>
                </c:pt>
                <c:pt idx="1609">
                  <c:v>64.035812805424541</c:v>
                </c:pt>
                <c:pt idx="1610">
                  <c:v>63.175998156774284</c:v>
                </c:pt>
                <c:pt idx="1611">
                  <c:v>57.792672095245209</c:v>
                </c:pt>
                <c:pt idx="1612">
                  <c:v>59.482726885718542</c:v>
                </c:pt>
                <c:pt idx="1613">
                  <c:v>62.296551017088284</c:v>
                </c:pt>
                <c:pt idx="1614">
                  <c:v>64.510108747421299</c:v>
                </c:pt>
                <c:pt idx="1615">
                  <c:v>64.736522518411107</c:v>
                </c:pt>
                <c:pt idx="1616">
                  <c:v>64.932351696649846</c:v>
                </c:pt>
                <c:pt idx="1617">
                  <c:v>57.815834793327554</c:v>
                </c:pt>
                <c:pt idx="1618">
                  <c:v>63.566015874348828</c:v>
                </c:pt>
                <c:pt idx="1619">
                  <c:v>66.260070329926663</c:v>
                </c:pt>
                <c:pt idx="1620">
                  <c:v>67.979898794653963</c:v>
                </c:pt>
                <c:pt idx="1621">
                  <c:v>67.517168216080847</c:v>
                </c:pt>
                <c:pt idx="1622">
                  <c:v>69.362459761633914</c:v>
                </c:pt>
                <c:pt idx="1623">
                  <c:v>70.259936489347183</c:v>
                </c:pt>
                <c:pt idx="1624">
                  <c:v>67.20190758594444</c:v>
                </c:pt>
                <c:pt idx="1625">
                  <c:v>58.845530232514307</c:v>
                </c:pt>
                <c:pt idx="1626">
                  <c:v>59.876670813224607</c:v>
                </c:pt>
                <c:pt idx="1627">
                  <c:v>63.613631656609357</c:v>
                </c:pt>
                <c:pt idx="1628">
                  <c:v>67.337709005046804</c:v>
                </c:pt>
                <c:pt idx="1629">
                  <c:v>71.950428580587356</c:v>
                </c:pt>
                <c:pt idx="1630">
                  <c:v>74.128186839254681</c:v>
                </c:pt>
                <c:pt idx="1631">
                  <c:v>76.30684876900105</c:v>
                </c:pt>
                <c:pt idx="1632">
                  <c:v>76.890753725579714</c:v>
                </c:pt>
                <c:pt idx="1633">
                  <c:v>78.418181839635565</c:v>
                </c:pt>
                <c:pt idx="1634">
                  <c:v>69.363985421049762</c:v>
                </c:pt>
                <c:pt idx="1635">
                  <c:v>74.173712006181887</c:v>
                </c:pt>
                <c:pt idx="1636">
                  <c:v>77.378383990608739</c:v>
                </c:pt>
                <c:pt idx="1637">
                  <c:v>77.570837381267779</c:v>
                </c:pt>
                <c:pt idx="1638">
                  <c:v>78.0016850973754</c:v>
                </c:pt>
                <c:pt idx="1639">
                  <c:v>64.480571721028255</c:v>
                </c:pt>
                <c:pt idx="1640">
                  <c:v>68.287516562332257</c:v>
                </c:pt>
                <c:pt idx="1641">
                  <c:v>71.571885340110811</c:v>
                </c:pt>
                <c:pt idx="1642">
                  <c:v>59.644780187900849</c:v>
                </c:pt>
                <c:pt idx="1643">
                  <c:v>61.093957413432207</c:v>
                </c:pt>
                <c:pt idx="1644">
                  <c:v>49.054707808498542</c:v>
                </c:pt>
                <c:pt idx="1645">
                  <c:v>46.697992973841437</c:v>
                </c:pt>
                <c:pt idx="1646">
                  <c:v>43.153201142306877</c:v>
                </c:pt>
                <c:pt idx="1647">
                  <c:v>49.033220999563689</c:v>
                </c:pt>
                <c:pt idx="1648">
                  <c:v>52.285038058085085</c:v>
                </c:pt>
                <c:pt idx="1649">
                  <c:v>46.269326920569114</c:v>
                </c:pt>
                <c:pt idx="1650">
                  <c:v>39.621114391139294</c:v>
                </c:pt>
                <c:pt idx="1651">
                  <c:v>42.194116997387056</c:v>
                </c:pt>
                <c:pt idx="1652">
                  <c:v>37.584113827261397</c:v>
                </c:pt>
                <c:pt idx="1653">
                  <c:v>25.87480963100333</c:v>
                </c:pt>
                <c:pt idx="1654">
                  <c:v>23.186289990892263</c:v>
                </c:pt>
                <c:pt idx="1655">
                  <c:v>23.021681000392036</c:v>
                </c:pt>
                <c:pt idx="1656">
                  <c:v>22.643219756304021</c:v>
                </c:pt>
                <c:pt idx="1657">
                  <c:v>20.789149280062617</c:v>
                </c:pt>
                <c:pt idx="1658">
                  <c:v>19.42400273959413</c:v>
                </c:pt>
                <c:pt idx="1659">
                  <c:v>28.934009134339419</c:v>
                </c:pt>
                <c:pt idx="1660">
                  <c:v>33.939477978415951</c:v>
                </c:pt>
                <c:pt idx="1661">
                  <c:v>36.05881523937046</c:v>
                </c:pt>
                <c:pt idx="1662">
                  <c:v>36.950000557726746</c:v>
                </c:pt>
                <c:pt idx="1663">
                  <c:v>43.420831536177033</c:v>
                </c:pt>
                <c:pt idx="1664">
                  <c:v>46.221084446344314</c:v>
                </c:pt>
                <c:pt idx="1665">
                  <c:v>48.058514947092526</c:v>
                </c:pt>
                <c:pt idx="1666">
                  <c:v>49.69327008580332</c:v>
                </c:pt>
                <c:pt idx="1667">
                  <c:v>51.490511003365171</c:v>
                </c:pt>
                <c:pt idx="1668">
                  <c:v>52.570180243047609</c:v>
                </c:pt>
                <c:pt idx="1669">
                  <c:v>49.477778973630713</c:v>
                </c:pt>
                <c:pt idx="1670">
                  <c:v>54.718949419500703</c:v>
                </c:pt>
                <c:pt idx="1671">
                  <c:v>58.08936657557112</c:v>
                </c:pt>
                <c:pt idx="1672">
                  <c:v>51.499961410463584</c:v>
                </c:pt>
                <c:pt idx="1673">
                  <c:v>48.108446831220228</c:v>
                </c:pt>
                <c:pt idx="1674">
                  <c:v>47.818922413893517</c:v>
                </c:pt>
                <c:pt idx="1675">
                  <c:v>48.519956362526905</c:v>
                </c:pt>
                <c:pt idx="1676">
                  <c:v>51.766611143161001</c:v>
                </c:pt>
                <c:pt idx="1677">
                  <c:v>56.015786684326542</c:v>
                </c:pt>
                <c:pt idx="1678">
                  <c:v>58.203536317603636</c:v>
                </c:pt>
                <c:pt idx="1679">
                  <c:v>61.429340734829552</c:v>
                </c:pt>
                <c:pt idx="1680">
                  <c:v>64.289547781483137</c:v>
                </c:pt>
                <c:pt idx="1681">
                  <c:v>66.775581796379299</c:v>
                </c:pt>
                <c:pt idx="1682">
                  <c:v>64.680965800492103</c:v>
                </c:pt>
                <c:pt idx="1683">
                  <c:v>66.518636336084072</c:v>
                </c:pt>
                <c:pt idx="1684">
                  <c:v>66.984210393364634</c:v>
                </c:pt>
                <c:pt idx="1685">
                  <c:v>60.218242456878272</c:v>
                </c:pt>
                <c:pt idx="1686">
                  <c:v>63.192491643501874</c:v>
                </c:pt>
                <c:pt idx="1687">
                  <c:v>48.715928557451413</c:v>
                </c:pt>
                <c:pt idx="1688">
                  <c:v>47.753256706669042</c:v>
                </c:pt>
                <c:pt idx="1689">
                  <c:v>50.806881619327022</c:v>
                </c:pt>
                <c:pt idx="1690">
                  <c:v>52.527631247903379</c:v>
                </c:pt>
                <c:pt idx="1691">
                  <c:v>54.051185083846626</c:v>
                </c:pt>
                <c:pt idx="1692">
                  <c:v>58.867861926848754</c:v>
                </c:pt>
                <c:pt idx="1693">
                  <c:v>62.686620071530029</c:v>
                </c:pt>
                <c:pt idx="1694">
                  <c:v>65.153197753223878</c:v>
                </c:pt>
                <c:pt idx="1695">
                  <c:v>64.80046806854952</c:v>
                </c:pt>
                <c:pt idx="1696">
                  <c:v>59.248862674804748</c:v>
                </c:pt>
                <c:pt idx="1697">
                  <c:v>57.170971878611461</c:v>
                </c:pt>
                <c:pt idx="1698">
                  <c:v>60.235434332968957</c:v>
                </c:pt>
                <c:pt idx="1699">
                  <c:v>63.608873159613005</c:v>
                </c:pt>
                <c:pt idx="1700">
                  <c:v>66.417089533591806</c:v>
                </c:pt>
                <c:pt idx="1701">
                  <c:v>65.652680017393209</c:v>
                </c:pt>
                <c:pt idx="1702">
                  <c:v>59.90980951478744</c:v>
                </c:pt>
                <c:pt idx="1703">
                  <c:v>62.194167238244738</c:v>
                </c:pt>
                <c:pt idx="1704">
                  <c:v>66.494880454721311</c:v>
                </c:pt>
                <c:pt idx="1705">
                  <c:v>68.606802297261268</c:v>
                </c:pt>
                <c:pt idx="1706">
                  <c:v>70.984420294764632</c:v>
                </c:pt>
                <c:pt idx="1707">
                  <c:v>72.155903137371325</c:v>
                </c:pt>
                <c:pt idx="1708">
                  <c:v>75.814949194496634</c:v>
                </c:pt>
                <c:pt idx="1709">
                  <c:v>72.680422123345281</c:v>
                </c:pt>
                <c:pt idx="1710">
                  <c:v>75.286889564109146</c:v>
                </c:pt>
                <c:pt idx="1711">
                  <c:v>75.358415438742441</c:v>
                </c:pt>
                <c:pt idx="1712">
                  <c:v>76.254940564127025</c:v>
                </c:pt>
                <c:pt idx="1713">
                  <c:v>77.919385262727673</c:v>
                </c:pt>
                <c:pt idx="1714">
                  <c:v>80.730766746349985</c:v>
                </c:pt>
                <c:pt idx="1715">
                  <c:v>81.68905164393324</c:v>
                </c:pt>
                <c:pt idx="1716">
                  <c:v>82.260505339746871</c:v>
                </c:pt>
                <c:pt idx="1717">
                  <c:v>81.263937515252294</c:v>
                </c:pt>
                <c:pt idx="1718">
                  <c:v>83.181073548756387</c:v>
                </c:pt>
                <c:pt idx="1719">
                  <c:v>83.210528744078104</c:v>
                </c:pt>
                <c:pt idx="1720">
                  <c:v>84.235490188340677</c:v>
                </c:pt>
                <c:pt idx="1721">
                  <c:v>86.264545763633464</c:v>
                </c:pt>
                <c:pt idx="1722">
                  <c:v>87.077346387794861</c:v>
                </c:pt>
                <c:pt idx="1723">
                  <c:v>84.676944977729676</c:v>
                </c:pt>
                <c:pt idx="1724">
                  <c:v>85.829531367936809</c:v>
                </c:pt>
                <c:pt idx="1725">
                  <c:v>75.091557011711075</c:v>
                </c:pt>
                <c:pt idx="1726">
                  <c:v>80.205321969934573</c:v>
                </c:pt>
                <c:pt idx="1727">
                  <c:v>80.593208429301569</c:v>
                </c:pt>
                <c:pt idx="1728">
                  <c:v>76.264431158760203</c:v>
                </c:pt>
                <c:pt idx="1729">
                  <c:v>78.803091008120461</c:v>
                </c:pt>
                <c:pt idx="1730">
                  <c:v>78.433493693070588</c:v>
                </c:pt>
                <c:pt idx="1731">
                  <c:v>79.142343844932469</c:v>
                </c:pt>
                <c:pt idx="1732">
                  <c:v>79.957224635608071</c:v>
                </c:pt>
                <c:pt idx="1733">
                  <c:v>77.540945998862739</c:v>
                </c:pt>
                <c:pt idx="1734">
                  <c:v>76.527021767936589</c:v>
                </c:pt>
                <c:pt idx="1735">
                  <c:v>66.638390520873173</c:v>
                </c:pt>
                <c:pt idx="1736">
                  <c:v>53.534471963123906</c:v>
                </c:pt>
                <c:pt idx="1737">
                  <c:v>60.567609276034077</c:v>
                </c:pt>
                <c:pt idx="1738">
                  <c:v>64.575887466389361</c:v>
                </c:pt>
                <c:pt idx="1739">
                  <c:v>61.380603356246034</c:v>
                </c:pt>
                <c:pt idx="1740">
                  <c:v>48.254498825017471</c:v>
                </c:pt>
                <c:pt idx="1741">
                  <c:v>47.118745158159356</c:v>
                </c:pt>
                <c:pt idx="1742">
                  <c:v>56.299701643807502</c:v>
                </c:pt>
                <c:pt idx="1743">
                  <c:v>59.732589258406442</c:v>
                </c:pt>
                <c:pt idx="1744">
                  <c:v>58.805209947031003</c:v>
                </c:pt>
                <c:pt idx="1745">
                  <c:v>60.032018525867379</c:v>
                </c:pt>
                <c:pt idx="1746">
                  <c:v>64.111924870906421</c:v>
                </c:pt>
                <c:pt idx="1747">
                  <c:v>65.401963004833476</c:v>
                </c:pt>
                <c:pt idx="1748">
                  <c:v>63.91408081891953</c:v>
                </c:pt>
                <c:pt idx="1749">
                  <c:v>62.227408382806125</c:v>
                </c:pt>
                <c:pt idx="1750">
                  <c:v>63.769442026448125</c:v>
                </c:pt>
                <c:pt idx="1751">
                  <c:v>68.857259427783362</c:v>
                </c:pt>
                <c:pt idx="1752">
                  <c:v>70.418435101141611</c:v>
                </c:pt>
                <c:pt idx="1753">
                  <c:v>73.200778095403209</c:v>
                </c:pt>
                <c:pt idx="1754">
                  <c:v>74.912651750656238</c:v>
                </c:pt>
                <c:pt idx="1755">
                  <c:v>73.878584780334322</c:v>
                </c:pt>
                <c:pt idx="1756">
                  <c:v>75.617959197851263</c:v>
                </c:pt>
                <c:pt idx="1757">
                  <c:v>77.358702398791706</c:v>
                </c:pt>
                <c:pt idx="1758">
                  <c:v>78.229838363022722</c:v>
                </c:pt>
                <c:pt idx="1759">
                  <c:v>78.324519146905345</c:v>
                </c:pt>
                <c:pt idx="1760">
                  <c:v>79.94688638670948</c:v>
                </c:pt>
                <c:pt idx="1761">
                  <c:v>82.428428901770758</c:v>
                </c:pt>
                <c:pt idx="1762">
                  <c:v>83.670198089217379</c:v>
                </c:pt>
                <c:pt idx="1763">
                  <c:v>85.76345907308864</c:v>
                </c:pt>
                <c:pt idx="1764">
                  <c:v>88.563797953353699</c:v>
                </c:pt>
                <c:pt idx="1765">
                  <c:v>77.489771772223506</c:v>
                </c:pt>
                <c:pt idx="1766">
                  <c:v>77.196241835422143</c:v>
                </c:pt>
                <c:pt idx="1767">
                  <c:v>69.962101688630781</c:v>
                </c:pt>
                <c:pt idx="1768">
                  <c:v>72.818455427688946</c:v>
                </c:pt>
                <c:pt idx="1769">
                  <c:v>73.384488183863411</c:v>
                </c:pt>
                <c:pt idx="1770">
                  <c:v>77.205529500052094</c:v>
                </c:pt>
                <c:pt idx="1771">
                  <c:v>79.909178855991868</c:v>
                </c:pt>
                <c:pt idx="1772">
                  <c:v>80.277472034962557</c:v>
                </c:pt>
                <c:pt idx="1773">
                  <c:v>60.796580142293671</c:v>
                </c:pt>
                <c:pt idx="1774">
                  <c:v>63.105500071869514</c:v>
                </c:pt>
                <c:pt idx="1775">
                  <c:v>47.385023365349696</c:v>
                </c:pt>
                <c:pt idx="1776">
                  <c:v>56.476848074904574</c:v>
                </c:pt>
                <c:pt idx="1777">
                  <c:v>59.545044108765808</c:v>
                </c:pt>
                <c:pt idx="1778">
                  <c:v>61.366012969435367</c:v>
                </c:pt>
                <c:pt idx="1779">
                  <c:v>65.138878962853624</c:v>
                </c:pt>
                <c:pt idx="1780">
                  <c:v>55.067943741861797</c:v>
                </c:pt>
                <c:pt idx="1781">
                  <c:v>61.365478025305428</c:v>
                </c:pt>
                <c:pt idx="1782">
                  <c:v>62.517272662547313</c:v>
                </c:pt>
                <c:pt idx="1783">
                  <c:v>59.835152631150919</c:v>
                </c:pt>
                <c:pt idx="1784">
                  <c:v>61.49411071414886</c:v>
                </c:pt>
                <c:pt idx="1785">
                  <c:v>63.460148670390573</c:v>
                </c:pt>
                <c:pt idx="1786">
                  <c:v>66.584471324532416</c:v>
                </c:pt>
                <c:pt idx="1787">
                  <c:v>69.058406231274276</c:v>
                </c:pt>
                <c:pt idx="1788">
                  <c:v>68.737389949547804</c:v>
                </c:pt>
                <c:pt idx="1789">
                  <c:v>54.631451584016837</c:v>
                </c:pt>
                <c:pt idx="1790">
                  <c:v>41.98865814687737</c:v>
                </c:pt>
                <c:pt idx="1791">
                  <c:v>52.490395044983572</c:v>
                </c:pt>
                <c:pt idx="1792">
                  <c:v>55.945344607383952</c:v>
                </c:pt>
                <c:pt idx="1793">
                  <c:v>57.362731163782968</c:v>
                </c:pt>
                <c:pt idx="1794">
                  <c:v>61.439831113981455</c:v>
                </c:pt>
                <c:pt idx="1795">
                  <c:v>66.120568747997652</c:v>
                </c:pt>
                <c:pt idx="1796">
                  <c:v>61.318195378590261</c:v>
                </c:pt>
                <c:pt idx="1797">
                  <c:v>58.231933531303277</c:v>
                </c:pt>
                <c:pt idx="1798">
                  <c:v>65.334172486017351</c:v>
                </c:pt>
                <c:pt idx="1799">
                  <c:v>67.602180359077266</c:v>
                </c:pt>
                <c:pt idx="1800">
                  <c:v>66.151973891299377</c:v>
                </c:pt>
                <c:pt idx="1801">
                  <c:v>67.871560967509026</c:v>
                </c:pt>
                <c:pt idx="1802">
                  <c:v>70.559784272226238</c:v>
                </c:pt>
                <c:pt idx="1803">
                  <c:v>73.620715305855214</c:v>
                </c:pt>
                <c:pt idx="1804">
                  <c:v>73.942068793481695</c:v>
                </c:pt>
                <c:pt idx="1805">
                  <c:v>75.263226609688445</c:v>
                </c:pt>
                <c:pt idx="1806">
                  <c:v>76.600635858180652</c:v>
                </c:pt>
                <c:pt idx="1807">
                  <c:v>78.251147919328503</c:v>
                </c:pt>
                <c:pt idx="1808">
                  <c:v>69.355750263672888</c:v>
                </c:pt>
                <c:pt idx="1809">
                  <c:v>73.796711574534413</c:v>
                </c:pt>
                <c:pt idx="1810">
                  <c:v>72.341841578429566</c:v>
                </c:pt>
                <c:pt idx="1811">
                  <c:v>75.086836224201065</c:v>
                </c:pt>
                <c:pt idx="1812">
                  <c:v>66.185537944833186</c:v>
                </c:pt>
                <c:pt idx="1813">
                  <c:v>61.728171925139762</c:v>
                </c:pt>
                <c:pt idx="1814">
                  <c:v>64.567376601207087</c:v>
                </c:pt>
                <c:pt idx="1815">
                  <c:v>53.660170171952785</c:v>
                </c:pt>
                <c:pt idx="1816">
                  <c:v>53.6648240183358</c:v>
                </c:pt>
                <c:pt idx="1817">
                  <c:v>45.848750517091872</c:v>
                </c:pt>
                <c:pt idx="1818">
                  <c:v>53.15669741142235</c:v>
                </c:pt>
                <c:pt idx="1819">
                  <c:v>49.500477359098653</c:v>
                </c:pt>
                <c:pt idx="1820">
                  <c:v>42.81714631103204</c:v>
                </c:pt>
                <c:pt idx="1821">
                  <c:v>48.609919744408423</c:v>
                </c:pt>
                <c:pt idx="1822">
                  <c:v>52.385365111884447</c:v>
                </c:pt>
                <c:pt idx="1823">
                  <c:v>47.995482301482909</c:v>
                </c:pt>
                <c:pt idx="1824">
                  <c:v>52.2425272050967</c:v>
                </c:pt>
                <c:pt idx="1825">
                  <c:v>50.258032001923915</c:v>
                </c:pt>
                <c:pt idx="1826">
                  <c:v>49.245368320545673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B1-495A-B232-D82EA10D2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015423"/>
        <c:axId val="1414619807"/>
      </c:lineChart>
      <c:catAx>
        <c:axId val="46401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619807"/>
        <c:crosses val="autoZero"/>
        <c:auto val="1"/>
        <c:lblAlgn val="ctr"/>
        <c:lblOffset val="100"/>
        <c:noMultiLvlLbl val="0"/>
      </c:catAx>
      <c:valAx>
        <c:axId val="1414619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1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409575</xdr:colOff>
      <xdr:row>2</xdr:row>
      <xdr:rowOff>147637</xdr:rowOff>
    </xdr:from>
    <xdr:to>
      <xdr:col>25</xdr:col>
      <xdr:colOff>257175</xdr:colOff>
      <xdr:row>16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0.45035</cdr:x>
      <cdr:y>0.28993</cdr:y>
    </cdr:from>
    <cdr:to>
      <cdr:x>0.58968</cdr:x>
      <cdr:y>0.37674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3860" y="795338"/>
          <a:ext cx="83344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CA" sz="1200"/>
            <a:t>Buy Signal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123824</xdr:rowOff>
    </xdr:from>
    <xdr:to>
      <xdr:col>27</xdr:col>
      <xdr:colOff>581025</xdr:colOff>
      <xdr:row>16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AC9B6F-B7ED-43AF-8A9D-88B4090B6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831"/>
  <sheetViews>
    <sheetView showGridLines="0" showZeros="0" zoomScaleNormal="100" workbookViewId="0">
      <selection activeCell="A4" sqref="A4"/>
    </sheetView>
  </sheetViews>
  <sheetFormatPr defaultColWidth="8.85546875" defaultRowHeight="15.75" customHeight="1"/>
  <cols>
    <col min="1" max="1" width="12.140625" style="2" customWidth="1"/>
    <col min="2" max="2" width="9.85546875" style="4" bestFit="1" customWidth="1"/>
    <col min="3" max="3" width="11" style="4" customWidth="1"/>
    <col min="4" max="5" width="8.5703125" style="5" customWidth="1"/>
    <col min="6" max="6" width="10.28515625" style="4" customWidth="1"/>
    <col min="7" max="7" width="10" style="4" customWidth="1"/>
    <col min="8" max="8" width="8.5703125" style="4" customWidth="1"/>
    <col min="9" max="9" width="12.85546875" style="4" customWidth="1"/>
    <col min="10" max="17" width="8.85546875" style="2"/>
    <col min="18" max="18" width="11.42578125" style="2" customWidth="1"/>
    <col min="19" max="16384" width="8.85546875" style="2"/>
  </cols>
  <sheetData>
    <row r="1" spans="1:19" ht="32.25" customHeight="1">
      <c r="A1" s="6" t="s">
        <v>9</v>
      </c>
    </row>
    <row r="2" spans="1:19" ht="15.75" customHeight="1">
      <c r="A2" s="11" t="s">
        <v>8</v>
      </c>
    </row>
    <row r="3" spans="1:19" ht="15.75" customHeight="1" thickBot="1">
      <c r="A3" s="11"/>
    </row>
    <row r="4" spans="1:19" s="1" customFormat="1" ht="15.75" customHeight="1" thickBot="1">
      <c r="A4" s="8" t="s">
        <v>4</v>
      </c>
      <c r="B4" s="9" t="s">
        <v>7</v>
      </c>
      <c r="C4" s="9" t="s">
        <v>3</v>
      </c>
      <c r="D4" s="9" t="s">
        <v>0</v>
      </c>
      <c r="E4" s="9" t="s">
        <v>1</v>
      </c>
      <c r="F4" s="9" t="s">
        <v>5</v>
      </c>
      <c r="G4" s="9" t="s">
        <v>6</v>
      </c>
      <c r="H4" s="9" t="s">
        <v>2</v>
      </c>
      <c r="I4" s="10" t="s">
        <v>10</v>
      </c>
    </row>
    <row r="5" spans="1:19" ht="15.75" customHeight="1">
      <c r="A5" s="14" t="s">
        <v>11</v>
      </c>
      <c r="B5">
        <v>4.4400000000000004</v>
      </c>
      <c r="C5" s="3"/>
      <c r="D5" s="3"/>
      <c r="E5" s="3"/>
      <c r="F5" s="3"/>
      <c r="G5" s="3"/>
      <c r="H5" s="3"/>
      <c r="I5" s="3"/>
    </row>
    <row r="6" spans="1:19" ht="15.75" customHeight="1">
      <c r="A6" s="14" t="s">
        <v>12</v>
      </c>
      <c r="B6">
        <v>4.5</v>
      </c>
      <c r="C6" s="3">
        <f t="shared" ref="C6:C37" si="0">B6-B5</f>
        <v>5.9999999999999609E-2</v>
      </c>
      <c r="D6" s="3">
        <f t="shared" ref="D6:D37" si="1">IF(C6&gt;0,C6,0)</f>
        <v>5.9999999999999609E-2</v>
      </c>
      <c r="E6" s="3">
        <f t="shared" ref="E6:E19" si="2">IF(C6&lt;0,-C6,0)</f>
        <v>0</v>
      </c>
      <c r="F6" s="3"/>
      <c r="G6" s="3"/>
      <c r="H6" s="3"/>
      <c r="I6" s="3"/>
      <c r="R6" s="12"/>
      <c r="S6" s="12"/>
    </row>
    <row r="7" spans="1:19" ht="15.75" customHeight="1">
      <c r="A7" s="14" t="s">
        <v>13</v>
      </c>
      <c r="B7">
        <v>4.6100000000000003</v>
      </c>
      <c r="C7" s="3">
        <f t="shared" si="0"/>
        <v>0.11000000000000032</v>
      </c>
      <c r="D7" s="3">
        <f t="shared" si="1"/>
        <v>0.11000000000000032</v>
      </c>
      <c r="E7" s="3">
        <f t="shared" si="2"/>
        <v>0</v>
      </c>
      <c r="F7" s="3"/>
      <c r="G7" s="3"/>
      <c r="H7" s="3"/>
      <c r="I7" s="3"/>
      <c r="R7" s="13"/>
      <c r="S7" s="12"/>
    </row>
    <row r="8" spans="1:19" ht="15.75" customHeight="1">
      <c r="A8" s="14" t="s">
        <v>14</v>
      </c>
      <c r="B8">
        <v>4.74</v>
      </c>
      <c r="C8" s="3">
        <f t="shared" si="0"/>
        <v>0.12999999999999989</v>
      </c>
      <c r="D8" s="3">
        <f t="shared" si="1"/>
        <v>0.12999999999999989</v>
      </c>
      <c r="E8" s="3">
        <f t="shared" si="2"/>
        <v>0</v>
      </c>
      <c r="F8" s="3"/>
      <c r="G8" s="3"/>
      <c r="H8" s="3"/>
      <c r="I8" s="3"/>
      <c r="R8" s="13"/>
      <c r="S8" s="12"/>
    </row>
    <row r="9" spans="1:19" ht="15.75" customHeight="1">
      <c r="A9" s="14" t="s">
        <v>15</v>
      </c>
      <c r="B9">
        <v>4.8600000000000003</v>
      </c>
      <c r="C9" s="3">
        <f t="shared" si="0"/>
        <v>0.12000000000000011</v>
      </c>
      <c r="D9" s="3">
        <f t="shared" si="1"/>
        <v>0.12000000000000011</v>
      </c>
      <c r="E9" s="3">
        <f t="shared" si="2"/>
        <v>0</v>
      </c>
      <c r="F9" s="3"/>
      <c r="G9" s="3"/>
      <c r="H9" s="3"/>
      <c r="I9" s="3"/>
      <c r="R9" s="13"/>
      <c r="S9" s="12"/>
    </row>
    <row r="10" spans="1:19" ht="15.75" customHeight="1">
      <c r="A10" s="14" t="s">
        <v>16</v>
      </c>
      <c r="B10">
        <v>4.82</v>
      </c>
      <c r="C10" s="3">
        <f t="shared" si="0"/>
        <v>-4.0000000000000036E-2</v>
      </c>
      <c r="D10" s="3">
        <f t="shared" si="1"/>
        <v>0</v>
      </c>
      <c r="E10" s="3">
        <f t="shared" si="2"/>
        <v>4.0000000000000036E-2</v>
      </c>
      <c r="F10" s="3"/>
      <c r="G10" s="3"/>
      <c r="H10" s="3"/>
      <c r="I10" s="3"/>
      <c r="R10" s="13"/>
      <c r="S10" s="12"/>
    </row>
    <row r="11" spans="1:19" ht="15.75" customHeight="1">
      <c r="A11" s="14" t="s">
        <v>17</v>
      </c>
      <c r="B11">
        <v>4.7300000000000004</v>
      </c>
      <c r="C11" s="3">
        <f t="shared" si="0"/>
        <v>-8.9999999999999858E-2</v>
      </c>
      <c r="D11" s="3">
        <f t="shared" si="1"/>
        <v>0</v>
      </c>
      <c r="E11" s="3">
        <f t="shared" si="2"/>
        <v>8.9999999999999858E-2</v>
      </c>
      <c r="F11" s="3"/>
      <c r="G11" s="3"/>
      <c r="H11" s="3"/>
      <c r="I11" s="3"/>
      <c r="R11" s="13"/>
      <c r="S11" s="12"/>
    </row>
    <row r="12" spans="1:19" ht="15.75" customHeight="1">
      <c r="A12" s="14" t="s">
        <v>18</v>
      </c>
      <c r="B12">
        <v>4.79</v>
      </c>
      <c r="C12" s="3">
        <f t="shared" si="0"/>
        <v>5.9999999999999609E-2</v>
      </c>
      <c r="D12" s="3">
        <f t="shared" si="1"/>
        <v>5.9999999999999609E-2</v>
      </c>
      <c r="E12" s="3">
        <f t="shared" si="2"/>
        <v>0</v>
      </c>
      <c r="F12" s="3"/>
      <c r="G12" s="3"/>
      <c r="H12" s="3"/>
      <c r="I12" s="3"/>
      <c r="R12" s="13"/>
      <c r="S12" s="12"/>
    </row>
    <row r="13" spans="1:19" ht="15.75" customHeight="1">
      <c r="A13" s="14" t="s">
        <v>19</v>
      </c>
      <c r="B13">
        <v>4.84</v>
      </c>
      <c r="C13" s="3">
        <f t="shared" si="0"/>
        <v>4.9999999999999822E-2</v>
      </c>
      <c r="D13" s="3">
        <f t="shared" si="1"/>
        <v>4.9999999999999822E-2</v>
      </c>
      <c r="E13" s="3">
        <f t="shared" si="2"/>
        <v>0</v>
      </c>
      <c r="F13" s="3"/>
      <c r="G13" s="3"/>
      <c r="H13" s="3"/>
      <c r="I13" s="3"/>
      <c r="R13" s="13"/>
      <c r="S13" s="12"/>
    </row>
    <row r="14" spans="1:19" ht="15.75" customHeight="1">
      <c r="A14" s="14" t="s">
        <v>20</v>
      </c>
      <c r="B14">
        <v>4.59</v>
      </c>
      <c r="C14" s="3">
        <f t="shared" si="0"/>
        <v>-0.25</v>
      </c>
      <c r="D14" s="3">
        <f t="shared" si="1"/>
        <v>0</v>
      </c>
      <c r="E14" s="3">
        <f t="shared" si="2"/>
        <v>0.25</v>
      </c>
      <c r="F14" s="3"/>
      <c r="G14" s="3"/>
      <c r="H14" s="3"/>
      <c r="I14" s="3"/>
      <c r="R14" s="13"/>
      <c r="S14" s="12"/>
    </row>
    <row r="15" spans="1:19" ht="15.75" customHeight="1">
      <c r="A15" s="14" t="s">
        <v>21</v>
      </c>
      <c r="B15">
        <v>4.6399999999999997</v>
      </c>
      <c r="C15" s="3">
        <f t="shared" si="0"/>
        <v>4.9999999999999822E-2</v>
      </c>
      <c r="D15" s="3">
        <f t="shared" si="1"/>
        <v>4.9999999999999822E-2</v>
      </c>
      <c r="E15" s="3">
        <f t="shared" si="2"/>
        <v>0</v>
      </c>
      <c r="F15" s="3"/>
      <c r="G15" s="3"/>
      <c r="H15" s="3"/>
      <c r="I15" s="3"/>
      <c r="R15" s="13"/>
      <c r="S15" s="12"/>
    </row>
    <row r="16" spans="1:19" ht="15.75" customHeight="1">
      <c r="A16" s="14" t="s">
        <v>22</v>
      </c>
      <c r="B16">
        <v>4.74</v>
      </c>
      <c r="C16" s="3">
        <f t="shared" si="0"/>
        <v>0.10000000000000053</v>
      </c>
      <c r="D16" s="3">
        <f t="shared" si="1"/>
        <v>0.10000000000000053</v>
      </c>
      <c r="E16" s="3">
        <f t="shared" si="2"/>
        <v>0</v>
      </c>
      <c r="F16" s="3"/>
      <c r="G16" s="3"/>
      <c r="H16" s="3"/>
      <c r="I16" s="3"/>
      <c r="R16" s="13"/>
      <c r="S16" s="12"/>
    </row>
    <row r="17" spans="1:19" ht="15.75" customHeight="1">
      <c r="A17" s="14" t="s">
        <v>23</v>
      </c>
      <c r="B17">
        <v>4.8600000000000003</v>
      </c>
      <c r="C17" s="3">
        <f t="shared" si="0"/>
        <v>0.12000000000000011</v>
      </c>
      <c r="D17" s="3">
        <f t="shared" si="1"/>
        <v>0.12000000000000011</v>
      </c>
      <c r="E17" s="3">
        <f t="shared" si="2"/>
        <v>0</v>
      </c>
      <c r="F17" s="3"/>
      <c r="G17" s="3"/>
      <c r="H17" s="3"/>
      <c r="I17" s="3"/>
      <c r="R17" s="13"/>
      <c r="S17" s="12"/>
    </row>
    <row r="18" spans="1:19" ht="15.75" customHeight="1">
      <c r="A18" s="14" t="s">
        <v>24</v>
      </c>
      <c r="B18">
        <v>4.88</v>
      </c>
      <c r="C18" s="3">
        <f t="shared" si="0"/>
        <v>1.9999999999999574E-2</v>
      </c>
      <c r="D18" s="3">
        <f t="shared" si="1"/>
        <v>1.9999999999999574E-2</v>
      </c>
      <c r="E18" s="3">
        <f t="shared" si="2"/>
        <v>0</v>
      </c>
      <c r="F18" s="3"/>
      <c r="G18" s="3"/>
      <c r="H18" s="3"/>
      <c r="I18" s="3"/>
      <c r="R18" s="13"/>
      <c r="S18" s="12"/>
    </row>
    <row r="19" spans="1:19" ht="15.75" customHeight="1">
      <c r="A19" s="14" t="s">
        <v>25</v>
      </c>
      <c r="B19">
        <v>5.04</v>
      </c>
      <c r="C19" s="3">
        <f t="shared" si="0"/>
        <v>0.16000000000000014</v>
      </c>
      <c r="D19" s="3">
        <f t="shared" si="1"/>
        <v>0.16000000000000014</v>
      </c>
      <c r="E19" s="3">
        <f t="shared" si="2"/>
        <v>0</v>
      </c>
      <c r="F19" s="3">
        <f>(SUM(D6:D19)/14)</f>
        <v>6.9999999999999965E-2</v>
      </c>
      <c r="G19" s="3">
        <f>SUM(E6:E19)/14</f>
        <v>2.7142857142857135E-2</v>
      </c>
      <c r="H19" s="3">
        <f>F19/G19</f>
        <v>2.5789473684210522</v>
      </c>
      <c r="I19" s="3">
        <f>IF(G19=0,100,100-(100/(1+H19)))</f>
        <v>72.058823529411768</v>
      </c>
      <c r="J19" s="7"/>
      <c r="R19" s="13"/>
      <c r="S19" s="12"/>
    </row>
    <row r="20" spans="1:19" ht="15.75" customHeight="1">
      <c r="A20" s="14" t="s">
        <v>26</v>
      </c>
      <c r="B20">
        <v>5.18</v>
      </c>
      <c r="C20" s="3">
        <f t="shared" si="0"/>
        <v>0.13999999999999968</v>
      </c>
      <c r="D20" s="3">
        <f t="shared" si="1"/>
        <v>0.13999999999999968</v>
      </c>
      <c r="E20" s="3">
        <f t="shared" ref="E20:E26" si="3">IF(C20&lt;0,-C20,0)</f>
        <v>0</v>
      </c>
      <c r="F20" s="3">
        <f>((F19*13)+D20)/14</f>
        <v>7.4999999999999956E-2</v>
      </c>
      <c r="G20" s="3">
        <f>((G19*13)+E20)/14</f>
        <v>2.5204081632653055E-2</v>
      </c>
      <c r="H20" s="3">
        <f t="shared" ref="H20:H26" si="4">F20/G20</f>
        <v>2.9757085020242906</v>
      </c>
      <c r="I20" s="3">
        <f t="shared" ref="I20:I26" si="5">IF(G20=0,100,100-(100/(1+H20)))</f>
        <v>74.847250509164965</v>
      </c>
      <c r="J20" s="7"/>
      <c r="R20" s="13"/>
      <c r="S20" s="12"/>
    </row>
    <row r="21" spans="1:19" ht="15.75" customHeight="1">
      <c r="A21" s="14" t="s">
        <v>27</v>
      </c>
      <c r="B21">
        <v>5.18</v>
      </c>
      <c r="C21" s="3">
        <f t="shared" si="0"/>
        <v>0</v>
      </c>
      <c r="D21" s="3">
        <f t="shared" si="1"/>
        <v>0</v>
      </c>
      <c r="E21" s="3">
        <f t="shared" si="3"/>
        <v>0</v>
      </c>
      <c r="F21" s="3">
        <f t="shared" ref="F21:F30" si="6">((F20*13)+D21)/14</f>
        <v>6.9642857142857104E-2</v>
      </c>
      <c r="G21" s="3">
        <f t="shared" ref="G21:G30" si="7">((G20*13)+E21)/14</f>
        <v>2.3403790087463551E-2</v>
      </c>
      <c r="H21" s="3">
        <f t="shared" si="4"/>
        <v>2.9757085020242906</v>
      </c>
      <c r="I21" s="3">
        <f t="shared" si="5"/>
        <v>74.847250509164965</v>
      </c>
      <c r="J21" s="7"/>
      <c r="R21" s="13"/>
      <c r="S21" s="12"/>
    </row>
    <row r="22" spans="1:19" ht="15.75" customHeight="1">
      <c r="A22" s="14" t="s">
        <v>28</v>
      </c>
      <c r="B22">
        <v>5.13</v>
      </c>
      <c r="C22" s="3">
        <f t="shared" si="0"/>
        <v>-4.9999999999999822E-2</v>
      </c>
      <c r="D22" s="3">
        <f t="shared" si="1"/>
        <v>0</v>
      </c>
      <c r="E22" s="3">
        <f t="shared" si="3"/>
        <v>4.9999999999999822E-2</v>
      </c>
      <c r="F22" s="3">
        <f t="shared" si="6"/>
        <v>6.4668367346938732E-2</v>
      </c>
      <c r="G22" s="3">
        <f t="shared" si="7"/>
        <v>2.5303519366930427E-2</v>
      </c>
      <c r="H22" s="3">
        <f t="shared" si="4"/>
        <v>2.5557064378742056</v>
      </c>
      <c r="I22" s="3">
        <f t="shared" si="5"/>
        <v>71.876193452070964</v>
      </c>
      <c r="J22" s="7"/>
      <c r="R22" s="13"/>
      <c r="S22" s="12"/>
    </row>
    <row r="23" spans="1:19" ht="15.75" customHeight="1">
      <c r="A23" s="14" t="s">
        <v>29</v>
      </c>
      <c r="B23">
        <v>5.0999999999999996</v>
      </c>
      <c r="C23" s="3">
        <f t="shared" si="0"/>
        <v>-3.0000000000000249E-2</v>
      </c>
      <c r="D23" s="3">
        <f t="shared" si="1"/>
        <v>0</v>
      </c>
      <c r="E23" s="3">
        <f t="shared" si="3"/>
        <v>3.0000000000000249E-2</v>
      </c>
      <c r="F23" s="3">
        <f t="shared" si="6"/>
        <v>6.0049198250728818E-2</v>
      </c>
      <c r="G23" s="3">
        <f t="shared" si="7"/>
        <v>2.5638982269292558E-2</v>
      </c>
      <c r="H23" s="3">
        <f t="shared" si="4"/>
        <v>2.3421053776634841</v>
      </c>
      <c r="I23" s="3">
        <f t="shared" si="5"/>
        <v>70.078741182627965</v>
      </c>
      <c r="J23" s="7"/>
      <c r="R23" s="13"/>
      <c r="S23" s="12"/>
    </row>
    <row r="24" spans="1:19" ht="15.75" customHeight="1">
      <c r="A24" s="14" t="s">
        <v>30</v>
      </c>
      <c r="B24">
        <v>5.04</v>
      </c>
      <c r="C24" s="3">
        <f t="shared" si="0"/>
        <v>-5.9999999999999609E-2</v>
      </c>
      <c r="D24" s="3">
        <f t="shared" si="1"/>
        <v>0</v>
      </c>
      <c r="E24" s="3">
        <f t="shared" si="3"/>
        <v>5.9999999999999609E-2</v>
      </c>
      <c r="F24" s="3">
        <f t="shared" si="6"/>
        <v>5.5759969804248188E-2</v>
      </c>
      <c r="G24" s="3">
        <f t="shared" si="7"/>
        <v>2.8093340678628776E-2</v>
      </c>
      <c r="H24" s="3">
        <f t="shared" si="4"/>
        <v>1.9848109358765591</v>
      </c>
      <c r="I24" s="3">
        <f t="shared" si="5"/>
        <v>66.497040466439898</v>
      </c>
      <c r="J24" s="7"/>
      <c r="R24" s="13"/>
      <c r="S24" s="12"/>
    </row>
    <row r="25" spans="1:19" ht="15.75" customHeight="1">
      <c r="A25" s="14" t="s">
        <v>31</v>
      </c>
      <c r="B25">
        <v>4.95</v>
      </c>
      <c r="C25" s="3">
        <f t="shared" si="0"/>
        <v>-8.9999999999999858E-2</v>
      </c>
      <c r="D25" s="3">
        <f t="shared" si="1"/>
        <v>0</v>
      </c>
      <c r="E25" s="3">
        <f t="shared" si="3"/>
        <v>8.9999999999999858E-2</v>
      </c>
      <c r="F25" s="3">
        <f t="shared" si="6"/>
        <v>5.1777114818230455E-2</v>
      </c>
      <c r="G25" s="3">
        <f t="shared" si="7"/>
        <v>3.2515244915869566E-2</v>
      </c>
      <c r="H25" s="3">
        <f t="shared" si="4"/>
        <v>1.5923950427622287</v>
      </c>
      <c r="I25" s="3">
        <f t="shared" si="5"/>
        <v>61.425632146924343</v>
      </c>
      <c r="J25" s="7"/>
      <c r="R25" s="13"/>
      <c r="S25" s="12"/>
    </row>
    <row r="26" spans="1:19" ht="15.75" customHeight="1">
      <c r="A26" s="14" t="s">
        <v>32</v>
      </c>
      <c r="B26">
        <v>4.97</v>
      </c>
      <c r="C26" s="3">
        <f t="shared" si="0"/>
        <v>1.9999999999999574E-2</v>
      </c>
      <c r="D26" s="3">
        <f t="shared" si="1"/>
        <v>1.9999999999999574E-2</v>
      </c>
      <c r="E26" s="3">
        <f t="shared" si="3"/>
        <v>0</v>
      </c>
      <c r="F26" s="3">
        <f t="shared" si="6"/>
        <v>4.9507320902642538E-2</v>
      </c>
      <c r="G26" s="3">
        <f t="shared" si="7"/>
        <v>3.0192727421878885E-2</v>
      </c>
      <c r="H26" s="3">
        <f t="shared" si="4"/>
        <v>1.6397101265772867</v>
      </c>
      <c r="I26" s="3">
        <f t="shared" si="5"/>
        <v>62.117052553167085</v>
      </c>
      <c r="J26" s="7"/>
      <c r="R26" s="13"/>
      <c r="S26" s="12"/>
    </row>
    <row r="27" spans="1:19" ht="15.75" customHeight="1">
      <c r="A27" s="14" t="s">
        <v>33</v>
      </c>
      <c r="B27">
        <v>4.95</v>
      </c>
      <c r="C27" s="3">
        <f t="shared" si="0"/>
        <v>-1.9999999999999574E-2</v>
      </c>
      <c r="D27" s="3">
        <f t="shared" si="1"/>
        <v>0</v>
      </c>
      <c r="E27" s="3">
        <f t="shared" ref="E27:E37" si="8">IF(C27&lt;0,-C27,0)</f>
        <v>1.9999999999999574E-2</v>
      </c>
      <c r="F27" s="3">
        <f t="shared" si="6"/>
        <v>4.597108369531093E-2</v>
      </c>
      <c r="G27" s="3">
        <f t="shared" si="7"/>
        <v>2.9464675463173221E-2</v>
      </c>
      <c r="H27" s="3">
        <f t="shared" ref="H27:H37" si="9">F27/G27</f>
        <v>1.5602100811450796</v>
      </c>
      <c r="I27" s="3">
        <f t="shared" ref="I27:I37" si="10">IF(G27=0,100,100-(100/(1+H27)))</f>
        <v>60.940705320840706</v>
      </c>
      <c r="J27" s="7"/>
      <c r="R27" s="13"/>
      <c r="S27" s="12"/>
    </row>
    <row r="28" spans="1:19" ht="15.75" customHeight="1">
      <c r="A28" s="14" t="s">
        <v>34</v>
      </c>
      <c r="B28">
        <v>5.07</v>
      </c>
      <c r="C28" s="3">
        <f t="shared" si="0"/>
        <v>0.12000000000000011</v>
      </c>
      <c r="D28" s="3">
        <f t="shared" si="1"/>
        <v>0.12000000000000011</v>
      </c>
      <c r="E28" s="3">
        <f t="shared" si="8"/>
        <v>0</v>
      </c>
      <c r="F28" s="3">
        <f t="shared" si="6"/>
        <v>5.1258863431360158E-2</v>
      </c>
      <c r="G28" s="3">
        <f t="shared" si="7"/>
        <v>2.7360055787232277E-2</v>
      </c>
      <c r="H28" s="3">
        <f t="shared" si="9"/>
        <v>1.8734926503797698</v>
      </c>
      <c r="I28" s="3">
        <f t="shared" si="10"/>
        <v>65.1991453721715</v>
      </c>
      <c r="J28" s="7"/>
      <c r="R28" s="13"/>
      <c r="S28" s="12"/>
    </row>
    <row r="29" spans="1:19" ht="15.75" customHeight="1">
      <c r="A29" s="14" t="s">
        <v>35</v>
      </c>
      <c r="B29">
        <v>5.1100000000000003</v>
      </c>
      <c r="C29" s="3">
        <f t="shared" si="0"/>
        <v>4.0000000000000036E-2</v>
      </c>
      <c r="D29" s="3">
        <f t="shared" si="1"/>
        <v>4.0000000000000036E-2</v>
      </c>
      <c r="E29" s="3">
        <f t="shared" si="8"/>
        <v>0</v>
      </c>
      <c r="F29" s="3">
        <f t="shared" si="6"/>
        <v>5.0454658900548725E-2</v>
      </c>
      <c r="G29" s="3">
        <f t="shared" si="7"/>
        <v>2.5405766088144259E-2</v>
      </c>
      <c r="H29" s="3">
        <f t="shared" si="9"/>
        <v>1.985953059848633</v>
      </c>
      <c r="I29" s="3">
        <f t="shared" si="10"/>
        <v>66.509855313978278</v>
      </c>
      <c r="J29" s="7"/>
      <c r="R29" s="13"/>
      <c r="S29" s="12"/>
    </row>
    <row r="30" spans="1:19" ht="15.75" customHeight="1">
      <c r="A30" s="14" t="s">
        <v>36</v>
      </c>
      <c r="B30">
        <v>5.15</v>
      </c>
      <c r="C30" s="3">
        <f t="shared" si="0"/>
        <v>4.0000000000000036E-2</v>
      </c>
      <c r="D30" s="3">
        <f t="shared" si="1"/>
        <v>4.0000000000000036E-2</v>
      </c>
      <c r="E30" s="3">
        <f t="shared" si="8"/>
        <v>0</v>
      </c>
      <c r="F30" s="3">
        <f t="shared" si="6"/>
        <v>4.9707897550509535E-2</v>
      </c>
      <c r="G30" s="3">
        <f t="shared" si="7"/>
        <v>2.3591068510419668E-2</v>
      </c>
      <c r="H30" s="3">
        <f t="shared" si="9"/>
        <v>2.1070642700458704</v>
      </c>
      <c r="I30" s="3">
        <f t="shared" si="10"/>
        <v>67.815277925189605</v>
      </c>
      <c r="J30" s="7"/>
      <c r="R30" s="13"/>
      <c r="S30" s="12"/>
    </row>
    <row r="31" spans="1:19" ht="15.75" customHeight="1">
      <c r="A31" s="14" t="s">
        <v>37</v>
      </c>
      <c r="B31">
        <v>5.1100000000000003</v>
      </c>
      <c r="C31" s="3">
        <f t="shared" si="0"/>
        <v>-4.0000000000000036E-2</v>
      </c>
      <c r="D31" s="3">
        <f t="shared" si="1"/>
        <v>0</v>
      </c>
      <c r="E31" s="3">
        <f t="shared" si="8"/>
        <v>4.0000000000000036E-2</v>
      </c>
      <c r="F31" s="3">
        <f>((F30*13)+D31)/14</f>
        <v>4.6157333439758856E-2</v>
      </c>
      <c r="G31" s="3">
        <f>((G30*13)+E31)/14</f>
        <v>2.4763135045389694E-2</v>
      </c>
      <c r="H31" s="3">
        <f t="shared" si="9"/>
        <v>1.8639535484967704</v>
      </c>
      <c r="I31" s="3">
        <f t="shared" si="10"/>
        <v>65.083232564128735</v>
      </c>
      <c r="J31" s="7"/>
      <c r="R31" s="13"/>
      <c r="S31" s="12"/>
    </row>
    <row r="32" spans="1:19" ht="15.75" customHeight="1">
      <c r="A32" s="14" t="s">
        <v>38</v>
      </c>
      <c r="B32">
        <v>5.04</v>
      </c>
      <c r="C32" s="3">
        <f t="shared" si="0"/>
        <v>-7.0000000000000284E-2</v>
      </c>
      <c r="D32" s="3">
        <f t="shared" si="1"/>
        <v>0</v>
      </c>
      <c r="E32" s="3">
        <f t="shared" si="8"/>
        <v>7.0000000000000284E-2</v>
      </c>
      <c r="F32" s="3">
        <f t="shared" ref="F32:F37" si="11">((F31*13)+D32)/14</f>
        <v>4.2860381051204655E-2</v>
      </c>
      <c r="G32" s="3">
        <f t="shared" ref="G32:G37" si="12">((G31*13)+E32)/14</f>
        <v>2.7994339685004734E-2</v>
      </c>
      <c r="H32" s="3">
        <f t="shared" si="9"/>
        <v>1.5310374001842582</v>
      </c>
      <c r="I32" s="3">
        <f t="shared" si="10"/>
        <v>60.490508756322583</v>
      </c>
      <c r="J32" s="7"/>
      <c r="R32" s="13"/>
      <c r="S32" s="12"/>
    </row>
    <row r="33" spans="1:19" ht="15.75" customHeight="1">
      <c r="A33" s="14" t="s">
        <v>39</v>
      </c>
      <c r="B33">
        <v>5.05</v>
      </c>
      <c r="C33" s="3">
        <f t="shared" si="0"/>
        <v>9.9999999999997868E-3</v>
      </c>
      <c r="D33" s="3">
        <f t="shared" si="1"/>
        <v>9.9999999999997868E-3</v>
      </c>
      <c r="E33" s="3">
        <f t="shared" si="8"/>
        <v>0</v>
      </c>
      <c r="F33" s="3">
        <f t="shared" si="11"/>
        <v>4.0513210976118597E-2</v>
      </c>
      <c r="G33" s="3">
        <f t="shared" si="12"/>
        <v>2.5994743993218682E-2</v>
      </c>
      <c r="H33" s="3">
        <f t="shared" si="9"/>
        <v>1.55851548246397</v>
      </c>
      <c r="I33" s="3">
        <f t="shared" si="10"/>
        <v>60.914834916810698</v>
      </c>
      <c r="J33" s="7"/>
      <c r="R33" s="13"/>
      <c r="S33" s="12"/>
    </row>
    <row r="34" spans="1:19" ht="15.75" customHeight="1">
      <c r="A34" s="14" t="s">
        <v>40</v>
      </c>
      <c r="B34">
        <v>4.9800000000000004</v>
      </c>
      <c r="C34" s="3">
        <f t="shared" si="0"/>
        <v>-6.9999999999999396E-2</v>
      </c>
      <c r="D34" s="3">
        <f t="shared" si="1"/>
        <v>0</v>
      </c>
      <c r="E34" s="3">
        <f t="shared" si="8"/>
        <v>6.9999999999999396E-2</v>
      </c>
      <c r="F34" s="3">
        <f t="shared" si="11"/>
        <v>3.7619410192110125E-2</v>
      </c>
      <c r="G34" s="3">
        <f t="shared" si="12"/>
        <v>2.913797656513159E-2</v>
      </c>
      <c r="H34" s="3">
        <f t="shared" si="9"/>
        <v>1.2910783323618968</v>
      </c>
      <c r="I34" s="3">
        <f t="shared" si="10"/>
        <v>56.352430823738381</v>
      </c>
      <c r="J34" s="7"/>
      <c r="R34" s="13"/>
      <c r="S34" s="12"/>
    </row>
    <row r="35" spans="1:19" ht="15.75" customHeight="1">
      <c r="A35" s="14" t="s">
        <v>41</v>
      </c>
      <c r="B35">
        <v>4.97</v>
      </c>
      <c r="C35" s="3">
        <f t="shared" si="0"/>
        <v>-1.0000000000000675E-2</v>
      </c>
      <c r="D35" s="3">
        <f t="shared" si="1"/>
        <v>0</v>
      </c>
      <c r="E35" s="3">
        <f t="shared" si="8"/>
        <v>1.0000000000000675E-2</v>
      </c>
      <c r="F35" s="3">
        <f t="shared" si="11"/>
        <v>3.4932309464102258E-2</v>
      </c>
      <c r="G35" s="3">
        <f t="shared" si="12"/>
        <v>2.7770978239050812E-2</v>
      </c>
      <c r="H35" s="3">
        <f t="shared" si="9"/>
        <v>1.2578710466519099</v>
      </c>
      <c r="I35" s="3">
        <f t="shared" si="10"/>
        <v>55.710491018393064</v>
      </c>
      <c r="J35" s="7"/>
      <c r="R35" s="13"/>
      <c r="S35" s="12"/>
    </row>
    <row r="36" spans="1:19" ht="15.75" customHeight="1">
      <c r="A36" s="14" t="s">
        <v>42</v>
      </c>
      <c r="B36">
        <v>4.97</v>
      </c>
      <c r="C36" s="3">
        <f t="shared" si="0"/>
        <v>0</v>
      </c>
      <c r="D36" s="3">
        <f t="shared" si="1"/>
        <v>0</v>
      </c>
      <c r="E36" s="3">
        <f t="shared" si="8"/>
        <v>0</v>
      </c>
      <c r="F36" s="3">
        <f t="shared" si="11"/>
        <v>3.2437144502380673E-2</v>
      </c>
      <c r="G36" s="3">
        <f t="shared" si="12"/>
        <v>2.5787336936261469E-2</v>
      </c>
      <c r="H36" s="3">
        <f t="shared" si="9"/>
        <v>1.2578710466519101</v>
      </c>
      <c r="I36" s="3">
        <f t="shared" si="10"/>
        <v>55.710491018393071</v>
      </c>
      <c r="J36" s="7"/>
      <c r="R36" s="13"/>
      <c r="S36" s="12"/>
    </row>
    <row r="37" spans="1:19" ht="15.75" customHeight="1">
      <c r="A37" s="14" t="s">
        <v>43</v>
      </c>
      <c r="B37">
        <v>4.59</v>
      </c>
      <c r="C37" s="3">
        <f t="shared" si="0"/>
        <v>-0.37999999999999989</v>
      </c>
      <c r="D37" s="3">
        <f t="shared" si="1"/>
        <v>0</v>
      </c>
      <c r="E37" s="3">
        <f t="shared" si="8"/>
        <v>0.37999999999999989</v>
      </c>
      <c r="F37" s="3">
        <f t="shared" si="11"/>
        <v>3.0120205609353485E-2</v>
      </c>
      <c r="G37" s="3">
        <f t="shared" si="12"/>
        <v>5.1088241440814211E-2</v>
      </c>
      <c r="H37" s="3">
        <f t="shared" si="9"/>
        <v>0.58957217472924328</v>
      </c>
      <c r="I37" s="3">
        <f t="shared" si="10"/>
        <v>37.089990885734203</v>
      </c>
      <c r="R37" s="13"/>
      <c r="S37" s="12"/>
    </row>
    <row r="38" spans="1:19" ht="15.75" customHeight="1">
      <c r="A38" s="14" t="s">
        <v>44</v>
      </c>
      <c r="B38">
        <v>4.1900000000000004</v>
      </c>
      <c r="C38" s="3">
        <f t="shared" ref="C38:C101" si="13">B38-B37</f>
        <v>-0.39999999999999947</v>
      </c>
      <c r="D38" s="3">
        <f t="shared" ref="D38:D101" si="14">IF(C38&gt;0,C38,0)</f>
        <v>0</v>
      </c>
      <c r="E38" s="3">
        <f t="shared" ref="E38:E101" si="15">IF(C38&lt;0,-C38,0)</f>
        <v>0.39999999999999947</v>
      </c>
      <c r="F38" s="3">
        <f t="shared" ref="F38:F101" si="16">((F37*13)+D38)/14</f>
        <v>2.7968762351542522E-2</v>
      </c>
      <c r="G38" s="3">
        <f t="shared" ref="G38:G101" si="17">((G37*13)+E38)/14</f>
        <v>7.6010509909327437E-2</v>
      </c>
      <c r="H38" s="3">
        <f t="shared" ref="H38:H101" si="18">F38/G38</f>
        <v>0.36795914650363903</v>
      </c>
      <c r="I38" s="3">
        <f t="shared" ref="I38:I101" si="19">IF(G38=0,100,100-(100/(1+H38)))</f>
        <v>26.89840171353832</v>
      </c>
      <c r="R38" s="13"/>
      <c r="S38" s="12"/>
    </row>
    <row r="39" spans="1:19" ht="15.75" customHeight="1">
      <c r="A39" s="14" t="s">
        <v>45</v>
      </c>
      <c r="B39">
        <v>4.04</v>
      </c>
      <c r="C39" s="3">
        <f t="shared" si="13"/>
        <v>-0.15000000000000036</v>
      </c>
      <c r="D39" s="3">
        <f t="shared" si="14"/>
        <v>0</v>
      </c>
      <c r="E39" s="3">
        <f t="shared" si="15"/>
        <v>0.15000000000000036</v>
      </c>
      <c r="F39" s="3">
        <f t="shared" si="16"/>
        <v>2.597099361214663E-2</v>
      </c>
      <c r="G39" s="3">
        <f t="shared" si="17"/>
        <v>8.129547348723265E-2</v>
      </c>
      <c r="H39" s="3">
        <f t="shared" si="18"/>
        <v>0.31946420259456809</v>
      </c>
      <c r="I39" s="3">
        <f t="shared" si="19"/>
        <v>24.211661215694988</v>
      </c>
      <c r="R39" s="13"/>
      <c r="S39" s="12"/>
    </row>
    <row r="40" spans="1:19" ht="15.75" customHeight="1">
      <c r="A40" s="14" t="s">
        <v>46</v>
      </c>
      <c r="B40">
        <v>4.42</v>
      </c>
      <c r="C40" s="3">
        <f t="shared" si="13"/>
        <v>0.37999999999999989</v>
      </c>
      <c r="D40" s="3">
        <f t="shared" si="14"/>
        <v>0.37999999999999989</v>
      </c>
      <c r="E40" s="3">
        <f t="shared" si="15"/>
        <v>0</v>
      </c>
      <c r="F40" s="3">
        <f t="shared" si="16"/>
        <v>5.1258779782707577E-2</v>
      </c>
      <c r="G40" s="3">
        <f t="shared" si="17"/>
        <v>7.5488653952430318E-2</v>
      </c>
      <c r="H40" s="3">
        <f t="shared" si="18"/>
        <v>0.67902627877043142</v>
      </c>
      <c r="I40" s="3">
        <f t="shared" si="19"/>
        <v>40.441670708554341</v>
      </c>
      <c r="R40" s="13"/>
      <c r="S40" s="12"/>
    </row>
    <row r="41" spans="1:19" ht="15.75" customHeight="1">
      <c r="A41" s="14" t="s">
        <v>47</v>
      </c>
      <c r="B41">
        <v>4.66</v>
      </c>
      <c r="C41" s="3">
        <f t="shared" si="13"/>
        <v>0.24000000000000021</v>
      </c>
      <c r="D41" s="3">
        <f t="shared" si="14"/>
        <v>0.24000000000000021</v>
      </c>
      <c r="E41" s="3">
        <f t="shared" si="15"/>
        <v>0</v>
      </c>
      <c r="F41" s="3">
        <f t="shared" si="16"/>
        <v>6.4740295512514187E-2</v>
      </c>
      <c r="G41" s="3">
        <f t="shared" si="17"/>
        <v>7.0096607241542444E-2</v>
      </c>
      <c r="H41" s="3">
        <f t="shared" si="18"/>
        <v>0.9235867192463223</v>
      </c>
      <c r="I41" s="3">
        <f t="shared" si="19"/>
        <v>48.013781235097703</v>
      </c>
      <c r="R41" s="13"/>
      <c r="S41" s="12"/>
    </row>
    <row r="42" spans="1:19" ht="15.75" customHeight="1">
      <c r="A42" s="14" t="s">
        <v>48</v>
      </c>
      <c r="B42">
        <v>4.8</v>
      </c>
      <c r="C42" s="3">
        <f t="shared" si="13"/>
        <v>0.13999999999999968</v>
      </c>
      <c r="D42" s="3">
        <f t="shared" si="14"/>
        <v>0.13999999999999968</v>
      </c>
      <c r="E42" s="3">
        <f t="shared" si="15"/>
        <v>0</v>
      </c>
      <c r="F42" s="3">
        <f t="shared" si="16"/>
        <v>7.0115988690191727E-2</v>
      </c>
      <c r="G42" s="3">
        <f t="shared" si="17"/>
        <v>6.5089706724289417E-2</v>
      </c>
      <c r="H42" s="3">
        <f t="shared" si="18"/>
        <v>1.0772208421093816</v>
      </c>
      <c r="I42" s="3">
        <f t="shared" si="19"/>
        <v>51.858753786404471</v>
      </c>
      <c r="R42" s="13"/>
      <c r="S42" s="12"/>
    </row>
    <row r="43" spans="1:19" ht="15.75" customHeight="1">
      <c r="A43" s="14" t="s">
        <v>49</v>
      </c>
      <c r="B43">
        <v>4.7300000000000004</v>
      </c>
      <c r="C43" s="3">
        <f t="shared" si="13"/>
        <v>-6.9999999999999396E-2</v>
      </c>
      <c r="D43" s="3">
        <f t="shared" si="14"/>
        <v>0</v>
      </c>
      <c r="E43" s="3">
        <f t="shared" si="15"/>
        <v>6.9999999999999396E-2</v>
      </c>
      <c r="F43" s="3">
        <f t="shared" si="16"/>
        <v>6.5107703783749457E-2</v>
      </c>
      <c r="G43" s="3">
        <f t="shared" si="17"/>
        <v>6.5440441958268702E-2</v>
      </c>
      <c r="H43" s="3">
        <f t="shared" si="18"/>
        <v>0.9949154045333094</v>
      </c>
      <c r="I43" s="3">
        <f t="shared" si="19"/>
        <v>49.872561125771639</v>
      </c>
      <c r="R43" s="13"/>
      <c r="S43" s="12"/>
    </row>
    <row r="44" spans="1:19" ht="15.75" customHeight="1">
      <c r="A44" s="14" t="s">
        <v>50</v>
      </c>
      <c r="B44">
        <v>4.5999999999999996</v>
      </c>
      <c r="C44" s="3">
        <f t="shared" si="13"/>
        <v>-0.13000000000000078</v>
      </c>
      <c r="D44" s="3">
        <f t="shared" si="14"/>
        <v>0</v>
      </c>
      <c r="E44" s="3">
        <f t="shared" si="15"/>
        <v>0.13000000000000078</v>
      </c>
      <c r="F44" s="3">
        <f t="shared" si="16"/>
        <v>6.0457153513481639E-2</v>
      </c>
      <c r="G44" s="3">
        <f t="shared" si="17"/>
        <v>7.0051838961249571E-2</v>
      </c>
      <c r="H44" s="3">
        <f t="shared" si="18"/>
        <v>0.86303449573857149</v>
      </c>
      <c r="I44" s="3">
        <f t="shared" si="19"/>
        <v>46.324128603772024</v>
      </c>
      <c r="R44" s="13"/>
      <c r="S44" s="12"/>
    </row>
    <row r="45" spans="1:19" ht="15.75" customHeight="1">
      <c r="A45" s="14" t="s">
        <v>51</v>
      </c>
      <c r="B45">
        <v>4.4800000000000004</v>
      </c>
      <c r="C45" s="3">
        <f t="shared" si="13"/>
        <v>-0.11999999999999922</v>
      </c>
      <c r="D45" s="3">
        <f t="shared" si="14"/>
        <v>0</v>
      </c>
      <c r="E45" s="3">
        <f t="shared" si="15"/>
        <v>0.11999999999999922</v>
      </c>
      <c r="F45" s="3">
        <f t="shared" si="16"/>
        <v>5.6138785405375806E-2</v>
      </c>
      <c r="G45" s="3">
        <f t="shared" si="17"/>
        <v>7.3619564749731678E-2</v>
      </c>
      <c r="H45" s="3">
        <f t="shared" si="18"/>
        <v>0.7625525306515808</v>
      </c>
      <c r="I45" s="3">
        <f t="shared" si="19"/>
        <v>43.264102339672121</v>
      </c>
      <c r="R45" s="13"/>
      <c r="S45" s="12"/>
    </row>
    <row r="46" spans="1:19" ht="15.75" customHeight="1">
      <c r="A46" s="14" t="s">
        <v>52</v>
      </c>
      <c r="B46">
        <v>4.46</v>
      </c>
      <c r="C46" s="3">
        <f t="shared" si="13"/>
        <v>-2.0000000000000462E-2</v>
      </c>
      <c r="D46" s="3">
        <f t="shared" si="14"/>
        <v>0</v>
      </c>
      <c r="E46" s="3">
        <f t="shared" si="15"/>
        <v>2.0000000000000462E-2</v>
      </c>
      <c r="F46" s="3">
        <f t="shared" si="16"/>
        <v>5.212887216213468E-2</v>
      </c>
      <c r="G46" s="3">
        <f t="shared" si="17"/>
        <v>6.9789595839036586E-2</v>
      </c>
      <c r="H46" s="3">
        <f t="shared" si="18"/>
        <v>0.74694331634138167</v>
      </c>
      <c r="I46" s="3">
        <f t="shared" si="19"/>
        <v>42.757158137546377</v>
      </c>
      <c r="R46" s="13"/>
      <c r="S46" s="12"/>
    </row>
    <row r="47" spans="1:19" ht="15.75" customHeight="1">
      <c r="A47" s="14" t="s">
        <v>53</v>
      </c>
      <c r="B47">
        <v>4.46</v>
      </c>
      <c r="C47" s="3">
        <f t="shared" si="13"/>
        <v>0</v>
      </c>
      <c r="D47" s="3">
        <f t="shared" si="14"/>
        <v>0</v>
      </c>
      <c r="E47" s="3">
        <f t="shared" si="15"/>
        <v>0</v>
      </c>
      <c r="F47" s="3">
        <f t="shared" si="16"/>
        <v>4.8405381293410772E-2</v>
      </c>
      <c r="G47" s="3">
        <f t="shared" si="17"/>
        <v>6.4804624707676825E-2</v>
      </c>
      <c r="H47" s="3">
        <f t="shared" si="18"/>
        <v>0.74694331634138167</v>
      </c>
      <c r="I47" s="3">
        <f t="shared" si="19"/>
        <v>42.757158137546377</v>
      </c>
      <c r="R47" s="13"/>
      <c r="S47" s="12"/>
    </row>
    <row r="48" spans="1:19" ht="15.75" customHeight="1">
      <c r="A48" s="14" t="s">
        <v>54</v>
      </c>
      <c r="B48">
        <v>4.47</v>
      </c>
      <c r="C48" s="3">
        <f t="shared" si="13"/>
        <v>9.9999999999997868E-3</v>
      </c>
      <c r="D48" s="3">
        <f t="shared" si="14"/>
        <v>9.9999999999997868E-3</v>
      </c>
      <c r="E48" s="3">
        <f t="shared" si="15"/>
        <v>0</v>
      </c>
      <c r="F48" s="3">
        <f t="shared" si="16"/>
        <v>4.5662139772452849E-2</v>
      </c>
      <c r="G48" s="3">
        <f t="shared" si="17"/>
        <v>6.017572294284277E-2</v>
      </c>
      <c r="H48" s="3">
        <f t="shared" si="18"/>
        <v>0.75881331439631416</v>
      </c>
      <c r="I48" s="3">
        <f t="shared" si="19"/>
        <v>43.143482493863502</v>
      </c>
      <c r="R48" s="13"/>
      <c r="S48" s="12"/>
    </row>
    <row r="49" spans="1:19" ht="15.75" customHeight="1">
      <c r="A49" s="14" t="s">
        <v>55</v>
      </c>
      <c r="B49">
        <v>4.54</v>
      </c>
      <c r="C49" s="3">
        <f t="shared" si="13"/>
        <v>7.0000000000000284E-2</v>
      </c>
      <c r="D49" s="3">
        <f t="shared" si="14"/>
        <v>7.0000000000000284E-2</v>
      </c>
      <c r="E49" s="3">
        <f t="shared" si="15"/>
        <v>0</v>
      </c>
      <c r="F49" s="3">
        <f t="shared" si="16"/>
        <v>4.7400558360134806E-2</v>
      </c>
      <c r="G49" s="3">
        <f t="shared" si="17"/>
        <v>5.5877457018354004E-2</v>
      </c>
      <c r="H49" s="3">
        <f t="shared" si="18"/>
        <v>0.84829483819503815</v>
      </c>
      <c r="I49" s="3">
        <f t="shared" si="19"/>
        <v>45.896077869451005</v>
      </c>
      <c r="R49" s="13"/>
      <c r="S49" s="12"/>
    </row>
    <row r="50" spans="1:19" ht="15.75" customHeight="1">
      <c r="A50" s="14" t="s">
        <v>56</v>
      </c>
      <c r="B50">
        <v>4.53</v>
      </c>
      <c r="C50" s="3">
        <f t="shared" si="13"/>
        <v>-9.9999999999997868E-3</v>
      </c>
      <c r="D50" s="3">
        <f t="shared" si="14"/>
        <v>0</v>
      </c>
      <c r="E50" s="3">
        <f t="shared" si="15"/>
        <v>9.9999999999997868E-3</v>
      </c>
      <c r="F50" s="3">
        <f t="shared" si="16"/>
        <v>4.401480419155375E-2</v>
      </c>
      <c r="G50" s="3">
        <f t="shared" si="17"/>
        <v>5.2600495802757274E-2</v>
      </c>
      <c r="H50" s="3">
        <f t="shared" si="18"/>
        <v>0.83677546228084276</v>
      </c>
      <c r="I50" s="3">
        <f t="shared" si="19"/>
        <v>45.556763984736847</v>
      </c>
      <c r="R50" s="13"/>
      <c r="S50" s="12"/>
    </row>
    <row r="51" spans="1:19" ht="15.75" customHeight="1">
      <c r="A51" s="14" t="s">
        <v>57</v>
      </c>
      <c r="B51">
        <v>4.57</v>
      </c>
      <c r="C51" s="3">
        <f t="shared" si="13"/>
        <v>4.0000000000000036E-2</v>
      </c>
      <c r="D51" s="3">
        <f t="shared" si="14"/>
        <v>4.0000000000000036E-2</v>
      </c>
      <c r="E51" s="3">
        <f t="shared" si="15"/>
        <v>0</v>
      </c>
      <c r="F51" s="3">
        <f t="shared" si="16"/>
        <v>4.3728032463585628E-2</v>
      </c>
      <c r="G51" s="3">
        <f t="shared" si="17"/>
        <v>4.8843317531131754E-2</v>
      </c>
      <c r="H51" s="3">
        <f t="shared" si="18"/>
        <v>0.89527154734553516</v>
      </c>
      <c r="I51" s="3">
        <f t="shared" si="19"/>
        <v>47.23711220164877</v>
      </c>
      <c r="R51" s="13"/>
      <c r="S51" s="12"/>
    </row>
    <row r="52" spans="1:19" ht="15.75" customHeight="1">
      <c r="A52" s="14" t="s">
        <v>58</v>
      </c>
      <c r="B52">
        <v>4.54</v>
      </c>
      <c r="C52" s="3">
        <f t="shared" si="13"/>
        <v>-3.0000000000000249E-2</v>
      </c>
      <c r="D52" s="3">
        <f t="shared" si="14"/>
        <v>0</v>
      </c>
      <c r="E52" s="3">
        <f t="shared" si="15"/>
        <v>3.0000000000000249E-2</v>
      </c>
      <c r="F52" s="3">
        <f t="shared" si="16"/>
        <v>4.0604601573329513E-2</v>
      </c>
      <c r="G52" s="3">
        <f t="shared" si="17"/>
        <v>4.7497366278908069E-2</v>
      </c>
      <c r="H52" s="3">
        <f t="shared" si="18"/>
        <v>0.85488111772127051</v>
      </c>
      <c r="I52" s="3">
        <f t="shared" si="19"/>
        <v>46.088189132654264</v>
      </c>
      <c r="R52" s="13"/>
      <c r="S52" s="12"/>
    </row>
    <row r="53" spans="1:19" ht="15.75" customHeight="1">
      <c r="A53" s="14" t="s">
        <v>59</v>
      </c>
      <c r="B53">
        <v>4.54</v>
      </c>
      <c r="C53" s="3">
        <f t="shared" si="13"/>
        <v>0</v>
      </c>
      <c r="D53" s="3">
        <f t="shared" si="14"/>
        <v>0</v>
      </c>
      <c r="E53" s="3">
        <f t="shared" si="15"/>
        <v>0</v>
      </c>
      <c r="F53" s="3">
        <f t="shared" si="16"/>
        <v>3.770427288952026E-2</v>
      </c>
      <c r="G53" s="3">
        <f t="shared" si="17"/>
        <v>4.4104697258986067E-2</v>
      </c>
      <c r="H53" s="3">
        <f t="shared" si="18"/>
        <v>0.8548811177212704</v>
      </c>
      <c r="I53" s="3">
        <f t="shared" si="19"/>
        <v>46.088189132654257</v>
      </c>
      <c r="R53" s="13"/>
      <c r="S53" s="12"/>
    </row>
    <row r="54" spans="1:19" ht="15.75" customHeight="1">
      <c r="A54" s="14" t="s">
        <v>60</v>
      </c>
      <c r="B54">
        <v>4.53</v>
      </c>
      <c r="C54" s="3">
        <f t="shared" si="13"/>
        <v>-9.9999999999997868E-3</v>
      </c>
      <c r="D54" s="3">
        <f t="shared" si="14"/>
        <v>0</v>
      </c>
      <c r="E54" s="3">
        <f t="shared" si="15"/>
        <v>9.9999999999997868E-3</v>
      </c>
      <c r="F54" s="3">
        <f t="shared" si="16"/>
        <v>3.5011110540268814E-2</v>
      </c>
      <c r="G54" s="3">
        <f t="shared" si="17"/>
        <v>4.1668647454772764E-2</v>
      </c>
      <c r="H54" s="3">
        <f t="shared" si="18"/>
        <v>0.84022670950070899</v>
      </c>
      <c r="I54" s="3">
        <f t="shared" si="19"/>
        <v>45.658869375321679</v>
      </c>
      <c r="R54" s="13"/>
      <c r="S54" s="12"/>
    </row>
    <row r="55" spans="1:19" ht="15.75" customHeight="1">
      <c r="A55" s="14" t="s">
        <v>61</v>
      </c>
      <c r="B55">
        <v>4.59</v>
      </c>
      <c r="C55" s="3">
        <f t="shared" si="13"/>
        <v>5.9999999999999609E-2</v>
      </c>
      <c r="D55" s="3">
        <f t="shared" si="14"/>
        <v>5.9999999999999609E-2</v>
      </c>
      <c r="E55" s="3">
        <f t="shared" si="15"/>
        <v>0</v>
      </c>
      <c r="F55" s="3">
        <f t="shared" si="16"/>
        <v>3.6796031215963872E-2</v>
      </c>
      <c r="G55" s="3">
        <f t="shared" si="17"/>
        <v>3.8692315493717565E-2</v>
      </c>
      <c r="H55" s="3">
        <f t="shared" si="18"/>
        <v>0.95099067467126408</v>
      </c>
      <c r="I55" s="3">
        <f t="shared" si="19"/>
        <v>48.743988734415815</v>
      </c>
      <c r="R55" s="13"/>
      <c r="S55" s="12"/>
    </row>
    <row r="56" spans="1:19" ht="15.75" customHeight="1">
      <c r="A56" s="14" t="s">
        <v>62</v>
      </c>
      <c r="B56">
        <v>4.6500000000000004</v>
      </c>
      <c r="C56" s="3">
        <f t="shared" si="13"/>
        <v>6.0000000000000497E-2</v>
      </c>
      <c r="D56" s="3">
        <f t="shared" si="14"/>
        <v>6.0000000000000497E-2</v>
      </c>
      <c r="E56" s="3">
        <f t="shared" si="15"/>
        <v>0</v>
      </c>
      <c r="F56" s="3">
        <f t="shared" si="16"/>
        <v>3.8453457557680773E-2</v>
      </c>
      <c r="G56" s="3">
        <f t="shared" si="17"/>
        <v>3.5928578672737736E-2</v>
      </c>
      <c r="H56" s="3">
        <f t="shared" si="18"/>
        <v>1.0702749448549405</v>
      </c>
      <c r="I56" s="3">
        <f t="shared" si="19"/>
        <v>51.697237002978476</v>
      </c>
      <c r="R56" s="13"/>
      <c r="S56" s="12"/>
    </row>
    <row r="57" spans="1:19" ht="15.75" customHeight="1">
      <c r="A57" s="14" t="s">
        <v>63</v>
      </c>
      <c r="B57">
        <v>4.47</v>
      </c>
      <c r="C57" s="3">
        <f t="shared" si="13"/>
        <v>-0.1800000000000006</v>
      </c>
      <c r="D57" s="3">
        <f t="shared" si="14"/>
        <v>0</v>
      </c>
      <c r="E57" s="3">
        <f t="shared" si="15"/>
        <v>0.1800000000000006</v>
      </c>
      <c r="F57" s="3">
        <f t="shared" si="16"/>
        <v>3.5706782017846432E-2</v>
      </c>
      <c r="G57" s="3">
        <f t="shared" si="17"/>
        <v>4.6219394481827943E-2</v>
      </c>
      <c r="H57" s="3">
        <f t="shared" si="18"/>
        <v>0.77254975791353675</v>
      </c>
      <c r="I57" s="3">
        <f t="shared" si="19"/>
        <v>43.584094294927034</v>
      </c>
      <c r="R57" s="13"/>
      <c r="S57" s="12"/>
    </row>
    <row r="58" spans="1:19" ht="15.75" customHeight="1">
      <c r="A58" s="14" t="s">
        <v>64</v>
      </c>
      <c r="B58">
        <v>4.38</v>
      </c>
      <c r="C58" s="3">
        <f t="shared" si="13"/>
        <v>-8.9999999999999858E-2</v>
      </c>
      <c r="D58" s="3">
        <f t="shared" si="14"/>
        <v>0</v>
      </c>
      <c r="E58" s="3">
        <f t="shared" si="15"/>
        <v>8.9999999999999858E-2</v>
      </c>
      <c r="F58" s="3">
        <f t="shared" si="16"/>
        <v>3.3156297588000254E-2</v>
      </c>
      <c r="G58" s="3">
        <f t="shared" si="17"/>
        <v>4.9346580590268793E-2</v>
      </c>
      <c r="H58" s="3">
        <f t="shared" si="18"/>
        <v>0.67190668920510199</v>
      </c>
      <c r="I58" s="3">
        <f t="shared" si="19"/>
        <v>40.188049580958136</v>
      </c>
      <c r="R58" s="13"/>
      <c r="S58" s="12"/>
    </row>
    <row r="59" spans="1:19" ht="15.75" customHeight="1">
      <c r="A59" s="14" t="s">
        <v>65</v>
      </c>
      <c r="B59">
        <v>4.3899999999999997</v>
      </c>
      <c r="C59" s="3">
        <f t="shared" si="13"/>
        <v>9.9999999999997868E-3</v>
      </c>
      <c r="D59" s="3">
        <f t="shared" si="14"/>
        <v>9.9999999999997868E-3</v>
      </c>
      <c r="E59" s="3">
        <f t="shared" si="15"/>
        <v>0</v>
      </c>
      <c r="F59" s="3">
        <f t="shared" si="16"/>
        <v>3.1502276331714506E-2</v>
      </c>
      <c r="G59" s="3">
        <f t="shared" si="17"/>
        <v>4.5821824833821023E-2</v>
      </c>
      <c r="H59" s="3">
        <f t="shared" si="18"/>
        <v>0.68749501893391907</v>
      </c>
      <c r="I59" s="3">
        <f t="shared" si="19"/>
        <v>40.740565822128858</v>
      </c>
      <c r="R59" s="13"/>
      <c r="S59" s="12"/>
    </row>
    <row r="60" spans="1:19" ht="15.75" customHeight="1">
      <c r="A60" s="14" t="s">
        <v>66</v>
      </c>
      <c r="B60">
        <v>4.41</v>
      </c>
      <c r="C60" s="3">
        <f t="shared" si="13"/>
        <v>2.0000000000000462E-2</v>
      </c>
      <c r="D60" s="3">
        <f t="shared" si="14"/>
        <v>2.0000000000000462E-2</v>
      </c>
      <c r="E60" s="3">
        <f t="shared" si="15"/>
        <v>0</v>
      </c>
      <c r="F60" s="3">
        <f t="shared" si="16"/>
        <v>3.0680685165163504E-2</v>
      </c>
      <c r="G60" s="3">
        <f t="shared" si="17"/>
        <v>4.2548837345690947E-2</v>
      </c>
      <c r="H60" s="3">
        <f t="shared" si="18"/>
        <v>0.72106988296521879</v>
      </c>
      <c r="I60" s="3">
        <f t="shared" si="19"/>
        <v>41.896606878210704</v>
      </c>
      <c r="R60" s="13"/>
      <c r="S60" s="12"/>
    </row>
    <row r="61" spans="1:19" ht="15.75" customHeight="1">
      <c r="A61" s="14" t="s">
        <v>67</v>
      </c>
      <c r="B61">
        <v>4.37</v>
      </c>
      <c r="C61" s="3">
        <f t="shared" si="13"/>
        <v>-4.0000000000000036E-2</v>
      </c>
      <c r="D61" s="3">
        <f t="shared" si="14"/>
        <v>0</v>
      </c>
      <c r="E61" s="3">
        <f t="shared" si="15"/>
        <v>4.0000000000000036E-2</v>
      </c>
      <c r="F61" s="3">
        <f t="shared" si="16"/>
        <v>2.848920765336611E-2</v>
      </c>
      <c r="G61" s="3">
        <f t="shared" si="17"/>
        <v>4.236677753528445E-2</v>
      </c>
      <c r="H61" s="3">
        <f t="shared" si="18"/>
        <v>0.67244216602594709</v>
      </c>
      <c r="I61" s="3">
        <f t="shared" si="19"/>
        <v>40.207199966968211</v>
      </c>
      <c r="R61" s="13"/>
      <c r="S61" s="12"/>
    </row>
    <row r="62" spans="1:19" ht="15.75" customHeight="1">
      <c r="A62" s="14" t="s">
        <v>68</v>
      </c>
      <c r="B62">
        <v>4.3</v>
      </c>
      <c r="C62" s="3">
        <f t="shared" si="13"/>
        <v>-7.0000000000000284E-2</v>
      </c>
      <c r="D62" s="3">
        <f t="shared" si="14"/>
        <v>0</v>
      </c>
      <c r="E62" s="3">
        <f t="shared" si="15"/>
        <v>7.0000000000000284E-2</v>
      </c>
      <c r="F62" s="3">
        <f t="shared" si="16"/>
        <v>2.6454264249554243E-2</v>
      </c>
      <c r="G62" s="3">
        <f t="shared" si="17"/>
        <v>4.4340579139907015E-2</v>
      </c>
      <c r="H62" s="3">
        <f t="shared" si="18"/>
        <v>0.59661521709230703</v>
      </c>
      <c r="I62" s="3">
        <f t="shared" si="19"/>
        <v>37.367501618758169</v>
      </c>
      <c r="R62" s="13"/>
      <c r="S62" s="12"/>
    </row>
    <row r="63" spans="1:19" ht="15.75" customHeight="1">
      <c r="A63" s="14" t="s">
        <v>69</v>
      </c>
      <c r="B63">
        <v>4.37</v>
      </c>
      <c r="C63" s="3">
        <f t="shared" si="13"/>
        <v>7.0000000000000284E-2</v>
      </c>
      <c r="D63" s="3">
        <f t="shared" si="14"/>
        <v>7.0000000000000284E-2</v>
      </c>
      <c r="E63" s="3">
        <f t="shared" si="15"/>
        <v>0</v>
      </c>
      <c r="F63" s="3">
        <f t="shared" si="16"/>
        <v>2.9564673946014672E-2</v>
      </c>
      <c r="G63" s="3">
        <f t="shared" si="17"/>
        <v>4.1173394915627944E-2</v>
      </c>
      <c r="H63" s="3">
        <f t="shared" si="18"/>
        <v>0.71805285929416962</v>
      </c>
      <c r="I63" s="3">
        <f t="shared" si="19"/>
        <v>41.794573165180054</v>
      </c>
      <c r="R63" s="13"/>
      <c r="S63" s="12"/>
    </row>
    <row r="64" spans="1:19" ht="15.75" customHeight="1">
      <c r="A64" s="14" t="s">
        <v>70</v>
      </c>
      <c r="B64">
        <v>4.37</v>
      </c>
      <c r="C64" s="3">
        <f t="shared" si="13"/>
        <v>0</v>
      </c>
      <c r="D64" s="3">
        <f t="shared" si="14"/>
        <v>0</v>
      </c>
      <c r="E64" s="3">
        <f t="shared" si="15"/>
        <v>0</v>
      </c>
      <c r="F64" s="3">
        <f t="shared" si="16"/>
        <v>2.7452911521299337E-2</v>
      </c>
      <c r="G64" s="3">
        <f t="shared" si="17"/>
        <v>3.8232438135940232E-2</v>
      </c>
      <c r="H64" s="3">
        <f t="shared" si="18"/>
        <v>0.71805285929416962</v>
      </c>
      <c r="I64" s="3">
        <f t="shared" si="19"/>
        <v>41.794573165180054</v>
      </c>
      <c r="R64" s="13"/>
      <c r="S64" s="12"/>
    </row>
    <row r="65" spans="1:19" ht="15.75" customHeight="1">
      <c r="A65" s="14" t="s">
        <v>71</v>
      </c>
      <c r="B65">
        <v>4.46</v>
      </c>
      <c r="C65" s="3">
        <f t="shared" si="13"/>
        <v>8.9999999999999858E-2</v>
      </c>
      <c r="D65" s="3">
        <f t="shared" si="14"/>
        <v>8.9999999999999858E-2</v>
      </c>
      <c r="E65" s="3">
        <f t="shared" si="15"/>
        <v>0</v>
      </c>
      <c r="F65" s="3">
        <f t="shared" si="16"/>
        <v>3.1920560698349372E-2</v>
      </c>
      <c r="G65" s="3">
        <f t="shared" si="17"/>
        <v>3.5501549697658785E-2</v>
      </c>
      <c r="H65" s="3">
        <f t="shared" si="18"/>
        <v>0.8991314737016799</v>
      </c>
      <c r="I65" s="3">
        <f t="shared" si="19"/>
        <v>47.344351149588583</v>
      </c>
      <c r="R65" s="13"/>
      <c r="S65" s="12"/>
    </row>
    <row r="66" spans="1:19" ht="15.75" customHeight="1">
      <c r="A66" s="14" t="s">
        <v>72</v>
      </c>
      <c r="B66">
        <v>4.5199999999999996</v>
      </c>
      <c r="C66" s="3">
        <f t="shared" si="13"/>
        <v>5.9999999999999609E-2</v>
      </c>
      <c r="D66" s="3">
        <f t="shared" si="14"/>
        <v>5.9999999999999609E-2</v>
      </c>
      <c r="E66" s="3">
        <f t="shared" si="15"/>
        <v>0</v>
      </c>
      <c r="F66" s="3">
        <f t="shared" si="16"/>
        <v>3.392623493418153E-2</v>
      </c>
      <c r="G66" s="3">
        <f t="shared" si="17"/>
        <v>3.2965724719254588E-2</v>
      </c>
      <c r="H66" s="3">
        <f t="shared" si="18"/>
        <v>1.0291366327634814</v>
      </c>
      <c r="I66" s="3">
        <f t="shared" si="19"/>
        <v>50.717956403058977</v>
      </c>
      <c r="R66" s="13"/>
      <c r="S66" s="12"/>
    </row>
    <row r="67" spans="1:19" ht="15.75" customHeight="1">
      <c r="A67" s="14" t="s">
        <v>73</v>
      </c>
      <c r="B67">
        <v>4.51</v>
      </c>
      <c r="C67" s="3">
        <f t="shared" si="13"/>
        <v>-9.9999999999997868E-3</v>
      </c>
      <c r="D67" s="3">
        <f t="shared" si="14"/>
        <v>0</v>
      </c>
      <c r="E67" s="3">
        <f t="shared" si="15"/>
        <v>9.9999999999997868E-3</v>
      </c>
      <c r="F67" s="3">
        <f t="shared" si="16"/>
        <v>3.1502932438882851E-2</v>
      </c>
      <c r="G67" s="3">
        <f t="shared" si="17"/>
        <v>3.1325315810736387E-2</v>
      </c>
      <c r="H67" s="3">
        <f t="shared" si="18"/>
        <v>1.005670066639379</v>
      </c>
      <c r="I67" s="3">
        <f t="shared" si="19"/>
        <v>50.141350931384224</v>
      </c>
      <c r="R67" s="13"/>
      <c r="S67" s="12"/>
    </row>
    <row r="68" spans="1:19" ht="15.75" customHeight="1">
      <c r="A68" s="14" t="s">
        <v>74</v>
      </c>
      <c r="B68">
        <v>4.34</v>
      </c>
      <c r="C68" s="3">
        <f t="shared" si="13"/>
        <v>-0.16999999999999993</v>
      </c>
      <c r="D68" s="3">
        <f t="shared" si="14"/>
        <v>0</v>
      </c>
      <c r="E68" s="3">
        <f t="shared" si="15"/>
        <v>0.16999999999999993</v>
      </c>
      <c r="F68" s="3">
        <f t="shared" si="16"/>
        <v>2.9252722978962645E-2</v>
      </c>
      <c r="G68" s="3">
        <f t="shared" si="17"/>
        <v>4.1230650395683785E-2</v>
      </c>
      <c r="H68" s="3">
        <f t="shared" si="18"/>
        <v>0.70948972907846619</v>
      </c>
      <c r="I68" s="3">
        <f t="shared" si="19"/>
        <v>41.503012098290313</v>
      </c>
      <c r="R68" s="13"/>
      <c r="S68" s="12"/>
    </row>
    <row r="69" spans="1:19" ht="15.75" customHeight="1">
      <c r="A69" s="14" t="s">
        <v>75</v>
      </c>
      <c r="B69">
        <v>4.18</v>
      </c>
      <c r="C69" s="3">
        <f t="shared" si="13"/>
        <v>-0.16000000000000014</v>
      </c>
      <c r="D69" s="3">
        <f t="shared" si="14"/>
        <v>0</v>
      </c>
      <c r="E69" s="3">
        <f t="shared" si="15"/>
        <v>0.16000000000000014</v>
      </c>
      <c r="F69" s="3">
        <f t="shared" si="16"/>
        <v>2.71632427661796E-2</v>
      </c>
      <c r="G69" s="3">
        <f t="shared" si="17"/>
        <v>4.971417536742067E-2</v>
      </c>
      <c r="H69" s="3">
        <f t="shared" si="18"/>
        <v>0.54638827991061412</v>
      </c>
      <c r="I69" s="3">
        <f t="shared" si="19"/>
        <v>35.333188113802635</v>
      </c>
      <c r="R69" s="13"/>
      <c r="S69" s="12"/>
    </row>
    <row r="70" spans="1:19" ht="15.75" customHeight="1">
      <c r="A70" s="14" t="s">
        <v>76</v>
      </c>
      <c r="B70">
        <v>4.1500000000000004</v>
      </c>
      <c r="C70" s="3">
        <f t="shared" si="13"/>
        <v>-2.9999999999999361E-2</v>
      </c>
      <c r="D70" s="3">
        <f t="shared" si="14"/>
        <v>0</v>
      </c>
      <c r="E70" s="3">
        <f t="shared" si="15"/>
        <v>2.9999999999999361E-2</v>
      </c>
      <c r="F70" s="3">
        <f t="shared" si="16"/>
        <v>2.5223011140023916E-2</v>
      </c>
      <c r="G70" s="3">
        <f t="shared" si="17"/>
        <v>4.8306019984033437E-2</v>
      </c>
      <c r="H70" s="3">
        <f t="shared" si="18"/>
        <v>0.52215047210183874</v>
      </c>
      <c r="I70" s="3">
        <f t="shared" si="19"/>
        <v>34.303472729659575</v>
      </c>
      <c r="R70" s="13"/>
      <c r="S70" s="12"/>
    </row>
    <row r="71" spans="1:19" ht="15.75" customHeight="1">
      <c r="A71" s="14" t="s">
        <v>77</v>
      </c>
      <c r="B71">
        <v>4.0999999999999996</v>
      </c>
      <c r="C71" s="3">
        <f t="shared" si="13"/>
        <v>-5.0000000000000711E-2</v>
      </c>
      <c r="D71" s="3">
        <f t="shared" si="14"/>
        <v>0</v>
      </c>
      <c r="E71" s="3">
        <f t="shared" si="15"/>
        <v>5.0000000000000711E-2</v>
      </c>
      <c r="F71" s="3">
        <f t="shared" si="16"/>
        <v>2.3421367487165064E-2</v>
      </c>
      <c r="G71" s="3">
        <f t="shared" si="17"/>
        <v>4.842701855660253E-2</v>
      </c>
      <c r="H71" s="3">
        <f t="shared" si="18"/>
        <v>0.48364256535408373</v>
      </c>
      <c r="I71" s="3">
        <f t="shared" si="19"/>
        <v>32.598320960052689</v>
      </c>
      <c r="R71" s="13"/>
      <c r="S71" s="12"/>
    </row>
    <row r="72" spans="1:19" ht="15.75" customHeight="1">
      <c r="A72" s="14" t="s">
        <v>78</v>
      </c>
      <c r="B72">
        <v>3.93</v>
      </c>
      <c r="C72" s="3">
        <f t="shared" si="13"/>
        <v>-0.16999999999999948</v>
      </c>
      <c r="D72" s="3">
        <f t="shared" si="14"/>
        <v>0</v>
      </c>
      <c r="E72" s="3">
        <f t="shared" si="15"/>
        <v>0.16999999999999948</v>
      </c>
      <c r="F72" s="3">
        <f t="shared" si="16"/>
        <v>2.1748412666653276E-2</v>
      </c>
      <c r="G72" s="3">
        <f t="shared" si="17"/>
        <v>5.7110802945416594E-2</v>
      </c>
      <c r="H72" s="3">
        <f t="shared" si="18"/>
        <v>0.38081083691712808</v>
      </c>
      <c r="I72" s="3">
        <f t="shared" si="19"/>
        <v>27.57878390984726</v>
      </c>
      <c r="R72" s="13"/>
      <c r="S72" s="12"/>
    </row>
    <row r="73" spans="1:19" ht="15.75" customHeight="1">
      <c r="A73" s="14" t="s">
        <v>79</v>
      </c>
      <c r="B73">
        <v>3.69</v>
      </c>
      <c r="C73" s="3">
        <f t="shared" si="13"/>
        <v>-0.24000000000000021</v>
      </c>
      <c r="D73" s="3">
        <f t="shared" si="14"/>
        <v>0</v>
      </c>
      <c r="E73" s="3">
        <f t="shared" si="15"/>
        <v>0.24000000000000021</v>
      </c>
      <c r="F73" s="3">
        <f t="shared" si="16"/>
        <v>2.0194954619035182E-2</v>
      </c>
      <c r="G73" s="3">
        <f t="shared" si="17"/>
        <v>7.017431702074399E-2</v>
      </c>
      <c r="H73" s="3">
        <f t="shared" si="18"/>
        <v>0.28778270279517532</v>
      </c>
      <c r="I73" s="3">
        <f t="shared" si="19"/>
        <v>22.347147711375015</v>
      </c>
      <c r="R73" s="13"/>
      <c r="S73" s="12"/>
    </row>
    <row r="74" spans="1:19" ht="15.75" customHeight="1">
      <c r="A74" s="14" t="s">
        <v>80</v>
      </c>
      <c r="B74">
        <v>3.67</v>
      </c>
      <c r="C74" s="3">
        <f t="shared" si="13"/>
        <v>-2.0000000000000018E-2</v>
      </c>
      <c r="D74" s="3">
        <f t="shared" si="14"/>
        <v>0</v>
      </c>
      <c r="E74" s="3">
        <f t="shared" si="15"/>
        <v>2.0000000000000018E-2</v>
      </c>
      <c r="F74" s="3">
        <f t="shared" si="16"/>
        <v>1.875245786053267E-2</v>
      </c>
      <c r="G74" s="3">
        <f t="shared" si="17"/>
        <v>6.6590437233547989E-2</v>
      </c>
      <c r="H74" s="3">
        <f t="shared" si="18"/>
        <v>0.28160887117715544</v>
      </c>
      <c r="I74" s="3">
        <f t="shared" si="19"/>
        <v>21.973074430929785</v>
      </c>
      <c r="R74" s="13"/>
      <c r="S74" s="12"/>
    </row>
    <row r="75" spans="1:19" ht="15.75" customHeight="1">
      <c r="A75" s="14" t="s">
        <v>81</v>
      </c>
      <c r="B75">
        <v>3.6</v>
      </c>
      <c r="C75" s="3">
        <f t="shared" si="13"/>
        <v>-6.999999999999984E-2</v>
      </c>
      <c r="D75" s="3">
        <f t="shared" si="14"/>
        <v>0</v>
      </c>
      <c r="E75" s="3">
        <f t="shared" si="15"/>
        <v>6.999999999999984E-2</v>
      </c>
      <c r="F75" s="3">
        <f t="shared" si="16"/>
        <v>1.7412996584780335E-2</v>
      </c>
      <c r="G75" s="3">
        <f t="shared" si="17"/>
        <v>6.6833977431151687E-2</v>
      </c>
      <c r="H75" s="3">
        <f t="shared" si="18"/>
        <v>0.26054107886543409</v>
      </c>
      <c r="I75" s="3">
        <f t="shared" si="19"/>
        <v>20.66898756682626</v>
      </c>
      <c r="R75" s="13"/>
      <c r="S75" s="12"/>
    </row>
    <row r="76" spans="1:19" ht="15.75" customHeight="1">
      <c r="A76" s="14" t="s">
        <v>82</v>
      </c>
      <c r="B76">
        <v>3.58</v>
      </c>
      <c r="C76" s="3">
        <f t="shared" si="13"/>
        <v>-2.0000000000000018E-2</v>
      </c>
      <c r="D76" s="3">
        <f t="shared" si="14"/>
        <v>0</v>
      </c>
      <c r="E76" s="3">
        <f t="shared" si="15"/>
        <v>2.0000000000000018E-2</v>
      </c>
      <c r="F76" s="3">
        <f t="shared" si="16"/>
        <v>1.6169211114438885E-2</v>
      </c>
      <c r="G76" s="3">
        <f t="shared" si="17"/>
        <v>6.3488693328926565E-2</v>
      </c>
      <c r="H76" s="3">
        <f t="shared" si="18"/>
        <v>0.25467859340982701</v>
      </c>
      <c r="I76" s="3">
        <f t="shared" si="19"/>
        <v>20.298313428436657</v>
      </c>
      <c r="R76" s="13"/>
      <c r="S76" s="12"/>
    </row>
    <row r="77" spans="1:19" ht="15.75" customHeight="1">
      <c r="A77" s="14" t="s">
        <v>83</v>
      </c>
      <c r="B77">
        <v>3.55</v>
      </c>
      <c r="C77" s="3">
        <f t="shared" si="13"/>
        <v>-3.0000000000000249E-2</v>
      </c>
      <c r="D77" s="3">
        <f t="shared" si="14"/>
        <v>0</v>
      </c>
      <c r="E77" s="3">
        <f t="shared" si="15"/>
        <v>3.0000000000000249E-2</v>
      </c>
      <c r="F77" s="3">
        <f t="shared" si="16"/>
        <v>1.5014267463407536E-2</v>
      </c>
      <c r="G77" s="3">
        <f t="shared" si="17"/>
        <v>6.1096643805431831E-2</v>
      </c>
      <c r="H77" s="3">
        <f t="shared" si="18"/>
        <v>0.24574619043268436</v>
      </c>
      <c r="I77" s="3">
        <f t="shared" si="19"/>
        <v>19.726826565476344</v>
      </c>
      <c r="R77" s="13"/>
      <c r="S77" s="12"/>
    </row>
    <row r="78" spans="1:19" ht="15.75" customHeight="1">
      <c r="A78" s="14" t="s">
        <v>84</v>
      </c>
      <c r="B78">
        <v>3.34</v>
      </c>
      <c r="C78" s="3">
        <f t="shared" si="13"/>
        <v>-0.20999999999999996</v>
      </c>
      <c r="D78" s="3">
        <f t="shared" si="14"/>
        <v>0</v>
      </c>
      <c r="E78" s="3">
        <f t="shared" si="15"/>
        <v>0.20999999999999996</v>
      </c>
      <c r="F78" s="3">
        <f t="shared" si="16"/>
        <v>1.3941819787449855E-2</v>
      </c>
      <c r="G78" s="3">
        <f t="shared" si="17"/>
        <v>7.1732597819329572E-2</v>
      </c>
      <c r="H78" s="3">
        <f t="shared" si="18"/>
        <v>0.19435821664460887</v>
      </c>
      <c r="I78" s="3">
        <f t="shared" si="19"/>
        <v>16.273025457189263</v>
      </c>
      <c r="R78" s="13"/>
      <c r="S78" s="12"/>
    </row>
    <row r="79" spans="1:19" ht="15.75" customHeight="1">
      <c r="A79" s="14" t="s">
        <v>85</v>
      </c>
      <c r="B79">
        <v>3.17</v>
      </c>
      <c r="C79" s="3">
        <f t="shared" si="13"/>
        <v>-0.16999999999999993</v>
      </c>
      <c r="D79" s="3">
        <f t="shared" si="14"/>
        <v>0</v>
      </c>
      <c r="E79" s="3">
        <f t="shared" si="15"/>
        <v>0.16999999999999993</v>
      </c>
      <c r="F79" s="3">
        <f t="shared" si="16"/>
        <v>1.2945975516917721E-2</v>
      </c>
      <c r="G79" s="3">
        <f t="shared" si="17"/>
        <v>7.8751697975091739E-2</v>
      </c>
      <c r="H79" s="3">
        <f t="shared" si="18"/>
        <v>0.16438979539225154</v>
      </c>
      <c r="I79" s="3">
        <f t="shared" si="19"/>
        <v>14.118106843840295</v>
      </c>
      <c r="R79" s="13"/>
      <c r="S79" s="12"/>
    </row>
    <row r="80" spans="1:19" ht="15.75" customHeight="1">
      <c r="A80" s="14" t="s">
        <v>86</v>
      </c>
      <c r="B80">
        <v>2.94</v>
      </c>
      <c r="C80" s="3">
        <f t="shared" si="13"/>
        <v>-0.22999999999999998</v>
      </c>
      <c r="D80" s="3">
        <f t="shared" si="14"/>
        <v>0</v>
      </c>
      <c r="E80" s="3">
        <f t="shared" si="15"/>
        <v>0.22999999999999998</v>
      </c>
      <c r="F80" s="3">
        <f t="shared" si="16"/>
        <v>1.2021262979995026E-2</v>
      </c>
      <c r="G80" s="3">
        <f t="shared" si="17"/>
        <v>8.9555148119728048E-2</v>
      </c>
      <c r="H80" s="3">
        <f t="shared" si="18"/>
        <v>0.13423307573478144</v>
      </c>
      <c r="I80" s="3">
        <f t="shared" si="19"/>
        <v>11.834699464025263</v>
      </c>
      <c r="R80" s="13"/>
      <c r="S80" s="12"/>
    </row>
    <row r="81" spans="1:19" ht="15.75" customHeight="1">
      <c r="A81" s="14" t="s">
        <v>87</v>
      </c>
      <c r="B81">
        <v>2.94</v>
      </c>
      <c r="C81" s="3">
        <f t="shared" si="13"/>
        <v>0</v>
      </c>
      <c r="D81" s="3">
        <f t="shared" si="14"/>
        <v>0</v>
      </c>
      <c r="E81" s="3">
        <f t="shared" si="15"/>
        <v>0</v>
      </c>
      <c r="F81" s="3">
        <f t="shared" si="16"/>
        <v>1.1162601338566809E-2</v>
      </c>
      <c r="G81" s="3">
        <f t="shared" si="17"/>
        <v>8.315835182546176E-2</v>
      </c>
      <c r="H81" s="3">
        <f t="shared" si="18"/>
        <v>0.13423307573478144</v>
      </c>
      <c r="I81" s="3">
        <f t="shared" si="19"/>
        <v>11.834699464025263</v>
      </c>
      <c r="R81" s="13"/>
      <c r="S81" s="12"/>
    </row>
    <row r="82" spans="1:19" ht="15.75" customHeight="1">
      <c r="A82" s="14" t="s">
        <v>88</v>
      </c>
      <c r="B82">
        <v>2.73</v>
      </c>
      <c r="C82" s="3">
        <f t="shared" si="13"/>
        <v>-0.20999999999999996</v>
      </c>
      <c r="D82" s="3">
        <f t="shared" si="14"/>
        <v>0</v>
      </c>
      <c r="E82" s="3">
        <f t="shared" si="15"/>
        <v>0.20999999999999996</v>
      </c>
      <c r="F82" s="3">
        <f t="shared" si="16"/>
        <v>1.0365272671526324E-2</v>
      </c>
      <c r="G82" s="3">
        <f t="shared" si="17"/>
        <v>9.221846955221448E-2</v>
      </c>
      <c r="H82" s="3">
        <f t="shared" si="18"/>
        <v>0.1123990966436226</v>
      </c>
      <c r="I82" s="3">
        <f t="shared" si="19"/>
        <v>10.104206033855817</v>
      </c>
      <c r="R82" s="13"/>
      <c r="S82" s="12"/>
    </row>
    <row r="83" spans="1:19" ht="15.75" customHeight="1">
      <c r="A83" s="14" t="s">
        <v>89</v>
      </c>
      <c r="B83">
        <v>2.85</v>
      </c>
      <c r="C83" s="3">
        <f t="shared" si="13"/>
        <v>0.12000000000000011</v>
      </c>
      <c r="D83" s="3">
        <f t="shared" si="14"/>
        <v>0.12000000000000011</v>
      </c>
      <c r="E83" s="3">
        <f t="shared" si="15"/>
        <v>0</v>
      </c>
      <c r="F83" s="3">
        <f t="shared" si="16"/>
        <v>1.8196324623560165E-2</v>
      </c>
      <c r="G83" s="3">
        <f t="shared" si="17"/>
        <v>8.5631436012770581E-2</v>
      </c>
      <c r="H83" s="3">
        <f t="shared" si="18"/>
        <v>0.21249584814677719</v>
      </c>
      <c r="I83" s="3">
        <f t="shared" si="19"/>
        <v>17.525490785932462</v>
      </c>
      <c r="R83" s="13"/>
      <c r="S83" s="12"/>
    </row>
    <row r="84" spans="1:19" ht="15.75" customHeight="1">
      <c r="A84" s="14" t="s">
        <v>90</v>
      </c>
      <c r="B84">
        <v>3.05</v>
      </c>
      <c r="C84" s="3">
        <f t="shared" si="13"/>
        <v>0.19999999999999973</v>
      </c>
      <c r="D84" s="3">
        <f t="shared" si="14"/>
        <v>0.19999999999999973</v>
      </c>
      <c r="E84" s="3">
        <f t="shared" si="15"/>
        <v>0</v>
      </c>
      <c r="F84" s="3">
        <f t="shared" si="16"/>
        <v>3.1182301436162994E-2</v>
      </c>
      <c r="G84" s="3">
        <f t="shared" si="17"/>
        <v>7.9514904869001257E-2</v>
      </c>
      <c r="H84" s="3">
        <f t="shared" si="18"/>
        <v>0.39215668417807992</v>
      </c>
      <c r="I84" s="3">
        <f t="shared" si="19"/>
        <v>28.169004871000325</v>
      </c>
      <c r="R84" s="13"/>
      <c r="S84" s="12"/>
    </row>
    <row r="85" spans="1:19" ht="15.75" customHeight="1">
      <c r="A85" s="14" t="s">
        <v>91</v>
      </c>
      <c r="B85">
        <v>3.24</v>
      </c>
      <c r="C85" s="3">
        <f t="shared" si="13"/>
        <v>0.19000000000000039</v>
      </c>
      <c r="D85" s="3">
        <f t="shared" si="14"/>
        <v>0.19000000000000039</v>
      </c>
      <c r="E85" s="3">
        <f t="shared" si="15"/>
        <v>0</v>
      </c>
      <c r="F85" s="3">
        <f t="shared" si="16"/>
        <v>4.2526422762151385E-2</v>
      </c>
      <c r="G85" s="3">
        <f t="shared" si="17"/>
        <v>7.3835268806929727E-2</v>
      </c>
      <c r="H85" s="3">
        <f t="shared" si="18"/>
        <v>0.57596353950241341</v>
      </c>
      <c r="I85" s="3">
        <f t="shared" si="19"/>
        <v>36.546755370004639</v>
      </c>
      <c r="R85" s="13"/>
      <c r="S85" s="12"/>
    </row>
    <row r="86" spans="1:19" ht="15.75" customHeight="1">
      <c r="A86" s="14" t="s">
        <v>92</v>
      </c>
      <c r="B86">
        <v>3.31</v>
      </c>
      <c r="C86" s="3">
        <f t="shared" si="13"/>
        <v>6.999999999999984E-2</v>
      </c>
      <c r="D86" s="3">
        <f t="shared" si="14"/>
        <v>6.999999999999984E-2</v>
      </c>
      <c r="E86" s="3">
        <f t="shared" si="15"/>
        <v>0</v>
      </c>
      <c r="F86" s="3">
        <f t="shared" si="16"/>
        <v>4.448882113628342E-2</v>
      </c>
      <c r="G86" s="3">
        <f t="shared" si="17"/>
        <v>6.8561321035006173E-2</v>
      </c>
      <c r="H86" s="3">
        <f t="shared" si="18"/>
        <v>0.64889095578494227</v>
      </c>
      <c r="I86" s="3">
        <f t="shared" si="19"/>
        <v>39.353175751761135</v>
      </c>
      <c r="R86" s="13"/>
      <c r="S86" s="12"/>
    </row>
    <row r="87" spans="1:19" ht="15.75" customHeight="1">
      <c r="A87" s="14" t="s">
        <v>93</v>
      </c>
      <c r="B87">
        <v>3.26</v>
      </c>
      <c r="C87" s="3">
        <f t="shared" si="13"/>
        <v>-5.0000000000000266E-2</v>
      </c>
      <c r="D87" s="3">
        <f t="shared" si="14"/>
        <v>0</v>
      </c>
      <c r="E87" s="3">
        <f t="shared" si="15"/>
        <v>5.0000000000000266E-2</v>
      </c>
      <c r="F87" s="3">
        <f t="shared" si="16"/>
        <v>4.1311048197977464E-2</v>
      </c>
      <c r="G87" s="3">
        <f t="shared" si="17"/>
        <v>6.7235512389648616E-2</v>
      </c>
      <c r="H87" s="3">
        <f t="shared" si="18"/>
        <v>0.61442304415809867</v>
      </c>
      <c r="I87" s="3">
        <f t="shared" si="19"/>
        <v>38.058366819120359</v>
      </c>
      <c r="R87" s="13"/>
      <c r="S87" s="12"/>
    </row>
    <row r="88" spans="1:19" ht="15.75" customHeight="1">
      <c r="A88" s="14" t="s">
        <v>94</v>
      </c>
      <c r="B88">
        <v>3.25</v>
      </c>
      <c r="C88" s="3">
        <f t="shared" si="13"/>
        <v>-9.9999999999997868E-3</v>
      </c>
      <c r="D88" s="3">
        <f t="shared" si="14"/>
        <v>0</v>
      </c>
      <c r="E88" s="3">
        <f t="shared" si="15"/>
        <v>9.9999999999997868E-3</v>
      </c>
      <c r="F88" s="3">
        <f t="shared" si="16"/>
        <v>3.8360259040979075E-2</v>
      </c>
      <c r="G88" s="3">
        <f t="shared" si="17"/>
        <v>6.3147261504673702E-2</v>
      </c>
      <c r="H88" s="3">
        <f t="shared" si="18"/>
        <v>0.6074730420121216</v>
      </c>
      <c r="I88" s="3">
        <f t="shared" si="19"/>
        <v>37.790558605681468</v>
      </c>
      <c r="R88" s="13"/>
      <c r="S88" s="12"/>
    </row>
    <row r="89" spans="1:19" ht="15.75" customHeight="1">
      <c r="A89" s="14" t="s">
        <v>95</v>
      </c>
      <c r="B89">
        <v>3.25</v>
      </c>
      <c r="C89" s="3">
        <f t="shared" si="13"/>
        <v>0</v>
      </c>
      <c r="D89" s="3">
        <f t="shared" si="14"/>
        <v>0</v>
      </c>
      <c r="E89" s="3">
        <f t="shared" si="15"/>
        <v>0</v>
      </c>
      <c r="F89" s="3">
        <f t="shared" si="16"/>
        <v>3.5620240538051996E-2</v>
      </c>
      <c r="G89" s="3">
        <f t="shared" si="17"/>
        <v>5.8636742825768438E-2</v>
      </c>
      <c r="H89" s="3">
        <f t="shared" si="18"/>
        <v>0.60747304201212149</v>
      </c>
      <c r="I89" s="3">
        <f t="shared" si="19"/>
        <v>37.790558605681468</v>
      </c>
      <c r="R89" s="13"/>
      <c r="S89" s="12"/>
    </row>
    <row r="90" spans="1:19" ht="15.75" customHeight="1">
      <c r="A90" s="14" t="s">
        <v>96</v>
      </c>
      <c r="B90">
        <v>3.18</v>
      </c>
      <c r="C90" s="3">
        <f t="shared" si="13"/>
        <v>-6.999999999999984E-2</v>
      </c>
      <c r="D90" s="3">
        <f t="shared" si="14"/>
        <v>0</v>
      </c>
      <c r="E90" s="3">
        <f t="shared" si="15"/>
        <v>6.999999999999984E-2</v>
      </c>
      <c r="F90" s="3">
        <f t="shared" si="16"/>
        <v>3.3075937642476856E-2</v>
      </c>
      <c r="G90" s="3">
        <f t="shared" si="17"/>
        <v>5.9448404052499251E-2</v>
      </c>
      <c r="H90" s="3">
        <f t="shared" si="18"/>
        <v>0.55638058194577089</v>
      </c>
      <c r="I90" s="3">
        <f t="shared" si="19"/>
        <v>35.748363118883802</v>
      </c>
      <c r="R90" s="13"/>
      <c r="S90" s="12"/>
    </row>
    <row r="91" spans="1:19" ht="15.75" customHeight="1">
      <c r="A91" s="14" t="s">
        <v>97</v>
      </c>
      <c r="B91">
        <v>3.24</v>
      </c>
      <c r="C91" s="3">
        <f t="shared" si="13"/>
        <v>6.0000000000000053E-2</v>
      </c>
      <c r="D91" s="3">
        <f t="shared" si="14"/>
        <v>6.0000000000000053E-2</v>
      </c>
      <c r="E91" s="3">
        <f t="shared" si="15"/>
        <v>0</v>
      </c>
      <c r="F91" s="3">
        <f t="shared" si="16"/>
        <v>3.4999084953728513E-2</v>
      </c>
      <c r="G91" s="3">
        <f t="shared" si="17"/>
        <v>5.5202089477320734E-2</v>
      </c>
      <c r="H91" s="3">
        <f t="shared" si="18"/>
        <v>0.63401739472393637</v>
      </c>
      <c r="I91" s="3">
        <f t="shared" si="19"/>
        <v>38.801141087671965</v>
      </c>
      <c r="R91" s="13"/>
      <c r="S91" s="12"/>
    </row>
    <row r="92" spans="1:19" ht="15.75" customHeight="1">
      <c r="A92" s="14" t="s">
        <v>98</v>
      </c>
      <c r="B92">
        <v>3.33</v>
      </c>
      <c r="C92" s="3">
        <f t="shared" si="13"/>
        <v>8.9999999999999858E-2</v>
      </c>
      <c r="D92" s="3">
        <f t="shared" si="14"/>
        <v>8.9999999999999858E-2</v>
      </c>
      <c r="E92" s="3">
        <f t="shared" si="15"/>
        <v>0</v>
      </c>
      <c r="F92" s="3">
        <f t="shared" si="16"/>
        <v>3.8927721742747896E-2</v>
      </c>
      <c r="G92" s="3">
        <f t="shared" si="17"/>
        <v>5.1259083086083533E-2</v>
      </c>
      <c r="H92" s="3">
        <f t="shared" si="18"/>
        <v>0.75943070767328047</v>
      </c>
      <c r="I92" s="3">
        <f t="shared" si="19"/>
        <v>43.163433738039764</v>
      </c>
      <c r="R92" s="13"/>
      <c r="S92" s="12"/>
    </row>
    <row r="93" spans="1:19" ht="15.75" customHeight="1">
      <c r="A93" s="14" t="s">
        <v>99</v>
      </c>
      <c r="B93">
        <v>3.34</v>
      </c>
      <c r="C93" s="3">
        <f t="shared" si="13"/>
        <v>9.9999999999997868E-3</v>
      </c>
      <c r="D93" s="3">
        <f t="shared" si="14"/>
        <v>9.9999999999997868E-3</v>
      </c>
      <c r="E93" s="3">
        <f t="shared" si="15"/>
        <v>0</v>
      </c>
      <c r="F93" s="3">
        <f t="shared" si="16"/>
        <v>3.686145590398017E-2</v>
      </c>
      <c r="G93" s="3">
        <f t="shared" si="17"/>
        <v>4.7597720008506136E-2</v>
      </c>
      <c r="H93" s="3">
        <f t="shared" si="18"/>
        <v>0.77443742888089384</v>
      </c>
      <c r="I93" s="3">
        <f t="shared" si="19"/>
        <v>43.644110312152158</v>
      </c>
      <c r="R93" s="13"/>
      <c r="S93" s="12"/>
    </row>
    <row r="94" spans="1:19" ht="15.75" customHeight="1">
      <c r="A94" s="14" t="s">
        <v>100</v>
      </c>
      <c r="B94">
        <v>3.41</v>
      </c>
      <c r="C94" s="3">
        <f t="shared" si="13"/>
        <v>7.0000000000000284E-2</v>
      </c>
      <c r="D94" s="3">
        <f t="shared" si="14"/>
        <v>7.0000000000000284E-2</v>
      </c>
      <c r="E94" s="3">
        <f t="shared" si="15"/>
        <v>0</v>
      </c>
      <c r="F94" s="3">
        <f t="shared" si="16"/>
        <v>3.9228494767981612E-2</v>
      </c>
      <c r="G94" s="3">
        <f t="shared" si="17"/>
        <v>4.4197882865041407E-2</v>
      </c>
      <c r="H94" s="3">
        <f t="shared" si="18"/>
        <v>0.88756501952290645</v>
      </c>
      <c r="I94" s="3">
        <f t="shared" si="19"/>
        <v>47.021692516173239</v>
      </c>
      <c r="R94" s="13"/>
      <c r="S94" s="12"/>
    </row>
    <row r="95" spans="1:19" ht="15.75" customHeight="1">
      <c r="A95" s="14" t="s">
        <v>101</v>
      </c>
      <c r="B95">
        <v>3.48</v>
      </c>
      <c r="C95" s="3">
        <f t="shared" si="13"/>
        <v>6.999999999999984E-2</v>
      </c>
      <c r="D95" s="3">
        <f t="shared" si="14"/>
        <v>6.999999999999984E-2</v>
      </c>
      <c r="E95" s="3">
        <f t="shared" si="15"/>
        <v>0</v>
      </c>
      <c r="F95" s="3">
        <f t="shared" si="16"/>
        <v>4.142645942741148E-2</v>
      </c>
      <c r="G95" s="3">
        <f t="shared" si="17"/>
        <v>4.104089123182416E-2</v>
      </c>
      <c r="H95" s="3">
        <f t="shared" si="18"/>
        <v>1.0093947325219961</v>
      </c>
      <c r="I95" s="3">
        <f t="shared" si="19"/>
        <v>50.233770208758457</v>
      </c>
      <c r="R95" s="13"/>
      <c r="S95" s="12"/>
    </row>
    <row r="96" spans="1:19" ht="15.75" customHeight="1">
      <c r="A96" s="14" t="s">
        <v>102</v>
      </c>
      <c r="B96">
        <v>3.45</v>
      </c>
      <c r="C96" s="3">
        <f t="shared" si="13"/>
        <v>-2.9999999999999805E-2</v>
      </c>
      <c r="D96" s="3">
        <f t="shared" si="14"/>
        <v>0</v>
      </c>
      <c r="E96" s="3">
        <f t="shared" si="15"/>
        <v>2.9999999999999805E-2</v>
      </c>
      <c r="F96" s="3">
        <f t="shared" si="16"/>
        <v>3.8467426611167803E-2</v>
      </c>
      <c r="G96" s="3">
        <f t="shared" si="17"/>
        <v>4.0252256143836707E-2</v>
      </c>
      <c r="H96" s="3">
        <f t="shared" si="18"/>
        <v>0.95565889458988273</v>
      </c>
      <c r="I96" s="3">
        <f t="shared" si="19"/>
        <v>48.866338461866178</v>
      </c>
      <c r="R96" s="13"/>
      <c r="S96" s="12"/>
    </row>
    <row r="97" spans="1:19" ht="15.75" customHeight="1">
      <c r="A97" s="14" t="s">
        <v>103</v>
      </c>
      <c r="B97">
        <v>3.52</v>
      </c>
      <c r="C97" s="3">
        <f t="shared" si="13"/>
        <v>6.999999999999984E-2</v>
      </c>
      <c r="D97" s="3">
        <f t="shared" si="14"/>
        <v>6.999999999999984E-2</v>
      </c>
      <c r="E97" s="3">
        <f t="shared" si="15"/>
        <v>0</v>
      </c>
      <c r="F97" s="3">
        <f t="shared" si="16"/>
        <v>4.0719753281798665E-2</v>
      </c>
      <c r="G97" s="3">
        <f t="shared" si="17"/>
        <v>3.7377094990705517E-2</v>
      </c>
      <c r="H97" s="3">
        <f t="shared" si="18"/>
        <v>1.0894306604599517</v>
      </c>
      <c r="I97" s="3">
        <f t="shared" si="19"/>
        <v>52.140072464531201</v>
      </c>
      <c r="R97" s="13"/>
      <c r="S97" s="12"/>
    </row>
    <row r="98" spans="1:19" ht="15.75" customHeight="1">
      <c r="A98" s="14" t="s">
        <v>104</v>
      </c>
      <c r="B98">
        <v>3.48</v>
      </c>
      <c r="C98" s="3">
        <f t="shared" si="13"/>
        <v>-4.0000000000000036E-2</v>
      </c>
      <c r="D98" s="3">
        <f t="shared" si="14"/>
        <v>0</v>
      </c>
      <c r="E98" s="3">
        <f t="shared" si="15"/>
        <v>4.0000000000000036E-2</v>
      </c>
      <c r="F98" s="3">
        <f t="shared" si="16"/>
        <v>3.7811199475955903E-2</v>
      </c>
      <c r="G98" s="3">
        <f t="shared" si="17"/>
        <v>3.756444534851227E-2</v>
      </c>
      <c r="H98" s="3">
        <f t="shared" si="18"/>
        <v>1.0065688212658093</v>
      </c>
      <c r="I98" s="3">
        <f t="shared" si="19"/>
        <v>50.16368292969053</v>
      </c>
      <c r="R98" s="13"/>
      <c r="S98" s="12"/>
    </row>
    <row r="99" spans="1:19" ht="15.75" customHeight="1">
      <c r="A99" s="14" t="s">
        <v>105</v>
      </c>
      <c r="B99">
        <v>3.47</v>
      </c>
      <c r="C99" s="3">
        <f t="shared" si="13"/>
        <v>-9.9999999999997868E-3</v>
      </c>
      <c r="D99" s="3">
        <f t="shared" si="14"/>
        <v>0</v>
      </c>
      <c r="E99" s="3">
        <f t="shared" si="15"/>
        <v>9.9999999999997868E-3</v>
      </c>
      <c r="F99" s="3">
        <f t="shared" si="16"/>
        <v>3.5110399513387625E-2</v>
      </c>
      <c r="G99" s="3">
        <f t="shared" si="17"/>
        <v>3.5595556395047093E-2</v>
      </c>
      <c r="H99" s="3">
        <f t="shared" si="18"/>
        <v>0.98637029644163743</v>
      </c>
      <c r="I99" s="3">
        <f t="shared" si="19"/>
        <v>49.656919367381334</v>
      </c>
      <c r="R99" s="13"/>
      <c r="S99" s="12"/>
    </row>
    <row r="100" spans="1:19" ht="15.75" customHeight="1">
      <c r="A100" s="14" t="s">
        <v>106</v>
      </c>
      <c r="B100">
        <v>3.45</v>
      </c>
      <c r="C100" s="3">
        <f t="shared" si="13"/>
        <v>-2.0000000000000018E-2</v>
      </c>
      <c r="D100" s="3">
        <f t="shared" si="14"/>
        <v>0</v>
      </c>
      <c r="E100" s="3">
        <f t="shared" si="15"/>
        <v>2.0000000000000018E-2</v>
      </c>
      <c r="F100" s="3">
        <f t="shared" si="16"/>
        <v>3.2602513833859939E-2</v>
      </c>
      <c r="G100" s="3">
        <f t="shared" si="17"/>
        <v>3.4481588081115157E-2</v>
      </c>
      <c r="H100" s="3">
        <f t="shared" si="18"/>
        <v>0.94550499696142631</v>
      </c>
      <c r="I100" s="3">
        <f t="shared" si="19"/>
        <v>48.599463812128825</v>
      </c>
      <c r="R100" s="13"/>
      <c r="S100" s="12"/>
    </row>
    <row r="101" spans="1:19" ht="15.75" customHeight="1">
      <c r="A101" s="14" t="s">
        <v>107</v>
      </c>
      <c r="B101">
        <v>3.58</v>
      </c>
      <c r="C101" s="3">
        <f t="shared" si="13"/>
        <v>0.12999999999999989</v>
      </c>
      <c r="D101" s="3">
        <f t="shared" si="14"/>
        <v>0.12999999999999989</v>
      </c>
      <c r="E101" s="3">
        <f t="shared" si="15"/>
        <v>0</v>
      </c>
      <c r="F101" s="3">
        <f t="shared" si="16"/>
        <v>3.9559477131441367E-2</v>
      </c>
      <c r="G101" s="3">
        <f t="shared" si="17"/>
        <v>3.2018617503892642E-2</v>
      </c>
      <c r="H101" s="3">
        <f t="shared" si="18"/>
        <v>1.2355148415334283</v>
      </c>
      <c r="I101" s="3">
        <f t="shared" si="19"/>
        <v>55.267574993415813</v>
      </c>
      <c r="R101" s="13"/>
      <c r="S101" s="12"/>
    </row>
    <row r="102" spans="1:19" ht="15.75" customHeight="1">
      <c r="A102" s="14" t="s">
        <v>108</v>
      </c>
      <c r="B102">
        <v>3.71</v>
      </c>
      <c r="C102" s="3">
        <f t="shared" ref="C102:C105" si="20">B102-B101</f>
        <v>0.12999999999999989</v>
      </c>
      <c r="D102" s="3">
        <f t="shared" ref="D102:D165" si="21">IF(C102&gt;0,C102,0)</f>
        <v>0.12999999999999989</v>
      </c>
      <c r="E102" s="3">
        <f t="shared" ref="E102:E165" si="22">IF(C102&lt;0,-C102,0)</f>
        <v>0</v>
      </c>
      <c r="F102" s="3">
        <f t="shared" ref="F102:F165" si="23">((F101*13)+D102)/14</f>
        <v>4.6019514479195549E-2</v>
      </c>
      <c r="G102" s="3">
        <f t="shared" ref="G102:G165" si="24">((G101*13)+E102)/14</f>
        <v>2.9731573396471738E-2</v>
      </c>
      <c r="H102" s="3">
        <f t="shared" ref="H102:H165" si="25">F102/G102</f>
        <v>1.5478331356878916</v>
      </c>
      <c r="I102" s="3">
        <f t="shared" ref="I102:I165" si="26">IF(G102=0,100,100-(100/(1+H102)))</f>
        <v>60.750961827411466</v>
      </c>
      <c r="R102" s="13"/>
      <c r="S102" s="12"/>
    </row>
    <row r="103" spans="1:19" ht="15.75" customHeight="1">
      <c r="A103" s="14" t="s">
        <v>109</v>
      </c>
      <c r="B103">
        <v>3.65</v>
      </c>
      <c r="C103" s="3">
        <f t="shared" si="20"/>
        <v>-6.0000000000000053E-2</v>
      </c>
      <c r="D103" s="3">
        <f t="shared" si="21"/>
        <v>0</v>
      </c>
      <c r="E103" s="3">
        <f t="shared" si="22"/>
        <v>6.0000000000000053E-2</v>
      </c>
      <c r="F103" s="3">
        <f t="shared" si="23"/>
        <v>4.2732406302110157E-2</v>
      </c>
      <c r="G103" s="3">
        <f t="shared" si="24"/>
        <v>3.1893603868152334E-2</v>
      </c>
      <c r="H103" s="3">
        <f t="shared" si="25"/>
        <v>1.3398425113312771</v>
      </c>
      <c r="I103" s="3">
        <f t="shared" si="26"/>
        <v>57.262080881202557</v>
      </c>
      <c r="R103" s="13"/>
      <c r="S103" s="12"/>
    </row>
    <row r="104" spans="1:19" ht="15.75" customHeight="1">
      <c r="A104" s="14" t="s">
        <v>110</v>
      </c>
      <c r="B104">
        <v>3.77</v>
      </c>
      <c r="C104" s="3">
        <f t="shared" si="20"/>
        <v>0.12000000000000011</v>
      </c>
      <c r="D104" s="3">
        <f t="shared" si="21"/>
        <v>0.12000000000000011</v>
      </c>
      <c r="E104" s="3">
        <f t="shared" si="22"/>
        <v>0</v>
      </c>
      <c r="F104" s="3">
        <f t="shared" si="23"/>
        <v>4.8251520137673719E-2</v>
      </c>
      <c r="G104" s="3">
        <f t="shared" si="24"/>
        <v>2.9615489306141451E-2</v>
      </c>
      <c r="H104" s="3">
        <f t="shared" si="25"/>
        <v>1.6292663490678054</v>
      </c>
      <c r="I104" s="3">
        <f t="shared" si="26"/>
        <v>61.966576708573264</v>
      </c>
      <c r="R104" s="13"/>
      <c r="S104" s="12"/>
    </row>
    <row r="105" spans="1:19" ht="15.75" customHeight="1">
      <c r="A105" s="14" t="s">
        <v>111</v>
      </c>
      <c r="B105">
        <v>3.94</v>
      </c>
      <c r="C105" s="3">
        <f t="shared" si="20"/>
        <v>0.16999999999999993</v>
      </c>
      <c r="D105" s="3">
        <f t="shared" si="21"/>
        <v>0.16999999999999993</v>
      </c>
      <c r="E105" s="3">
        <f t="shared" si="22"/>
        <v>0</v>
      </c>
      <c r="F105" s="3">
        <f t="shared" si="23"/>
        <v>5.6947840127839877E-2</v>
      </c>
      <c r="G105" s="3">
        <f t="shared" si="24"/>
        <v>2.7500097212845631E-2</v>
      </c>
      <c r="H105" s="3">
        <f t="shared" si="25"/>
        <v>2.0708232297171243</v>
      </c>
      <c r="I105" s="3">
        <f t="shared" si="26"/>
        <v>67.435442381614479</v>
      </c>
      <c r="R105" s="13"/>
      <c r="S105" s="12"/>
    </row>
    <row r="106" spans="1:19" ht="15.75" customHeight="1">
      <c r="A106" s="14" t="s">
        <v>112</v>
      </c>
      <c r="B106">
        <v>3.96</v>
      </c>
      <c r="C106" s="3">
        <f>B106-B105</f>
        <v>2.0000000000000018E-2</v>
      </c>
      <c r="D106" s="3">
        <f t="shared" si="21"/>
        <v>2.0000000000000018E-2</v>
      </c>
      <c r="E106" s="3">
        <f t="shared" si="22"/>
        <v>0</v>
      </c>
      <c r="F106" s="3">
        <f t="shared" si="23"/>
        <v>5.4308708690137028E-2</v>
      </c>
      <c r="G106" s="3">
        <f t="shared" si="24"/>
        <v>2.553580455478523E-2</v>
      </c>
      <c r="H106" s="3">
        <f t="shared" si="25"/>
        <v>2.1267670878989384</v>
      </c>
      <c r="I106" s="3">
        <f t="shared" si="26"/>
        <v>68.018084753733291</v>
      </c>
      <c r="R106" s="13"/>
      <c r="S106" s="12"/>
    </row>
    <row r="107" spans="1:19" ht="15.75" customHeight="1">
      <c r="A107" s="14" t="s">
        <v>113</v>
      </c>
      <c r="B107">
        <v>4.04</v>
      </c>
      <c r="C107" s="3">
        <f t="shared" ref="C107:C170" si="27">B107-B106</f>
        <v>8.0000000000000071E-2</v>
      </c>
      <c r="D107" s="3">
        <f t="shared" si="21"/>
        <v>8.0000000000000071E-2</v>
      </c>
      <c r="E107" s="3">
        <f t="shared" si="22"/>
        <v>0</v>
      </c>
      <c r="F107" s="3">
        <f t="shared" si="23"/>
        <v>5.6143800926555812E-2</v>
      </c>
      <c r="G107" s="3">
        <f t="shared" si="24"/>
        <v>2.3711818515157714E-2</v>
      </c>
      <c r="H107" s="3">
        <f t="shared" si="25"/>
        <v>2.3677560154513686</v>
      </c>
      <c r="I107" s="3">
        <f t="shared" si="26"/>
        <v>70.306637552959032</v>
      </c>
      <c r="R107" s="13"/>
      <c r="S107" s="12"/>
    </row>
    <row r="108" spans="1:19" ht="15.75" customHeight="1">
      <c r="A108" s="14" t="s">
        <v>114</v>
      </c>
      <c r="B108">
        <v>4.07</v>
      </c>
      <c r="C108" s="3">
        <f t="shared" si="27"/>
        <v>3.0000000000000249E-2</v>
      </c>
      <c r="D108" s="3">
        <f t="shared" si="21"/>
        <v>3.0000000000000249E-2</v>
      </c>
      <c r="E108" s="3">
        <f t="shared" si="22"/>
        <v>0</v>
      </c>
      <c r="F108" s="3">
        <f t="shared" si="23"/>
        <v>5.427638657465899E-2</v>
      </c>
      <c r="G108" s="3">
        <f t="shared" si="24"/>
        <v>2.2018117192646451E-2</v>
      </c>
      <c r="H108" s="3">
        <f t="shared" si="25"/>
        <v>2.4650784669629275</v>
      </c>
      <c r="I108" s="3">
        <f t="shared" si="26"/>
        <v>71.140624677498863</v>
      </c>
      <c r="R108" s="13"/>
      <c r="S108" s="12"/>
    </row>
    <row r="109" spans="1:19" ht="15.75" customHeight="1">
      <c r="A109" s="14" t="s">
        <v>115</v>
      </c>
      <c r="B109">
        <v>4.22</v>
      </c>
      <c r="C109" s="3">
        <f t="shared" si="27"/>
        <v>0.14999999999999947</v>
      </c>
      <c r="D109" s="3">
        <f t="shared" si="21"/>
        <v>0.14999999999999947</v>
      </c>
      <c r="E109" s="3">
        <f t="shared" si="22"/>
        <v>0</v>
      </c>
      <c r="F109" s="3">
        <f t="shared" si="23"/>
        <v>6.1113787533611887E-2</v>
      </c>
      <c r="G109" s="3">
        <f t="shared" si="24"/>
        <v>2.0445394536028845E-2</v>
      </c>
      <c r="H109" s="3">
        <f t="shared" si="25"/>
        <v>2.9891224366405478</v>
      </c>
      <c r="I109" s="3">
        <f t="shared" si="26"/>
        <v>74.931829847715747</v>
      </c>
      <c r="R109" s="12"/>
      <c r="S109" s="12"/>
    </row>
    <row r="110" spans="1:19" ht="15.75" customHeight="1">
      <c r="A110" s="14" t="s">
        <v>116</v>
      </c>
      <c r="B110">
        <v>4.68</v>
      </c>
      <c r="C110" s="3">
        <f t="shared" si="27"/>
        <v>0.45999999999999996</v>
      </c>
      <c r="D110" s="3">
        <f t="shared" si="21"/>
        <v>0.45999999999999996</v>
      </c>
      <c r="E110" s="3">
        <f t="shared" si="22"/>
        <v>0</v>
      </c>
      <c r="F110" s="3">
        <f t="shared" si="23"/>
        <v>8.9605659852639602E-2</v>
      </c>
      <c r="G110" s="3">
        <f t="shared" si="24"/>
        <v>1.8985009212026786E-2</v>
      </c>
      <c r="H110" s="3">
        <f t="shared" si="25"/>
        <v>4.719811239063052</v>
      </c>
      <c r="I110" s="3">
        <f t="shared" si="26"/>
        <v>82.516905572502651</v>
      </c>
    </row>
    <row r="111" spans="1:19" ht="15.75" customHeight="1">
      <c r="A111" s="14" t="s">
        <v>117</v>
      </c>
      <c r="B111">
        <v>4.93</v>
      </c>
      <c r="C111" s="3">
        <f t="shared" si="27"/>
        <v>0.25</v>
      </c>
      <c r="D111" s="3">
        <f t="shared" si="21"/>
        <v>0.25</v>
      </c>
      <c r="E111" s="3">
        <f t="shared" si="22"/>
        <v>0</v>
      </c>
      <c r="F111" s="3">
        <f t="shared" si="23"/>
        <v>0.10106239843459393</v>
      </c>
      <c r="G111" s="3">
        <f t="shared" si="24"/>
        <v>1.7628937125453444E-2</v>
      </c>
      <c r="H111" s="3">
        <f t="shared" si="25"/>
        <v>5.7327561903136823</v>
      </c>
      <c r="I111" s="3">
        <f t="shared" si="26"/>
        <v>85.147241757563037</v>
      </c>
    </row>
    <row r="112" spans="1:19" ht="15.75" customHeight="1">
      <c r="A112" s="14" t="s">
        <v>118</v>
      </c>
      <c r="B112">
        <v>4.92</v>
      </c>
      <c r="C112" s="3">
        <f t="shared" si="27"/>
        <v>-9.9999999999997868E-3</v>
      </c>
      <c r="D112" s="3">
        <f t="shared" si="21"/>
        <v>0</v>
      </c>
      <c r="E112" s="3">
        <f t="shared" si="22"/>
        <v>9.9999999999997868E-3</v>
      </c>
      <c r="F112" s="3">
        <f t="shared" si="23"/>
        <v>9.3843655689265795E-2</v>
      </c>
      <c r="G112" s="3">
        <f t="shared" si="24"/>
        <v>1.7084013045063896E-2</v>
      </c>
      <c r="H112" s="3">
        <f t="shared" si="25"/>
        <v>5.4930686040643213</v>
      </c>
      <c r="I112" s="3">
        <f t="shared" si="26"/>
        <v>84.598961431363094</v>
      </c>
    </row>
    <row r="113" spans="1:9" ht="15.75" customHeight="1">
      <c r="A113" s="14" t="s">
        <v>119</v>
      </c>
      <c r="B113">
        <v>5.1100000000000003</v>
      </c>
      <c r="C113" s="3">
        <f t="shared" si="27"/>
        <v>0.19000000000000039</v>
      </c>
      <c r="D113" s="3">
        <f t="shared" si="21"/>
        <v>0.19000000000000039</v>
      </c>
      <c r="E113" s="3">
        <f t="shared" si="22"/>
        <v>0</v>
      </c>
      <c r="F113" s="3">
        <f t="shared" si="23"/>
        <v>0.1007119659971754</v>
      </c>
      <c r="G113" s="3">
        <f t="shared" si="24"/>
        <v>1.5863726398987903E-2</v>
      </c>
      <c r="H113" s="3">
        <f t="shared" si="25"/>
        <v>6.3485692745936895</v>
      </c>
      <c r="I113" s="3">
        <f t="shared" si="26"/>
        <v>86.391908919504729</v>
      </c>
    </row>
    <row r="114" spans="1:9" ht="15.75" customHeight="1">
      <c r="A114" s="14" t="s">
        <v>120</v>
      </c>
      <c r="B114">
        <v>5.2</v>
      </c>
      <c r="C114" s="3">
        <f t="shared" si="27"/>
        <v>8.9999999999999858E-2</v>
      </c>
      <c r="D114" s="3">
        <f t="shared" si="21"/>
        <v>8.9999999999999858E-2</v>
      </c>
      <c r="E114" s="3">
        <f t="shared" si="22"/>
        <v>0</v>
      </c>
      <c r="F114" s="3">
        <f t="shared" si="23"/>
        <v>9.9946825568805714E-2</v>
      </c>
      <c r="G114" s="3">
        <f t="shared" si="24"/>
        <v>1.4730603084774483E-2</v>
      </c>
      <c r="H114" s="3">
        <f t="shared" si="25"/>
        <v>6.7849785235276974</v>
      </c>
      <c r="I114" s="3">
        <f t="shared" si="26"/>
        <v>87.154749406465172</v>
      </c>
    </row>
    <row r="115" spans="1:9" ht="15.75" customHeight="1">
      <c r="A115" s="14" t="s">
        <v>121</v>
      </c>
      <c r="B115">
        <v>5.3</v>
      </c>
      <c r="C115" s="3">
        <f t="shared" si="27"/>
        <v>9.9999999999999645E-2</v>
      </c>
      <c r="D115" s="3">
        <f t="shared" si="21"/>
        <v>9.9999999999999645E-2</v>
      </c>
      <c r="E115" s="3">
        <f t="shared" si="22"/>
        <v>0</v>
      </c>
      <c r="F115" s="3">
        <f t="shared" si="23"/>
        <v>9.9950623742462427E-2</v>
      </c>
      <c r="G115" s="3">
        <f t="shared" si="24"/>
        <v>1.3678417150147735E-2</v>
      </c>
      <c r="H115" s="3">
        <f t="shared" si="25"/>
        <v>7.3071776248162532</v>
      </c>
      <c r="I115" s="3">
        <f t="shared" si="26"/>
        <v>87.962217191399958</v>
      </c>
    </row>
    <row r="116" spans="1:9" ht="15.75" customHeight="1">
      <c r="A116" s="14" t="s">
        <v>122</v>
      </c>
      <c r="B116">
        <v>5.18</v>
      </c>
      <c r="C116" s="3">
        <f t="shared" si="27"/>
        <v>-0.12000000000000011</v>
      </c>
      <c r="D116" s="3">
        <f t="shared" si="21"/>
        <v>0</v>
      </c>
      <c r="E116" s="3">
        <f t="shared" si="22"/>
        <v>0.12000000000000011</v>
      </c>
      <c r="F116" s="3">
        <f t="shared" si="23"/>
        <v>9.2811293475143691E-2</v>
      </c>
      <c r="G116" s="3">
        <f t="shared" si="24"/>
        <v>2.127281592513719E-2</v>
      </c>
      <c r="H116" s="3">
        <f t="shared" si="25"/>
        <v>4.3629058701848917</v>
      </c>
      <c r="I116" s="3">
        <f t="shared" si="26"/>
        <v>81.353392653048303</v>
      </c>
    </row>
    <row r="117" spans="1:9" ht="15.75" customHeight="1">
      <c r="A117" s="14" t="s">
        <v>123</v>
      </c>
      <c r="B117">
        <v>4.7699999999999996</v>
      </c>
      <c r="C117" s="3">
        <f t="shared" si="27"/>
        <v>-0.41000000000000014</v>
      </c>
      <c r="D117" s="3">
        <f t="shared" si="21"/>
        <v>0</v>
      </c>
      <c r="E117" s="3">
        <f t="shared" si="22"/>
        <v>0.41000000000000014</v>
      </c>
      <c r="F117" s="3">
        <f t="shared" si="23"/>
        <v>8.6181915369776277E-2</v>
      </c>
      <c r="G117" s="3">
        <f t="shared" si="24"/>
        <v>4.903904335905597E-2</v>
      </c>
      <c r="H117" s="3">
        <f t="shared" si="25"/>
        <v>1.7574142859754867</v>
      </c>
      <c r="I117" s="3">
        <f t="shared" si="26"/>
        <v>63.734140165802785</v>
      </c>
    </row>
    <row r="118" spans="1:9" ht="15.75" customHeight="1">
      <c r="A118" s="14" t="s">
        <v>124</v>
      </c>
      <c r="B118">
        <v>4.79</v>
      </c>
      <c r="C118" s="3">
        <f t="shared" si="27"/>
        <v>2.0000000000000462E-2</v>
      </c>
      <c r="D118" s="3">
        <f t="shared" si="21"/>
        <v>2.0000000000000462E-2</v>
      </c>
      <c r="E118" s="3">
        <f t="shared" si="22"/>
        <v>0</v>
      </c>
      <c r="F118" s="3">
        <f t="shared" si="23"/>
        <v>8.1454635700506581E-2</v>
      </c>
      <c r="G118" s="3">
        <f t="shared" si="24"/>
        <v>4.5536254547694832E-2</v>
      </c>
      <c r="H118" s="3">
        <f t="shared" si="25"/>
        <v>1.7887864627774932</v>
      </c>
      <c r="I118" s="3">
        <f t="shared" si="26"/>
        <v>64.142109360210767</v>
      </c>
    </row>
    <row r="119" spans="1:9" ht="15.75" customHeight="1">
      <c r="A119" s="14" t="s">
        <v>125</v>
      </c>
      <c r="B119">
        <v>5.01</v>
      </c>
      <c r="C119" s="3">
        <f t="shared" si="27"/>
        <v>0.21999999999999975</v>
      </c>
      <c r="D119" s="3">
        <f t="shared" si="21"/>
        <v>0.21999999999999975</v>
      </c>
      <c r="E119" s="3">
        <f t="shared" si="22"/>
        <v>0</v>
      </c>
      <c r="F119" s="3">
        <f t="shared" si="23"/>
        <v>9.1350733150470376E-2</v>
      </c>
      <c r="G119" s="3">
        <f t="shared" si="24"/>
        <v>4.22836649371452E-2</v>
      </c>
      <c r="H119" s="3">
        <f t="shared" si="25"/>
        <v>2.1604260956627939</v>
      </c>
      <c r="I119" s="3">
        <f t="shared" si="26"/>
        <v>68.358696905700512</v>
      </c>
    </row>
    <row r="120" spans="1:9" ht="15.75" customHeight="1">
      <c r="A120" s="14" t="s">
        <v>126</v>
      </c>
      <c r="B120">
        <v>5.19</v>
      </c>
      <c r="C120" s="3">
        <f t="shared" si="27"/>
        <v>0.1800000000000006</v>
      </c>
      <c r="D120" s="3">
        <f t="shared" si="21"/>
        <v>0.1800000000000006</v>
      </c>
      <c r="E120" s="3">
        <f t="shared" si="22"/>
        <v>0</v>
      </c>
      <c r="F120" s="3">
        <f t="shared" si="23"/>
        <v>9.7682823639722541E-2</v>
      </c>
      <c r="G120" s="3">
        <f t="shared" si="24"/>
        <v>3.9263403155920543E-2</v>
      </c>
      <c r="H120" s="3">
        <f t="shared" si="25"/>
        <v>2.4878847931701231</v>
      </c>
      <c r="I120" s="3">
        <f t="shared" si="26"/>
        <v>71.329328251948823</v>
      </c>
    </row>
    <row r="121" spans="1:9" ht="15.75" customHeight="1">
      <c r="A121" s="14" t="s">
        <v>127</v>
      </c>
      <c r="B121">
        <v>5.18</v>
      </c>
      <c r="C121" s="3">
        <f t="shared" si="27"/>
        <v>-1.0000000000000675E-2</v>
      </c>
      <c r="D121" s="3">
        <f t="shared" si="21"/>
        <v>0</v>
      </c>
      <c r="E121" s="3">
        <f t="shared" si="22"/>
        <v>1.0000000000000675E-2</v>
      </c>
      <c r="F121" s="3">
        <f t="shared" si="23"/>
        <v>9.0705479094028069E-2</v>
      </c>
      <c r="G121" s="3">
        <f t="shared" si="24"/>
        <v>3.717316007335484E-2</v>
      </c>
      <c r="H121" s="3">
        <f t="shared" si="25"/>
        <v>2.4400798564081287</v>
      </c>
      <c r="I121" s="3">
        <f t="shared" si="26"/>
        <v>70.93090737015261</v>
      </c>
    </row>
    <row r="122" spans="1:9" ht="15.75" customHeight="1">
      <c r="A122" s="14" t="s">
        <v>128</v>
      </c>
      <c r="B122">
        <v>5.33</v>
      </c>
      <c r="C122" s="3">
        <f t="shared" si="27"/>
        <v>0.15000000000000036</v>
      </c>
      <c r="D122" s="3">
        <f t="shared" si="21"/>
        <v>0.15000000000000036</v>
      </c>
      <c r="E122" s="3">
        <f t="shared" si="22"/>
        <v>0</v>
      </c>
      <c r="F122" s="3">
        <f t="shared" si="23"/>
        <v>9.4940802015883244E-2</v>
      </c>
      <c r="G122" s="3">
        <f t="shared" si="24"/>
        <v>3.4517934353829494E-2</v>
      </c>
      <c r="H122" s="3">
        <f t="shared" si="25"/>
        <v>2.750477506639974</v>
      </c>
      <c r="I122" s="3">
        <f t="shared" si="26"/>
        <v>73.336728503782098</v>
      </c>
    </row>
    <row r="123" spans="1:9" ht="15.75" customHeight="1">
      <c r="A123" s="14" t="s">
        <v>129</v>
      </c>
      <c r="B123">
        <v>5.61</v>
      </c>
      <c r="C123" s="3">
        <f t="shared" si="27"/>
        <v>0.28000000000000025</v>
      </c>
      <c r="D123" s="3">
        <f t="shared" si="21"/>
        <v>0.28000000000000025</v>
      </c>
      <c r="E123" s="3">
        <f t="shared" si="22"/>
        <v>0</v>
      </c>
      <c r="F123" s="3">
        <f t="shared" si="23"/>
        <v>0.10815931615760589</v>
      </c>
      <c r="G123" s="3">
        <f t="shared" si="24"/>
        <v>3.2052367614270244E-2</v>
      </c>
      <c r="H123" s="3">
        <f t="shared" si="25"/>
        <v>3.374456372747066</v>
      </c>
      <c r="I123" s="3">
        <f t="shared" si="26"/>
        <v>77.140016614864052</v>
      </c>
    </row>
    <row r="124" spans="1:9" ht="15.75" customHeight="1">
      <c r="A124" s="14" t="s">
        <v>130</v>
      </c>
      <c r="B124">
        <v>5.84</v>
      </c>
      <c r="C124" s="3">
        <f t="shared" si="27"/>
        <v>0.22999999999999954</v>
      </c>
      <c r="D124" s="3">
        <f t="shared" si="21"/>
        <v>0.22999999999999954</v>
      </c>
      <c r="E124" s="3">
        <f t="shared" si="22"/>
        <v>0</v>
      </c>
      <c r="F124" s="3">
        <f t="shared" si="23"/>
        <v>0.1168622221463483</v>
      </c>
      <c r="G124" s="3">
        <f t="shared" si="24"/>
        <v>2.9762912784679511E-2</v>
      </c>
      <c r="H124" s="3">
        <f t="shared" si="25"/>
        <v>3.9264376773802612</v>
      </c>
      <c r="I124" s="3">
        <f t="shared" si="26"/>
        <v>79.701356934007308</v>
      </c>
    </row>
    <row r="125" spans="1:9" ht="15.75" customHeight="1">
      <c r="A125" s="14" t="s">
        <v>131</v>
      </c>
      <c r="B125">
        <v>6.19</v>
      </c>
      <c r="C125" s="3">
        <f t="shared" si="27"/>
        <v>0.35000000000000053</v>
      </c>
      <c r="D125" s="3">
        <f t="shared" si="21"/>
        <v>0.35000000000000053</v>
      </c>
      <c r="E125" s="3">
        <f t="shared" si="22"/>
        <v>0</v>
      </c>
      <c r="F125" s="3">
        <f t="shared" si="23"/>
        <v>0.13351492056446632</v>
      </c>
      <c r="G125" s="3">
        <f t="shared" si="24"/>
        <v>2.7636990442916686E-2</v>
      </c>
      <c r="H125" s="3">
        <f t="shared" si="25"/>
        <v>4.8310224241035611</v>
      </c>
      <c r="I125" s="3">
        <f t="shared" si="26"/>
        <v>82.850348922234915</v>
      </c>
    </row>
    <row r="126" spans="1:9" ht="15.75" customHeight="1">
      <c r="A126" s="14" t="s">
        <v>132</v>
      </c>
      <c r="B126">
        <v>6.17</v>
      </c>
      <c r="C126" s="3">
        <f t="shared" si="27"/>
        <v>-2.0000000000000462E-2</v>
      </c>
      <c r="D126" s="3">
        <f t="shared" si="21"/>
        <v>0</v>
      </c>
      <c r="E126" s="3">
        <f t="shared" si="22"/>
        <v>2.0000000000000462E-2</v>
      </c>
      <c r="F126" s="3">
        <f t="shared" si="23"/>
        <v>0.12397814052414728</v>
      </c>
      <c r="G126" s="3">
        <f t="shared" si="24"/>
        <v>2.7091491125565526E-2</v>
      </c>
      <c r="H126" s="3">
        <f t="shared" si="25"/>
        <v>4.5762759956447132</v>
      </c>
      <c r="I126" s="3">
        <f t="shared" si="26"/>
        <v>82.066884767162918</v>
      </c>
    </row>
    <row r="127" spans="1:9" ht="15.75" customHeight="1">
      <c r="A127" s="14" t="s">
        <v>133</v>
      </c>
      <c r="B127">
        <v>6.24</v>
      </c>
      <c r="C127" s="3">
        <f t="shared" si="27"/>
        <v>7.0000000000000284E-2</v>
      </c>
      <c r="D127" s="3">
        <f t="shared" si="21"/>
        <v>7.0000000000000284E-2</v>
      </c>
      <c r="E127" s="3">
        <f t="shared" si="22"/>
        <v>0</v>
      </c>
      <c r="F127" s="3">
        <f t="shared" si="23"/>
        <v>0.12012255905813678</v>
      </c>
      <c r="G127" s="3">
        <f t="shared" si="24"/>
        <v>2.5156384616596559E-2</v>
      </c>
      <c r="H127" s="3">
        <f t="shared" si="25"/>
        <v>4.7750326960292879</v>
      </c>
      <c r="I127" s="3">
        <f t="shared" si="26"/>
        <v>82.684080720658685</v>
      </c>
    </row>
    <row r="128" spans="1:9" ht="15.75" customHeight="1">
      <c r="A128" s="14" t="s">
        <v>134</v>
      </c>
      <c r="B128">
        <v>6.22</v>
      </c>
      <c r="C128" s="3">
        <f t="shared" si="27"/>
        <v>-2.0000000000000462E-2</v>
      </c>
      <c r="D128" s="3">
        <f t="shared" si="21"/>
        <v>0</v>
      </c>
      <c r="E128" s="3">
        <f t="shared" si="22"/>
        <v>2.0000000000000462E-2</v>
      </c>
      <c r="F128" s="3">
        <f t="shared" si="23"/>
        <v>0.11154237626826986</v>
      </c>
      <c r="G128" s="3">
        <f t="shared" si="24"/>
        <v>2.4788071429696835E-2</v>
      </c>
      <c r="H128" s="3">
        <f t="shared" si="25"/>
        <v>4.4998408441989088</v>
      </c>
      <c r="I128" s="3">
        <f t="shared" si="26"/>
        <v>81.817655668076753</v>
      </c>
    </row>
    <row r="129" spans="1:9" ht="15.75" customHeight="1">
      <c r="A129" s="14" t="s">
        <v>135</v>
      </c>
      <c r="B129">
        <v>6.5</v>
      </c>
      <c r="C129" s="3">
        <f t="shared" si="27"/>
        <v>0.28000000000000025</v>
      </c>
      <c r="D129" s="3">
        <f t="shared" si="21"/>
        <v>0.28000000000000025</v>
      </c>
      <c r="E129" s="3">
        <f t="shared" si="22"/>
        <v>0</v>
      </c>
      <c r="F129" s="3">
        <f t="shared" si="23"/>
        <v>0.12357506367767919</v>
      </c>
      <c r="G129" s="3">
        <f t="shared" si="24"/>
        <v>2.3017494899004204E-2</v>
      </c>
      <c r="H129" s="3">
        <f t="shared" si="25"/>
        <v>5.3687451314706438</v>
      </c>
      <c r="I129" s="3">
        <f t="shared" si="26"/>
        <v>84.298319694745203</v>
      </c>
    </row>
    <row r="130" spans="1:9" ht="15.75" customHeight="1">
      <c r="A130" s="14" t="s">
        <v>136</v>
      </c>
      <c r="B130">
        <v>6.58</v>
      </c>
      <c r="C130" s="3">
        <f t="shared" si="27"/>
        <v>8.0000000000000071E-2</v>
      </c>
      <c r="D130" s="3">
        <f t="shared" si="21"/>
        <v>8.0000000000000071E-2</v>
      </c>
      <c r="E130" s="3">
        <f t="shared" si="22"/>
        <v>0</v>
      </c>
      <c r="F130" s="3">
        <f t="shared" si="23"/>
        <v>0.12046255912927353</v>
      </c>
      <c r="G130" s="3">
        <f t="shared" si="24"/>
        <v>2.1373388120503902E-2</v>
      </c>
      <c r="H130" s="3">
        <f t="shared" si="25"/>
        <v>5.6361002967850231</v>
      </c>
      <c r="I130" s="3">
        <f t="shared" si="26"/>
        <v>84.930908888093995</v>
      </c>
    </row>
    <row r="131" spans="1:9" ht="15.75" customHeight="1">
      <c r="A131" s="14" t="s">
        <v>137</v>
      </c>
      <c r="B131">
        <v>6.35</v>
      </c>
      <c r="C131" s="3">
        <f t="shared" si="27"/>
        <v>-0.23000000000000043</v>
      </c>
      <c r="D131" s="3">
        <f t="shared" si="21"/>
        <v>0</v>
      </c>
      <c r="E131" s="3">
        <f t="shared" si="22"/>
        <v>0.23000000000000043</v>
      </c>
      <c r="F131" s="3">
        <f t="shared" si="23"/>
        <v>0.11185809062003971</v>
      </c>
      <c r="G131" s="3">
        <f t="shared" si="24"/>
        <v>3.6275288969039372E-2</v>
      </c>
      <c r="H131" s="3">
        <f t="shared" si="25"/>
        <v>3.083589236615305</v>
      </c>
      <c r="I131" s="3">
        <f t="shared" si="26"/>
        <v>75.511738765653789</v>
      </c>
    </row>
    <row r="132" spans="1:9" ht="15.75" customHeight="1">
      <c r="A132" s="14" t="s">
        <v>138</v>
      </c>
      <c r="B132">
        <v>6.2</v>
      </c>
      <c r="C132" s="3">
        <f t="shared" si="27"/>
        <v>-0.14999999999999947</v>
      </c>
      <c r="D132" s="3">
        <f t="shared" si="21"/>
        <v>0</v>
      </c>
      <c r="E132" s="3">
        <f t="shared" si="22"/>
        <v>0.14999999999999947</v>
      </c>
      <c r="F132" s="3">
        <f t="shared" si="23"/>
        <v>0.10386822700432259</v>
      </c>
      <c r="G132" s="3">
        <f t="shared" si="24"/>
        <v>4.4398482614107948E-2</v>
      </c>
      <c r="H132" s="3">
        <f t="shared" si="25"/>
        <v>2.3394544337719707</v>
      </c>
      <c r="I132" s="3">
        <f t="shared" si="26"/>
        <v>70.054988926125787</v>
      </c>
    </row>
    <row r="133" spans="1:9" ht="15.75" customHeight="1">
      <c r="A133" s="14" t="s">
        <v>139</v>
      </c>
      <c r="B133">
        <v>6.25</v>
      </c>
      <c r="C133" s="3">
        <f t="shared" si="27"/>
        <v>4.9999999999999822E-2</v>
      </c>
      <c r="D133" s="3">
        <f t="shared" si="21"/>
        <v>4.9999999999999822E-2</v>
      </c>
      <c r="E133" s="3">
        <f t="shared" si="22"/>
        <v>0</v>
      </c>
      <c r="F133" s="3">
        <f t="shared" si="23"/>
        <v>0.10002049650401382</v>
      </c>
      <c r="G133" s="3">
        <f t="shared" si="24"/>
        <v>4.1227162427385951E-2</v>
      </c>
      <c r="H133" s="3">
        <f t="shared" si="25"/>
        <v>2.4260824809415755</v>
      </c>
      <c r="I133" s="3">
        <f t="shared" si="26"/>
        <v>70.812144612316104</v>
      </c>
    </row>
    <row r="134" spans="1:9" ht="15.75" customHeight="1">
      <c r="A134" s="14" t="s">
        <v>140</v>
      </c>
      <c r="B134">
        <v>6.15</v>
      </c>
      <c r="C134" s="3">
        <f t="shared" si="27"/>
        <v>-9.9999999999999645E-2</v>
      </c>
      <c r="D134" s="3">
        <f t="shared" si="21"/>
        <v>0</v>
      </c>
      <c r="E134" s="3">
        <f t="shared" si="22"/>
        <v>9.9999999999999645E-2</v>
      </c>
      <c r="F134" s="3">
        <f t="shared" si="23"/>
        <v>9.2876175325155685E-2</v>
      </c>
      <c r="G134" s="3">
        <f t="shared" si="24"/>
        <v>4.542522225400121E-2</v>
      </c>
      <c r="H134" s="3">
        <f t="shared" si="25"/>
        <v>2.044594846577219</v>
      </c>
      <c r="I134" s="3">
        <f t="shared" si="26"/>
        <v>67.154907290071264</v>
      </c>
    </row>
    <row r="135" spans="1:9" ht="15.75" customHeight="1">
      <c r="A135" s="14" t="s">
        <v>141</v>
      </c>
      <c r="B135">
        <v>6.19</v>
      </c>
      <c r="C135" s="3">
        <f t="shared" si="27"/>
        <v>4.0000000000000036E-2</v>
      </c>
      <c r="D135" s="3">
        <f t="shared" si="21"/>
        <v>4.0000000000000036E-2</v>
      </c>
      <c r="E135" s="3">
        <f t="shared" si="22"/>
        <v>0</v>
      </c>
      <c r="F135" s="3">
        <f t="shared" si="23"/>
        <v>8.9099305659073133E-2</v>
      </c>
      <c r="G135" s="3">
        <f t="shared" si="24"/>
        <v>4.2180563521572553E-2</v>
      </c>
      <c r="H135" s="3">
        <f t="shared" si="25"/>
        <v>2.1123308514715493</v>
      </c>
      <c r="I135" s="3">
        <f t="shared" si="26"/>
        <v>67.869739827718263</v>
      </c>
    </row>
    <row r="136" spans="1:9" ht="15.75" customHeight="1">
      <c r="A136" s="14" t="s">
        <v>142</v>
      </c>
      <c r="B136">
        <v>6.01</v>
      </c>
      <c r="C136" s="3">
        <f t="shared" si="27"/>
        <v>-0.1800000000000006</v>
      </c>
      <c r="D136" s="3">
        <f t="shared" si="21"/>
        <v>0</v>
      </c>
      <c r="E136" s="3">
        <f t="shared" si="22"/>
        <v>0.1800000000000006</v>
      </c>
      <c r="F136" s="3">
        <f t="shared" si="23"/>
        <v>8.2735069540567904E-2</v>
      </c>
      <c r="G136" s="3">
        <f t="shared" si="24"/>
        <v>5.2024808984317418E-2</v>
      </c>
      <c r="H136" s="3">
        <f t="shared" si="25"/>
        <v>1.5903003039474479</v>
      </c>
      <c r="I136" s="3">
        <f t="shared" si="26"/>
        <v>61.394437607250957</v>
      </c>
    </row>
    <row r="137" spans="1:9" ht="15.75" customHeight="1">
      <c r="A137" s="14" t="s">
        <v>143</v>
      </c>
      <c r="B137">
        <v>5.92</v>
      </c>
      <c r="C137" s="3">
        <f t="shared" si="27"/>
        <v>-8.9999999999999858E-2</v>
      </c>
      <c r="D137" s="3">
        <f t="shared" si="21"/>
        <v>0</v>
      </c>
      <c r="E137" s="3">
        <f t="shared" si="22"/>
        <v>8.9999999999999858E-2</v>
      </c>
      <c r="F137" s="3">
        <f t="shared" si="23"/>
        <v>7.6825421716241626E-2</v>
      </c>
      <c r="G137" s="3">
        <f t="shared" si="24"/>
        <v>5.4737322628294734E-2</v>
      </c>
      <c r="H137" s="3">
        <f t="shared" si="25"/>
        <v>1.4035290369962148</v>
      </c>
      <c r="I137" s="3">
        <f t="shared" si="26"/>
        <v>58.394511378579409</v>
      </c>
    </row>
    <row r="138" spans="1:9" ht="15.75" customHeight="1">
      <c r="A138" s="14" t="s">
        <v>144</v>
      </c>
      <c r="B138">
        <v>5.79</v>
      </c>
      <c r="C138" s="3">
        <f t="shared" si="27"/>
        <v>-0.12999999999999989</v>
      </c>
      <c r="D138" s="3">
        <f t="shared" si="21"/>
        <v>0</v>
      </c>
      <c r="E138" s="3">
        <f t="shared" si="22"/>
        <v>0.12999999999999989</v>
      </c>
      <c r="F138" s="3">
        <f t="shared" si="23"/>
        <v>7.1337891593652933E-2</v>
      </c>
      <c r="G138" s="3">
        <f t="shared" si="24"/>
        <v>6.01132281548451E-2</v>
      </c>
      <c r="H138" s="3">
        <f t="shared" si="25"/>
        <v>1.186725347870095</v>
      </c>
      <c r="I138" s="3">
        <f t="shared" si="26"/>
        <v>54.269519902258608</v>
      </c>
    </row>
    <row r="139" spans="1:9" ht="15.75" customHeight="1">
      <c r="A139" s="14" t="s">
        <v>145</v>
      </c>
      <c r="B139">
        <v>5.78</v>
      </c>
      <c r="C139" s="3">
        <f t="shared" si="27"/>
        <v>-9.9999999999997868E-3</v>
      </c>
      <c r="D139" s="3">
        <f t="shared" si="21"/>
        <v>0</v>
      </c>
      <c r="E139" s="3">
        <f t="shared" si="22"/>
        <v>9.9999999999997868E-3</v>
      </c>
      <c r="F139" s="3">
        <f t="shared" si="23"/>
        <v>6.6242327908392004E-2</v>
      </c>
      <c r="G139" s="3">
        <f t="shared" si="24"/>
        <v>5.6533711858070435E-2</v>
      </c>
      <c r="H139" s="3">
        <f t="shared" si="25"/>
        <v>1.171731445384222</v>
      </c>
      <c r="I139" s="3">
        <f t="shared" si="26"/>
        <v>53.953791011987661</v>
      </c>
    </row>
    <row r="140" spans="1:9" ht="15.75" customHeight="1">
      <c r="A140" s="14" t="s">
        <v>146</v>
      </c>
      <c r="B140">
        <v>5.78</v>
      </c>
      <c r="C140" s="3">
        <f t="shared" si="27"/>
        <v>0</v>
      </c>
      <c r="D140" s="3">
        <f t="shared" si="21"/>
        <v>0</v>
      </c>
      <c r="E140" s="3">
        <f t="shared" si="22"/>
        <v>0</v>
      </c>
      <c r="F140" s="3">
        <f t="shared" si="23"/>
        <v>6.1510733057792574E-2</v>
      </c>
      <c r="G140" s="3">
        <f t="shared" si="24"/>
        <v>5.2495589582493972E-2</v>
      </c>
      <c r="H140" s="3">
        <f t="shared" si="25"/>
        <v>1.171731445384222</v>
      </c>
      <c r="I140" s="3">
        <f t="shared" si="26"/>
        <v>53.953791011987661</v>
      </c>
    </row>
    <row r="141" spans="1:9" ht="15.75" customHeight="1">
      <c r="A141" s="14" t="s">
        <v>147</v>
      </c>
      <c r="B141">
        <v>5.71</v>
      </c>
      <c r="C141" s="3">
        <f t="shared" si="27"/>
        <v>-7.0000000000000284E-2</v>
      </c>
      <c r="D141" s="3">
        <f t="shared" si="21"/>
        <v>0</v>
      </c>
      <c r="E141" s="3">
        <f t="shared" si="22"/>
        <v>7.0000000000000284E-2</v>
      </c>
      <c r="F141" s="3">
        <f t="shared" si="23"/>
        <v>5.7117109267950252E-2</v>
      </c>
      <c r="G141" s="3">
        <f t="shared" si="24"/>
        <v>5.3745904612315855E-2</v>
      </c>
      <c r="H141" s="3">
        <f t="shared" si="25"/>
        <v>1.0627248658284167</v>
      </c>
      <c r="I141" s="3">
        <f t="shared" si="26"/>
        <v>51.520437041011419</v>
      </c>
    </row>
    <row r="142" spans="1:9" ht="15.75" customHeight="1">
      <c r="A142" s="14" t="s">
        <v>148</v>
      </c>
      <c r="B142">
        <v>5.68</v>
      </c>
      <c r="C142" s="3">
        <f t="shared" si="27"/>
        <v>-3.0000000000000249E-2</v>
      </c>
      <c r="D142" s="3">
        <f t="shared" si="21"/>
        <v>0</v>
      </c>
      <c r="E142" s="3">
        <f t="shared" si="22"/>
        <v>3.0000000000000249E-2</v>
      </c>
      <c r="F142" s="3">
        <f t="shared" si="23"/>
        <v>5.3037315748810945E-2</v>
      </c>
      <c r="G142" s="3">
        <f t="shared" si="24"/>
        <v>5.2049768568579027E-2</v>
      </c>
      <c r="H142" s="3">
        <f t="shared" si="25"/>
        <v>1.0189731329723544</v>
      </c>
      <c r="I142" s="3">
        <f t="shared" si="26"/>
        <v>50.469870863125898</v>
      </c>
    </row>
    <row r="143" spans="1:9" ht="15.75" customHeight="1">
      <c r="A143" s="14" t="s">
        <v>149</v>
      </c>
      <c r="B143">
        <v>6</v>
      </c>
      <c r="C143" s="3">
        <f t="shared" si="27"/>
        <v>0.32000000000000028</v>
      </c>
      <c r="D143" s="3">
        <f t="shared" si="21"/>
        <v>0.32000000000000028</v>
      </c>
      <c r="E143" s="3">
        <f t="shared" si="22"/>
        <v>0</v>
      </c>
      <c r="F143" s="3">
        <f t="shared" si="23"/>
        <v>7.2106078909610183E-2</v>
      </c>
      <c r="G143" s="3">
        <f t="shared" si="24"/>
        <v>4.8331927956537672E-2</v>
      </c>
      <c r="H143" s="3">
        <f t="shared" si="25"/>
        <v>1.4918932878996951</v>
      </c>
      <c r="I143" s="3">
        <f t="shared" si="26"/>
        <v>59.869870637885342</v>
      </c>
    </row>
    <row r="144" spans="1:9" ht="15.75" customHeight="1">
      <c r="A144" s="14" t="s">
        <v>150</v>
      </c>
      <c r="B144">
        <v>6.18</v>
      </c>
      <c r="C144" s="3">
        <f t="shared" si="27"/>
        <v>0.17999999999999972</v>
      </c>
      <c r="D144" s="3">
        <f t="shared" si="21"/>
        <v>0.17999999999999972</v>
      </c>
      <c r="E144" s="3">
        <f t="shared" si="22"/>
        <v>0</v>
      </c>
      <c r="F144" s="3">
        <f t="shared" si="23"/>
        <v>7.9812787558923723E-2</v>
      </c>
      <c r="G144" s="3">
        <f t="shared" si="24"/>
        <v>4.4879647388213553E-2</v>
      </c>
      <c r="H144" s="3">
        <f t="shared" si="25"/>
        <v>1.7783737663652952</v>
      </c>
      <c r="I144" s="3">
        <f t="shared" si="26"/>
        <v>64.007722355217425</v>
      </c>
    </row>
    <row r="145" spans="1:9" ht="15.75" customHeight="1">
      <c r="A145" s="14" t="s">
        <v>151</v>
      </c>
      <c r="B145">
        <v>6.24</v>
      </c>
      <c r="C145" s="3">
        <f t="shared" si="27"/>
        <v>6.0000000000000497E-2</v>
      </c>
      <c r="D145" s="3">
        <f t="shared" si="21"/>
        <v>6.0000000000000497E-2</v>
      </c>
      <c r="E145" s="3">
        <f t="shared" si="22"/>
        <v>0</v>
      </c>
      <c r="F145" s="3">
        <f t="shared" si="23"/>
        <v>7.8397588447572067E-2</v>
      </c>
      <c r="G145" s="3">
        <f t="shared" si="24"/>
        <v>4.1673958289055443E-2</v>
      </c>
      <c r="H145" s="3">
        <f t="shared" si="25"/>
        <v>1.8812129124811527</v>
      </c>
      <c r="I145" s="3">
        <f t="shared" si="26"/>
        <v>65.292394891467723</v>
      </c>
    </row>
    <row r="146" spans="1:9" ht="15.75" customHeight="1">
      <c r="A146" s="14" t="s">
        <v>152</v>
      </c>
      <c r="B146">
        <v>6.07</v>
      </c>
      <c r="C146" s="3">
        <f t="shared" si="27"/>
        <v>-0.16999999999999993</v>
      </c>
      <c r="D146" s="3">
        <f t="shared" si="21"/>
        <v>0</v>
      </c>
      <c r="E146" s="3">
        <f t="shared" si="22"/>
        <v>0.16999999999999993</v>
      </c>
      <c r="F146" s="3">
        <f t="shared" si="23"/>
        <v>7.2797760701316924E-2</v>
      </c>
      <c r="G146" s="3">
        <f t="shared" si="24"/>
        <v>5.0840104125551476E-2</v>
      </c>
      <c r="H146" s="3">
        <f t="shared" si="25"/>
        <v>1.431896373019619</v>
      </c>
      <c r="I146" s="3">
        <f t="shared" si="26"/>
        <v>58.879826825913327</v>
      </c>
    </row>
    <row r="147" spans="1:9" ht="15.75" customHeight="1">
      <c r="A147" s="14" t="s">
        <v>153</v>
      </c>
      <c r="B147">
        <v>5.81</v>
      </c>
      <c r="C147" s="3">
        <f t="shared" si="27"/>
        <v>-0.26000000000000068</v>
      </c>
      <c r="D147" s="3">
        <f t="shared" si="21"/>
        <v>0</v>
      </c>
      <c r="E147" s="3">
        <f t="shared" si="22"/>
        <v>0.26000000000000068</v>
      </c>
      <c r="F147" s="3">
        <f t="shared" si="23"/>
        <v>6.7597920651222859E-2</v>
      </c>
      <c r="G147" s="3">
        <f t="shared" si="24"/>
        <v>6.578009668801213E-2</v>
      </c>
      <c r="H147" s="3">
        <f t="shared" si="25"/>
        <v>1.0276348630472902</v>
      </c>
      <c r="I147" s="3">
        <f t="shared" si="26"/>
        <v>50.6814556099553</v>
      </c>
    </row>
    <row r="148" spans="1:9" ht="15.75" customHeight="1">
      <c r="A148" s="14" t="s">
        <v>154</v>
      </c>
      <c r="B148">
        <v>5.84</v>
      </c>
      <c r="C148" s="3">
        <f t="shared" si="27"/>
        <v>3.0000000000000249E-2</v>
      </c>
      <c r="D148" s="3">
        <f t="shared" si="21"/>
        <v>3.0000000000000249E-2</v>
      </c>
      <c r="E148" s="3">
        <f t="shared" si="22"/>
        <v>0</v>
      </c>
      <c r="F148" s="3">
        <f t="shared" si="23"/>
        <v>6.4912354890421242E-2</v>
      </c>
      <c r="G148" s="3">
        <f t="shared" si="24"/>
        <v>6.1081518353154118E-2</v>
      </c>
      <c r="H148" s="3">
        <f t="shared" si="25"/>
        <v>1.0627167863627494</v>
      </c>
      <c r="I148" s="3">
        <f t="shared" si="26"/>
        <v>51.520247151169492</v>
      </c>
    </row>
    <row r="149" spans="1:9" ht="15.75" customHeight="1">
      <c r="A149" s="14" t="s">
        <v>155</v>
      </c>
      <c r="B149">
        <v>5.81</v>
      </c>
      <c r="C149" s="3">
        <f t="shared" si="27"/>
        <v>-3.0000000000000249E-2</v>
      </c>
      <c r="D149" s="3">
        <f t="shared" si="21"/>
        <v>0</v>
      </c>
      <c r="E149" s="3">
        <f t="shared" si="22"/>
        <v>3.0000000000000249E-2</v>
      </c>
      <c r="F149" s="3">
        <f t="shared" si="23"/>
        <v>6.0275758112534009E-2</v>
      </c>
      <c r="G149" s="3">
        <f t="shared" si="24"/>
        <v>5.8861409899357411E-2</v>
      </c>
      <c r="H149" s="3">
        <f t="shared" si="25"/>
        <v>1.0240284460666995</v>
      </c>
      <c r="I149" s="3">
        <f t="shared" si="26"/>
        <v>50.593579752137231</v>
      </c>
    </row>
    <row r="150" spans="1:9" ht="15.75" customHeight="1">
      <c r="A150" s="14" t="s">
        <v>156</v>
      </c>
      <c r="B150">
        <v>5.68</v>
      </c>
      <c r="C150" s="3">
        <f t="shared" si="27"/>
        <v>-0.12999999999999989</v>
      </c>
      <c r="D150" s="3">
        <f t="shared" si="21"/>
        <v>0</v>
      </c>
      <c r="E150" s="3">
        <f t="shared" si="22"/>
        <v>0.12999999999999989</v>
      </c>
      <c r="F150" s="3">
        <f t="shared" si="23"/>
        <v>5.5970346818781581E-2</v>
      </c>
      <c r="G150" s="3">
        <f t="shared" si="24"/>
        <v>6.3942737763689014E-2</v>
      </c>
      <c r="H150" s="3">
        <f t="shared" si="25"/>
        <v>0.87531983734617802</v>
      </c>
      <c r="I150" s="3">
        <f t="shared" si="26"/>
        <v>46.675762710688836</v>
      </c>
    </row>
    <row r="151" spans="1:9" ht="15.75" customHeight="1">
      <c r="A151" s="14" t="s">
        <v>157</v>
      </c>
      <c r="B151">
        <v>5.75</v>
      </c>
      <c r="C151" s="3">
        <f t="shared" si="27"/>
        <v>7.0000000000000284E-2</v>
      </c>
      <c r="D151" s="3">
        <f t="shared" si="21"/>
        <v>7.0000000000000284E-2</v>
      </c>
      <c r="E151" s="3">
        <f t="shared" si="22"/>
        <v>0</v>
      </c>
      <c r="F151" s="3">
        <f t="shared" si="23"/>
        <v>5.6972464903154343E-2</v>
      </c>
      <c r="G151" s="3">
        <f t="shared" si="24"/>
        <v>5.9375399351996941E-2</v>
      </c>
      <c r="H151" s="3">
        <f t="shared" si="25"/>
        <v>0.95952979727180931</v>
      </c>
      <c r="I151" s="3">
        <f t="shared" si="26"/>
        <v>48.967349136906819</v>
      </c>
    </row>
    <row r="152" spans="1:9" ht="15.75" customHeight="1">
      <c r="A152" s="14" t="s">
        <v>158</v>
      </c>
      <c r="B152">
        <v>5.87</v>
      </c>
      <c r="C152" s="3">
        <f t="shared" si="27"/>
        <v>0.12000000000000011</v>
      </c>
      <c r="D152" s="3">
        <f t="shared" si="21"/>
        <v>0.12000000000000011</v>
      </c>
      <c r="E152" s="3">
        <f t="shared" si="22"/>
        <v>0</v>
      </c>
      <c r="F152" s="3">
        <f t="shared" si="23"/>
        <v>6.1474431695786189E-2</v>
      </c>
      <c r="G152" s="3">
        <f t="shared" si="24"/>
        <v>5.513429939828287E-2</v>
      </c>
      <c r="H152" s="3">
        <f t="shared" si="25"/>
        <v>1.1149943386729746</v>
      </c>
      <c r="I152" s="3">
        <f t="shared" si="26"/>
        <v>52.718549562291642</v>
      </c>
    </row>
    <row r="153" spans="1:9" ht="15.75" customHeight="1">
      <c r="A153" s="14" t="s">
        <v>159</v>
      </c>
      <c r="B153">
        <v>5.77</v>
      </c>
      <c r="C153" s="3">
        <f t="shared" si="27"/>
        <v>-0.10000000000000053</v>
      </c>
      <c r="D153" s="3">
        <f t="shared" si="21"/>
        <v>0</v>
      </c>
      <c r="E153" s="3">
        <f t="shared" si="22"/>
        <v>0.10000000000000053</v>
      </c>
      <c r="F153" s="3">
        <f t="shared" si="23"/>
        <v>5.708340086037289E-2</v>
      </c>
      <c r="G153" s="3">
        <f t="shared" si="24"/>
        <v>5.8338992298405556E-2</v>
      </c>
      <c r="H153" s="3">
        <f t="shared" si="25"/>
        <v>0.9784776632477592</v>
      </c>
      <c r="I153" s="3">
        <f t="shared" si="26"/>
        <v>49.456088457503462</v>
      </c>
    </row>
    <row r="154" spans="1:9" ht="15.75" customHeight="1">
      <c r="A154" s="14" t="s">
        <v>160</v>
      </c>
      <c r="B154">
        <v>5.82</v>
      </c>
      <c r="C154" s="3">
        <f t="shared" si="27"/>
        <v>5.0000000000000711E-2</v>
      </c>
      <c r="D154" s="3">
        <f t="shared" si="21"/>
        <v>5.0000000000000711E-2</v>
      </c>
      <c r="E154" s="3">
        <f t="shared" si="22"/>
        <v>0</v>
      </c>
      <c r="F154" s="3">
        <f t="shared" si="23"/>
        <v>5.6577443656060593E-2</v>
      </c>
      <c r="G154" s="3">
        <f t="shared" si="24"/>
        <v>5.4171921419948019E-2</v>
      </c>
      <c r="H154" s="3">
        <f t="shared" si="25"/>
        <v>1.044405333483829</v>
      </c>
      <c r="I154" s="3">
        <f t="shared" si="26"/>
        <v>51.086020779650362</v>
      </c>
    </row>
    <row r="155" spans="1:9" ht="15.75" customHeight="1">
      <c r="A155" s="14" t="s">
        <v>161</v>
      </c>
      <c r="B155">
        <v>5.73</v>
      </c>
      <c r="C155" s="3">
        <f t="shared" si="27"/>
        <v>-8.9999999999999858E-2</v>
      </c>
      <c r="D155" s="3">
        <f t="shared" si="21"/>
        <v>0</v>
      </c>
      <c r="E155" s="3">
        <f t="shared" si="22"/>
        <v>8.9999999999999858E-2</v>
      </c>
      <c r="F155" s="3">
        <f t="shared" si="23"/>
        <v>5.2536197680627693E-2</v>
      </c>
      <c r="G155" s="3">
        <f t="shared" si="24"/>
        <v>5.6731069889951725E-2</v>
      </c>
      <c r="H155" s="3">
        <f t="shared" si="25"/>
        <v>0.92605688174995915</v>
      </c>
      <c r="I155" s="3">
        <f t="shared" si="26"/>
        <v>48.080453413638068</v>
      </c>
    </row>
    <row r="156" spans="1:9" ht="15.75" customHeight="1">
      <c r="A156" s="14" t="s">
        <v>162</v>
      </c>
      <c r="B156">
        <v>5.47</v>
      </c>
      <c r="C156" s="3">
        <f t="shared" si="27"/>
        <v>-0.26000000000000068</v>
      </c>
      <c r="D156" s="3">
        <f t="shared" si="21"/>
        <v>0</v>
      </c>
      <c r="E156" s="3">
        <f t="shared" si="22"/>
        <v>0.26000000000000068</v>
      </c>
      <c r="F156" s="3">
        <f t="shared" si="23"/>
        <v>4.8783612132011427E-2</v>
      </c>
      <c r="G156" s="3">
        <f t="shared" si="24"/>
        <v>7.1250279183526652E-2</v>
      </c>
      <c r="H156" s="3">
        <f t="shared" si="25"/>
        <v>0.68467959271225409</v>
      </c>
      <c r="I156" s="3">
        <f t="shared" si="26"/>
        <v>40.641531818519411</v>
      </c>
    </row>
    <row r="157" spans="1:9" ht="15.75" customHeight="1">
      <c r="A157" s="14" t="s">
        <v>163</v>
      </c>
      <c r="B157">
        <v>5.53</v>
      </c>
      <c r="C157" s="3">
        <f t="shared" si="27"/>
        <v>6.0000000000000497E-2</v>
      </c>
      <c r="D157" s="3">
        <f t="shared" si="21"/>
        <v>6.0000000000000497E-2</v>
      </c>
      <c r="E157" s="3">
        <f t="shared" si="22"/>
        <v>0</v>
      </c>
      <c r="F157" s="3">
        <f t="shared" si="23"/>
        <v>4.9584782694010641E-2</v>
      </c>
      <c r="G157" s="3">
        <f t="shared" si="24"/>
        <v>6.6160973527560465E-2</v>
      </c>
      <c r="H157" s="3">
        <f t="shared" si="25"/>
        <v>0.74945666682723866</v>
      </c>
      <c r="I157" s="3">
        <f t="shared" si="26"/>
        <v>42.839395855767634</v>
      </c>
    </row>
    <row r="158" spans="1:9" ht="15.75" customHeight="1">
      <c r="A158" s="14" t="s">
        <v>164</v>
      </c>
      <c r="B158">
        <v>5.38</v>
      </c>
      <c r="C158" s="3">
        <f t="shared" si="27"/>
        <v>-0.15000000000000036</v>
      </c>
      <c r="D158" s="3">
        <f t="shared" si="21"/>
        <v>0</v>
      </c>
      <c r="E158" s="3">
        <f t="shared" si="22"/>
        <v>0.15000000000000036</v>
      </c>
      <c r="F158" s="3">
        <f t="shared" si="23"/>
        <v>4.6043012501581312E-2</v>
      </c>
      <c r="G158" s="3">
        <f t="shared" si="24"/>
        <v>7.2149475418449044E-2</v>
      </c>
      <c r="H158" s="3">
        <f t="shared" si="25"/>
        <v>0.63816143131385605</v>
      </c>
      <c r="I158" s="3">
        <f t="shared" si="26"/>
        <v>38.955955079593764</v>
      </c>
    </row>
    <row r="159" spans="1:9" ht="15.75" customHeight="1">
      <c r="A159" s="14" t="s">
        <v>165</v>
      </c>
      <c r="B159">
        <v>5.46</v>
      </c>
      <c r="C159" s="3">
        <f t="shared" si="27"/>
        <v>8.0000000000000071E-2</v>
      </c>
      <c r="D159" s="3">
        <f t="shared" si="21"/>
        <v>8.0000000000000071E-2</v>
      </c>
      <c r="E159" s="3">
        <f t="shared" si="22"/>
        <v>0</v>
      </c>
      <c r="F159" s="3">
        <f t="shared" si="23"/>
        <v>4.8468511608611223E-2</v>
      </c>
      <c r="G159" s="3">
        <f t="shared" si="24"/>
        <v>6.6995941459988398E-2</v>
      </c>
      <c r="H159" s="3">
        <f t="shared" si="25"/>
        <v>0.72345444443911266</v>
      </c>
      <c r="I159" s="3">
        <f t="shared" si="26"/>
        <v>41.976998392583354</v>
      </c>
    </row>
    <row r="160" spans="1:9" ht="15.75" customHeight="1">
      <c r="A160" s="14" t="s">
        <v>166</v>
      </c>
      <c r="B160">
        <v>5.34</v>
      </c>
      <c r="C160" s="3">
        <f t="shared" si="27"/>
        <v>-0.12000000000000011</v>
      </c>
      <c r="D160" s="3">
        <f t="shared" si="21"/>
        <v>0</v>
      </c>
      <c r="E160" s="3">
        <f t="shared" si="22"/>
        <v>0.12000000000000011</v>
      </c>
      <c r="F160" s="3">
        <f t="shared" si="23"/>
        <v>4.5006475065138996E-2</v>
      </c>
      <c r="G160" s="3">
        <f t="shared" si="24"/>
        <v>7.0781945641417807E-2</v>
      </c>
      <c r="H160" s="3">
        <f t="shared" si="25"/>
        <v>0.63584682022082784</v>
      </c>
      <c r="I160" s="3">
        <f t="shared" si="26"/>
        <v>38.869581941357623</v>
      </c>
    </row>
    <row r="161" spans="1:9" ht="15.75" customHeight="1">
      <c r="A161" s="14" t="s">
        <v>167</v>
      </c>
      <c r="B161">
        <v>5.18</v>
      </c>
      <c r="C161" s="3">
        <f t="shared" si="27"/>
        <v>-0.16000000000000014</v>
      </c>
      <c r="D161" s="3">
        <f t="shared" si="21"/>
        <v>0</v>
      </c>
      <c r="E161" s="3">
        <f t="shared" si="22"/>
        <v>0.16000000000000014</v>
      </c>
      <c r="F161" s="3">
        <f t="shared" si="23"/>
        <v>4.1791726846200493E-2</v>
      </c>
      <c r="G161" s="3">
        <f t="shared" si="24"/>
        <v>7.7154663809887974E-2</v>
      </c>
      <c r="H161" s="3">
        <f t="shared" si="25"/>
        <v>0.54166170627321886</v>
      </c>
      <c r="I161" s="3">
        <f t="shared" si="26"/>
        <v>35.134926428355072</v>
      </c>
    </row>
    <row r="162" spans="1:9" ht="15.75" customHeight="1">
      <c r="A162" s="14" t="s">
        <v>168</v>
      </c>
      <c r="B162">
        <v>5.32</v>
      </c>
      <c r="C162" s="3">
        <f t="shared" si="27"/>
        <v>0.14000000000000057</v>
      </c>
      <c r="D162" s="3">
        <f t="shared" si="21"/>
        <v>0.14000000000000057</v>
      </c>
      <c r="E162" s="3">
        <f t="shared" si="22"/>
        <v>0</v>
      </c>
      <c r="F162" s="3">
        <f t="shared" si="23"/>
        <v>4.8806603500043351E-2</v>
      </c>
      <c r="G162" s="3">
        <f t="shared" si="24"/>
        <v>7.1643616394895984E-2</v>
      </c>
      <c r="H162" s="3">
        <f t="shared" si="25"/>
        <v>0.68124148327499023</v>
      </c>
      <c r="I162" s="3">
        <f t="shared" si="26"/>
        <v>40.520144788954376</v>
      </c>
    </row>
    <row r="163" spans="1:9" ht="15.75" customHeight="1">
      <c r="A163" s="14" t="s">
        <v>169</v>
      </c>
      <c r="B163">
        <v>5.3</v>
      </c>
      <c r="C163" s="3">
        <f t="shared" si="27"/>
        <v>-2.0000000000000462E-2</v>
      </c>
      <c r="D163" s="3">
        <f t="shared" si="21"/>
        <v>0</v>
      </c>
      <c r="E163" s="3">
        <f t="shared" si="22"/>
        <v>2.0000000000000462E-2</v>
      </c>
      <c r="F163" s="3">
        <f t="shared" si="23"/>
        <v>4.532041753575454E-2</v>
      </c>
      <c r="G163" s="3">
        <f t="shared" si="24"/>
        <v>6.795478665240344E-2</v>
      </c>
      <c r="H163" s="3">
        <f t="shared" si="25"/>
        <v>0.66692016513235031</v>
      </c>
      <c r="I163" s="3">
        <f t="shared" si="26"/>
        <v>40.009124556927901</v>
      </c>
    </row>
    <row r="164" spans="1:9" ht="15.75" customHeight="1">
      <c r="A164" s="14" t="s">
        <v>170</v>
      </c>
      <c r="B164">
        <v>5.0599999999999996</v>
      </c>
      <c r="C164" s="3">
        <f t="shared" si="27"/>
        <v>-0.24000000000000021</v>
      </c>
      <c r="D164" s="3">
        <f t="shared" si="21"/>
        <v>0</v>
      </c>
      <c r="E164" s="3">
        <f t="shared" si="22"/>
        <v>0.24000000000000021</v>
      </c>
      <c r="F164" s="3">
        <f t="shared" si="23"/>
        <v>4.2083244854629213E-2</v>
      </c>
      <c r="G164" s="3">
        <f t="shared" si="24"/>
        <v>8.024373046294607E-2</v>
      </c>
      <c r="H164" s="3">
        <f t="shared" si="25"/>
        <v>0.52444277717200449</v>
      </c>
      <c r="I164" s="3">
        <f t="shared" si="26"/>
        <v>34.40226061780416</v>
      </c>
    </row>
    <row r="165" spans="1:9" ht="15.75" customHeight="1">
      <c r="A165" s="14" t="s">
        <v>171</v>
      </c>
      <c r="B165">
        <v>4.6500000000000004</v>
      </c>
      <c r="C165" s="3">
        <f t="shared" si="27"/>
        <v>-0.40999999999999925</v>
      </c>
      <c r="D165" s="3">
        <f t="shared" si="21"/>
        <v>0</v>
      </c>
      <c r="E165" s="3">
        <f t="shared" si="22"/>
        <v>0.40999999999999925</v>
      </c>
      <c r="F165" s="3">
        <f t="shared" si="23"/>
        <v>3.9077298793584271E-2</v>
      </c>
      <c r="G165" s="3">
        <f t="shared" si="24"/>
        <v>0.10379774971559273</v>
      </c>
      <c r="H165" s="3">
        <f t="shared" si="25"/>
        <v>0.37647539470418778</v>
      </c>
      <c r="I165" s="3">
        <f t="shared" si="26"/>
        <v>27.350681033066664</v>
      </c>
    </row>
    <row r="166" spans="1:9" ht="15.75" customHeight="1">
      <c r="A166" s="14" t="s">
        <v>172</v>
      </c>
      <c r="B166">
        <v>4.46</v>
      </c>
      <c r="C166" s="3">
        <f t="shared" si="27"/>
        <v>-0.19000000000000039</v>
      </c>
      <c r="D166" s="3">
        <f t="shared" ref="D166:D229" si="28">IF(C166&gt;0,C166,0)</f>
        <v>0</v>
      </c>
      <c r="E166" s="3">
        <f t="shared" ref="E166:E229" si="29">IF(C166&lt;0,-C166,0)</f>
        <v>0.19000000000000039</v>
      </c>
      <c r="F166" s="3">
        <f t="shared" ref="F166:G229" si="30">((F165*13)+D166)/14</f>
        <v>3.6286063165471109E-2</v>
      </c>
      <c r="G166" s="3">
        <f t="shared" si="30"/>
        <v>0.10995505330733614</v>
      </c>
      <c r="H166" s="3">
        <f t="shared" ref="H166:H229" si="31">F166/G166</f>
        <v>0.33000814491033603</v>
      </c>
      <c r="I166" s="3">
        <f t="shared" ref="I166:I229" si="32">IF(G166=0,100,100-(100/(1+H166)))</f>
        <v>24.812490522949687</v>
      </c>
    </row>
    <row r="167" spans="1:9" ht="15.75" customHeight="1">
      <c r="A167" s="14" t="s">
        <v>173</v>
      </c>
      <c r="B167">
        <v>4.46</v>
      </c>
      <c r="C167" s="3">
        <f t="shared" si="27"/>
        <v>0</v>
      </c>
      <c r="D167" s="3">
        <f t="shared" si="28"/>
        <v>0</v>
      </c>
      <c r="E167" s="3">
        <f t="shared" si="29"/>
        <v>0</v>
      </c>
      <c r="F167" s="3">
        <f t="shared" si="30"/>
        <v>3.3694201510794601E-2</v>
      </c>
      <c r="G167" s="3">
        <f t="shared" si="30"/>
        <v>0.10210112092824071</v>
      </c>
      <c r="H167" s="3">
        <f t="shared" si="31"/>
        <v>0.33000814491033603</v>
      </c>
      <c r="I167" s="3">
        <f t="shared" si="32"/>
        <v>24.812490522949687</v>
      </c>
    </row>
    <row r="168" spans="1:9" ht="15.75" customHeight="1">
      <c r="A168" s="14" t="s">
        <v>174</v>
      </c>
      <c r="B168">
        <v>4.74</v>
      </c>
      <c r="C168" s="3">
        <f t="shared" si="27"/>
        <v>0.28000000000000025</v>
      </c>
      <c r="D168" s="3">
        <f t="shared" si="28"/>
        <v>0.28000000000000025</v>
      </c>
      <c r="E168" s="3">
        <f t="shared" si="29"/>
        <v>0</v>
      </c>
      <c r="F168" s="3">
        <f t="shared" si="30"/>
        <v>5.1287472831452144E-2</v>
      </c>
      <c r="G168" s="3">
        <f t="shared" si="30"/>
        <v>9.480818371908066E-2</v>
      </c>
      <c r="H168" s="3">
        <f t="shared" si="31"/>
        <v>0.54096039834934906</v>
      </c>
      <c r="I168" s="3">
        <f t="shared" si="32"/>
        <v>35.105405624233882</v>
      </c>
    </row>
    <row r="169" spans="1:9" ht="15.75" customHeight="1">
      <c r="A169" s="14" t="s">
        <v>175</v>
      </c>
      <c r="B169">
        <v>4.59</v>
      </c>
      <c r="C169" s="3">
        <f t="shared" si="27"/>
        <v>-0.15000000000000036</v>
      </c>
      <c r="D169" s="3">
        <f t="shared" si="28"/>
        <v>0</v>
      </c>
      <c r="E169" s="3">
        <f t="shared" si="29"/>
        <v>0.15000000000000036</v>
      </c>
      <c r="F169" s="3">
        <f t="shared" si="30"/>
        <v>4.7624081914919847E-2</v>
      </c>
      <c r="G169" s="3">
        <f t="shared" si="30"/>
        <v>9.8750456310574913E-2</v>
      </c>
      <c r="H169" s="3">
        <f t="shared" si="31"/>
        <v>0.48226695545729764</v>
      </c>
      <c r="I169" s="3">
        <f t="shared" si="32"/>
        <v>32.535769193378016</v>
      </c>
    </row>
    <row r="170" spans="1:9" ht="15.75" customHeight="1">
      <c r="A170" s="14" t="s">
        <v>176</v>
      </c>
      <c r="B170">
        <v>4.4400000000000004</v>
      </c>
      <c r="C170" s="3">
        <f t="shared" si="27"/>
        <v>-0.14999999999999947</v>
      </c>
      <c r="D170" s="3">
        <f t="shared" si="28"/>
        <v>0</v>
      </c>
      <c r="E170" s="3">
        <f t="shared" si="29"/>
        <v>0.14999999999999947</v>
      </c>
      <c r="F170" s="3">
        <f t="shared" si="30"/>
        <v>4.422236177813986E-2</v>
      </c>
      <c r="G170" s="3">
        <f t="shared" si="30"/>
        <v>0.10241113800267666</v>
      </c>
      <c r="H170" s="3">
        <f t="shared" si="31"/>
        <v>0.43181203373586224</v>
      </c>
      <c r="I170" s="3">
        <f t="shared" si="32"/>
        <v>30.158430266100282</v>
      </c>
    </row>
    <row r="171" spans="1:9" ht="15.75" customHeight="1">
      <c r="A171" s="14" t="s">
        <v>177</v>
      </c>
      <c r="B171">
        <v>4.3499999999999996</v>
      </c>
      <c r="C171" s="3">
        <f t="shared" ref="C171:C234" si="33">B171-B170</f>
        <v>-9.0000000000000746E-2</v>
      </c>
      <c r="D171" s="3">
        <f t="shared" si="28"/>
        <v>0</v>
      </c>
      <c r="E171" s="3">
        <f t="shared" si="29"/>
        <v>9.0000000000000746E-2</v>
      </c>
      <c r="F171" s="3">
        <f t="shared" si="30"/>
        <v>4.1063621651129867E-2</v>
      </c>
      <c r="G171" s="3">
        <f t="shared" si="30"/>
        <v>0.10152462814534267</v>
      </c>
      <c r="H171" s="3">
        <f t="shared" si="31"/>
        <v>0.40446955976379623</v>
      </c>
      <c r="I171" s="3">
        <f t="shared" si="32"/>
        <v>28.798741628250028</v>
      </c>
    </row>
    <row r="172" spans="1:9" ht="15.75" customHeight="1">
      <c r="A172" s="14" t="s">
        <v>178</v>
      </c>
      <c r="B172">
        <v>4.34</v>
      </c>
      <c r="C172" s="3">
        <f t="shared" si="33"/>
        <v>-9.9999999999997868E-3</v>
      </c>
      <c r="D172" s="3">
        <f t="shared" si="28"/>
        <v>0</v>
      </c>
      <c r="E172" s="3">
        <f t="shared" si="29"/>
        <v>9.9999999999997868E-3</v>
      </c>
      <c r="F172" s="3">
        <f t="shared" si="30"/>
        <v>3.8130505818906306E-2</v>
      </c>
      <c r="G172" s="3">
        <f t="shared" si="30"/>
        <v>9.4987154706389618E-2</v>
      </c>
      <c r="H172" s="3">
        <f t="shared" si="31"/>
        <v>0.40142802399724198</v>
      </c>
      <c r="I172" s="3">
        <f t="shared" si="32"/>
        <v>28.644212697578538</v>
      </c>
    </row>
    <row r="173" spans="1:9" ht="15.75" customHeight="1">
      <c r="A173" s="14" t="s">
        <v>179</v>
      </c>
      <c r="B173">
        <v>4.24</v>
      </c>
      <c r="C173" s="3">
        <f t="shared" si="33"/>
        <v>-9.9999999999999645E-2</v>
      </c>
      <c r="D173" s="3">
        <f t="shared" si="28"/>
        <v>0</v>
      </c>
      <c r="E173" s="3">
        <f t="shared" si="29"/>
        <v>9.9999999999999645E-2</v>
      </c>
      <c r="F173" s="3">
        <f t="shared" si="30"/>
        <v>3.5406898260412996E-2</v>
      </c>
      <c r="G173" s="3">
        <f t="shared" si="30"/>
        <v>9.5345215084504623E-2</v>
      </c>
      <c r="H173" s="3">
        <f t="shared" si="31"/>
        <v>0.37135474736757162</v>
      </c>
      <c r="I173" s="3">
        <f t="shared" si="32"/>
        <v>27.079408014623326</v>
      </c>
    </row>
    <row r="174" spans="1:9" ht="15.75" customHeight="1">
      <c r="A174" s="14" t="s">
        <v>180</v>
      </c>
      <c r="B174">
        <v>4.37</v>
      </c>
      <c r="C174" s="3">
        <f t="shared" si="33"/>
        <v>0.12999999999999989</v>
      </c>
      <c r="D174" s="3">
        <f t="shared" si="28"/>
        <v>0.12999999999999989</v>
      </c>
      <c r="E174" s="3">
        <f t="shared" si="29"/>
        <v>0</v>
      </c>
      <c r="F174" s="3">
        <f t="shared" si="30"/>
        <v>4.2163548384669201E-2</v>
      </c>
      <c r="G174" s="3">
        <f t="shared" si="30"/>
        <v>8.8534842578468581E-2</v>
      </c>
      <c r="H174" s="3">
        <f t="shared" si="31"/>
        <v>0.47623678042121753</v>
      </c>
      <c r="I174" s="3">
        <f t="shared" si="32"/>
        <v>32.26018933665452</v>
      </c>
    </row>
    <row r="175" spans="1:9" ht="15.75" customHeight="1">
      <c r="A175" s="14" t="s">
        <v>181</v>
      </c>
      <c r="B175">
        <v>4.38</v>
      </c>
      <c r="C175" s="3">
        <f t="shared" si="33"/>
        <v>9.9999999999997868E-3</v>
      </c>
      <c r="D175" s="3">
        <f t="shared" si="28"/>
        <v>9.9999999999997868E-3</v>
      </c>
      <c r="E175" s="3">
        <f t="shared" si="29"/>
        <v>0</v>
      </c>
      <c r="F175" s="3">
        <f t="shared" si="30"/>
        <v>3.9866152071478526E-2</v>
      </c>
      <c r="G175" s="3">
        <f t="shared" si="30"/>
        <v>8.2210925251435113E-2</v>
      </c>
      <c r="H175" s="3">
        <f t="shared" si="31"/>
        <v>0.48492523286353117</v>
      </c>
      <c r="I175" s="3">
        <f t="shared" si="32"/>
        <v>32.65654203534551</v>
      </c>
    </row>
    <row r="176" spans="1:9" ht="15.75" customHeight="1">
      <c r="A176" s="14" t="s">
        <v>182</v>
      </c>
      <c r="B176">
        <v>4.37</v>
      </c>
      <c r="C176" s="3">
        <f t="shared" si="33"/>
        <v>-9.9999999999997868E-3</v>
      </c>
      <c r="D176" s="3">
        <f t="shared" si="28"/>
        <v>0</v>
      </c>
      <c r="E176" s="3">
        <f t="shared" si="29"/>
        <v>9.9999999999997868E-3</v>
      </c>
      <c r="F176" s="3">
        <f t="shared" si="30"/>
        <v>3.7018569780658636E-2</v>
      </c>
      <c r="G176" s="3">
        <f t="shared" si="30"/>
        <v>7.7053002019189729E-2</v>
      </c>
      <c r="H176" s="3">
        <f t="shared" si="31"/>
        <v>0.48042994835476127</v>
      </c>
      <c r="I176" s="3">
        <f t="shared" si="32"/>
        <v>32.452055491627632</v>
      </c>
    </row>
    <row r="177" spans="1:9" ht="15.75" customHeight="1">
      <c r="A177" s="14" t="s">
        <v>183</v>
      </c>
      <c r="B177">
        <v>4.32</v>
      </c>
      <c r="C177" s="3">
        <f t="shared" si="33"/>
        <v>-4.9999999999999822E-2</v>
      </c>
      <c r="D177" s="3">
        <f t="shared" si="28"/>
        <v>0</v>
      </c>
      <c r="E177" s="3">
        <f t="shared" si="29"/>
        <v>4.9999999999999822E-2</v>
      </c>
      <c r="F177" s="3">
        <f t="shared" si="30"/>
        <v>3.4374386224897309E-2</v>
      </c>
      <c r="G177" s="3">
        <f t="shared" si="30"/>
        <v>7.5120644732104738E-2</v>
      </c>
      <c r="H177" s="3">
        <f t="shared" si="31"/>
        <v>0.45758907351611866</v>
      </c>
      <c r="I177" s="3">
        <f t="shared" si="32"/>
        <v>31.393558159178824</v>
      </c>
    </row>
    <row r="178" spans="1:9" ht="15.75" customHeight="1">
      <c r="A178" s="14" t="s">
        <v>184</v>
      </c>
      <c r="B178">
        <v>4.3</v>
      </c>
      <c r="C178" s="3">
        <f t="shared" si="33"/>
        <v>-2.0000000000000462E-2</v>
      </c>
      <c r="D178" s="3">
        <f t="shared" si="28"/>
        <v>0</v>
      </c>
      <c r="E178" s="3">
        <f t="shared" si="29"/>
        <v>2.0000000000000462E-2</v>
      </c>
      <c r="F178" s="3">
        <f t="shared" si="30"/>
        <v>3.1919072923118928E-2</v>
      </c>
      <c r="G178" s="3">
        <f t="shared" si="30"/>
        <v>7.1183455822668718E-2</v>
      </c>
      <c r="H178" s="3">
        <f t="shared" si="31"/>
        <v>0.44840577848082142</v>
      </c>
      <c r="I178" s="3">
        <f t="shared" si="32"/>
        <v>30.958574257494149</v>
      </c>
    </row>
    <row r="179" spans="1:9" ht="15.75" customHeight="1">
      <c r="A179" s="14" t="s">
        <v>185</v>
      </c>
      <c r="B179">
        <v>4.46</v>
      </c>
      <c r="C179" s="3">
        <f t="shared" si="33"/>
        <v>0.16000000000000014</v>
      </c>
      <c r="D179" s="3">
        <f t="shared" si="28"/>
        <v>0.16000000000000014</v>
      </c>
      <c r="E179" s="3">
        <f t="shared" si="29"/>
        <v>0</v>
      </c>
      <c r="F179" s="3">
        <f t="shared" si="30"/>
        <v>4.1067710571467582E-2</v>
      </c>
      <c r="G179" s="3">
        <f t="shared" si="30"/>
        <v>6.6098923263906664E-2</v>
      </c>
      <c r="H179" s="3">
        <f t="shared" si="31"/>
        <v>0.62130680113351588</v>
      </c>
      <c r="I179" s="3">
        <f t="shared" si="32"/>
        <v>38.321359085099573</v>
      </c>
    </row>
    <row r="180" spans="1:9" ht="15.75" customHeight="1">
      <c r="A180" s="14" t="s">
        <v>186</v>
      </c>
      <c r="B180">
        <v>4.71</v>
      </c>
      <c r="C180" s="3">
        <f t="shared" si="33"/>
        <v>0.25</v>
      </c>
      <c r="D180" s="3">
        <f t="shared" si="28"/>
        <v>0.25</v>
      </c>
      <c r="E180" s="3">
        <f t="shared" si="29"/>
        <v>0</v>
      </c>
      <c r="F180" s="3">
        <f t="shared" si="30"/>
        <v>5.5991445530648463E-2</v>
      </c>
      <c r="G180" s="3">
        <f t="shared" si="30"/>
        <v>6.1377571602199046E-2</v>
      </c>
      <c r="H180" s="3">
        <f t="shared" si="31"/>
        <v>0.91224602194333793</v>
      </c>
      <c r="I180" s="3">
        <f t="shared" si="32"/>
        <v>47.705473640690826</v>
      </c>
    </row>
    <row r="181" spans="1:9" ht="15.75" customHeight="1">
      <c r="A181" s="14" t="s">
        <v>187</v>
      </c>
      <c r="B181">
        <v>4.6500000000000004</v>
      </c>
      <c r="C181" s="3">
        <f t="shared" si="33"/>
        <v>-5.9999999999999609E-2</v>
      </c>
      <c r="D181" s="3">
        <f t="shared" si="28"/>
        <v>0</v>
      </c>
      <c r="E181" s="3">
        <f t="shared" si="29"/>
        <v>5.9999999999999609E-2</v>
      </c>
      <c r="F181" s="3">
        <f t="shared" si="30"/>
        <v>5.1992056564173571E-2</v>
      </c>
      <c r="G181" s="3">
        <f t="shared" si="30"/>
        <v>6.1279173630613373E-2</v>
      </c>
      <c r="H181" s="3">
        <f t="shared" si="31"/>
        <v>0.84844578482043664</v>
      </c>
      <c r="I181" s="3">
        <f t="shared" si="32"/>
        <v>45.900496070154261</v>
      </c>
    </row>
    <row r="182" spans="1:9" ht="15.75" customHeight="1">
      <c r="A182" s="14" t="s">
        <v>188</v>
      </c>
      <c r="B182">
        <v>4.92</v>
      </c>
      <c r="C182" s="3">
        <f t="shared" si="33"/>
        <v>0.26999999999999957</v>
      </c>
      <c r="D182" s="3">
        <f t="shared" si="28"/>
        <v>0.26999999999999957</v>
      </c>
      <c r="E182" s="3">
        <f t="shared" si="29"/>
        <v>0</v>
      </c>
      <c r="F182" s="3">
        <f t="shared" si="30"/>
        <v>6.7564052523875429E-2</v>
      </c>
      <c r="G182" s="3">
        <f t="shared" si="30"/>
        <v>5.6902089799855275E-2</v>
      </c>
      <c r="H182" s="3">
        <f t="shared" si="31"/>
        <v>1.1873738339228319</v>
      </c>
      <c r="I182" s="3">
        <f t="shared" si="32"/>
        <v>54.28307752010538</v>
      </c>
    </row>
    <row r="183" spans="1:9" ht="15.75" customHeight="1">
      <c r="A183" s="14" t="s">
        <v>189</v>
      </c>
      <c r="B183">
        <v>5.24</v>
      </c>
      <c r="C183" s="3">
        <f t="shared" si="33"/>
        <v>0.32000000000000028</v>
      </c>
      <c r="D183" s="3">
        <f t="shared" si="28"/>
        <v>0.32000000000000028</v>
      </c>
      <c r="E183" s="3">
        <f t="shared" si="29"/>
        <v>0</v>
      </c>
      <c r="F183" s="3">
        <f t="shared" si="30"/>
        <v>8.5595191629312922E-2</v>
      </c>
      <c r="G183" s="3">
        <f t="shared" si="30"/>
        <v>5.2837654814151327E-2</v>
      </c>
      <c r="H183" s="3">
        <f t="shared" si="31"/>
        <v>1.6199657598426995</v>
      </c>
      <c r="I183" s="3">
        <f t="shared" si="32"/>
        <v>61.831562254460948</v>
      </c>
    </row>
    <row r="184" spans="1:9" ht="15.75" customHeight="1">
      <c r="A184" s="14" t="s">
        <v>190</v>
      </c>
      <c r="B184">
        <v>5.2</v>
      </c>
      <c r="C184" s="3">
        <f t="shared" si="33"/>
        <v>-4.0000000000000036E-2</v>
      </c>
      <c r="D184" s="3">
        <f t="shared" si="28"/>
        <v>0</v>
      </c>
      <c r="E184" s="3">
        <f t="shared" si="29"/>
        <v>4.0000000000000036E-2</v>
      </c>
      <c r="F184" s="3">
        <f t="shared" si="30"/>
        <v>7.9481249370076279E-2</v>
      </c>
      <c r="G184" s="3">
        <f t="shared" si="30"/>
        <v>5.1920679470283379E-2</v>
      </c>
      <c r="H184" s="3">
        <f t="shared" si="31"/>
        <v>1.530820670703416</v>
      </c>
      <c r="I184" s="3">
        <f t="shared" si="32"/>
        <v>60.487125319627637</v>
      </c>
    </row>
    <row r="185" spans="1:9" ht="15.75" customHeight="1">
      <c r="A185" s="14" t="s">
        <v>191</v>
      </c>
      <c r="B185">
        <v>5.2</v>
      </c>
      <c r="C185" s="3">
        <f t="shared" si="33"/>
        <v>0</v>
      </c>
      <c r="D185" s="3">
        <f t="shared" si="28"/>
        <v>0</v>
      </c>
      <c r="E185" s="3">
        <f t="shared" si="29"/>
        <v>0</v>
      </c>
      <c r="F185" s="3">
        <f t="shared" si="30"/>
        <v>7.3804017272213682E-2</v>
      </c>
      <c r="G185" s="3">
        <f t="shared" si="30"/>
        <v>4.8212059508120284E-2</v>
      </c>
      <c r="H185" s="3">
        <f t="shared" si="31"/>
        <v>1.5308206707034158</v>
      </c>
      <c r="I185" s="3">
        <f t="shared" si="32"/>
        <v>60.487125319627637</v>
      </c>
    </row>
    <row r="186" spans="1:9" ht="15.75" customHeight="1">
      <c r="A186" s="14" t="s">
        <v>192</v>
      </c>
      <c r="B186">
        <v>5.3</v>
      </c>
      <c r="C186" s="3">
        <f t="shared" si="33"/>
        <v>9.9999999999999645E-2</v>
      </c>
      <c r="D186" s="3">
        <f t="shared" si="28"/>
        <v>9.9999999999999645E-2</v>
      </c>
      <c r="E186" s="3">
        <f t="shared" si="29"/>
        <v>0</v>
      </c>
      <c r="F186" s="3">
        <f t="shared" si="30"/>
        <v>7.5675158895626968E-2</v>
      </c>
      <c r="G186" s="3">
        <f t="shared" si="30"/>
        <v>4.4768340971825978E-2</v>
      </c>
      <c r="H186" s="3">
        <f t="shared" si="31"/>
        <v>1.6903721972465218</v>
      </c>
      <c r="I186" s="3">
        <f t="shared" si="32"/>
        <v>62.830421715498836</v>
      </c>
    </row>
    <row r="187" spans="1:9" ht="15.75" customHeight="1">
      <c r="A187" s="14" t="s">
        <v>193</v>
      </c>
      <c r="B187">
        <v>5.19</v>
      </c>
      <c r="C187" s="3">
        <f t="shared" si="33"/>
        <v>-0.10999999999999943</v>
      </c>
      <c r="D187" s="3">
        <f t="shared" si="28"/>
        <v>0</v>
      </c>
      <c r="E187" s="3">
        <f t="shared" si="29"/>
        <v>0.10999999999999943</v>
      </c>
      <c r="F187" s="3">
        <f t="shared" si="30"/>
        <v>7.0269790403082191E-2</v>
      </c>
      <c r="G187" s="3">
        <f t="shared" si="30"/>
        <v>4.9427745188124081E-2</v>
      </c>
      <c r="H187" s="3">
        <f t="shared" si="31"/>
        <v>1.4216669228109113</v>
      </c>
      <c r="I187" s="3">
        <f t="shared" si="32"/>
        <v>58.706129625817162</v>
      </c>
    </row>
    <row r="188" spans="1:9" ht="15.75" customHeight="1">
      <c r="A188" s="14" t="s">
        <v>194</v>
      </c>
      <c r="B188">
        <v>5.12</v>
      </c>
      <c r="C188" s="3">
        <f t="shared" si="33"/>
        <v>-7.0000000000000284E-2</v>
      </c>
      <c r="D188" s="3">
        <f t="shared" si="28"/>
        <v>0</v>
      </c>
      <c r="E188" s="3">
        <f t="shared" si="29"/>
        <v>7.0000000000000284E-2</v>
      </c>
      <c r="F188" s="3">
        <f t="shared" si="30"/>
        <v>6.5250519660004891E-2</v>
      </c>
      <c r="G188" s="3">
        <f t="shared" si="30"/>
        <v>5.0897191960400948E-2</v>
      </c>
      <c r="H188" s="3">
        <f t="shared" si="31"/>
        <v>1.2820062786719377</v>
      </c>
      <c r="I188" s="3">
        <f t="shared" si="32"/>
        <v>56.178911103523724</v>
      </c>
    </row>
    <row r="189" spans="1:9" ht="15.75" customHeight="1">
      <c r="A189" s="14" t="s">
        <v>195</v>
      </c>
      <c r="B189">
        <v>5.0199999999999996</v>
      </c>
      <c r="C189" s="3">
        <f t="shared" si="33"/>
        <v>-0.10000000000000053</v>
      </c>
      <c r="D189" s="3">
        <f t="shared" si="28"/>
        <v>0</v>
      </c>
      <c r="E189" s="3">
        <f t="shared" si="29"/>
        <v>0.10000000000000053</v>
      </c>
      <c r="F189" s="3">
        <f t="shared" si="30"/>
        <v>6.0589768255718823E-2</v>
      </c>
      <c r="G189" s="3">
        <f t="shared" si="30"/>
        <v>5.4404535391800915E-2</v>
      </c>
      <c r="H189" s="3">
        <f t="shared" si="31"/>
        <v>1.1136896550880215</v>
      </c>
      <c r="I189" s="3">
        <f t="shared" si="32"/>
        <v>52.689364893619803</v>
      </c>
    </row>
    <row r="190" spans="1:9" ht="15.75" customHeight="1">
      <c r="A190" s="14" t="s">
        <v>196</v>
      </c>
      <c r="B190">
        <v>5.25</v>
      </c>
      <c r="C190" s="3">
        <f t="shared" si="33"/>
        <v>0.23000000000000043</v>
      </c>
      <c r="D190" s="3">
        <f t="shared" si="28"/>
        <v>0.23000000000000043</v>
      </c>
      <c r="E190" s="3">
        <f t="shared" si="29"/>
        <v>0</v>
      </c>
      <c r="F190" s="3">
        <f t="shared" si="30"/>
        <v>7.2690499094596087E-2</v>
      </c>
      <c r="G190" s="3">
        <f t="shared" si="30"/>
        <v>5.0518497149529426E-2</v>
      </c>
      <c r="H190" s="3">
        <f t="shared" si="31"/>
        <v>1.4388887871988725</v>
      </c>
      <c r="I190" s="3">
        <f t="shared" si="32"/>
        <v>58.997720386072785</v>
      </c>
    </row>
    <row r="191" spans="1:9" ht="15.75" customHeight="1">
      <c r="A191" s="14" t="s">
        <v>197</v>
      </c>
      <c r="B191">
        <v>5.33</v>
      </c>
      <c r="C191" s="3">
        <f t="shared" si="33"/>
        <v>8.0000000000000071E-2</v>
      </c>
      <c r="D191" s="3">
        <f t="shared" si="28"/>
        <v>8.0000000000000071E-2</v>
      </c>
      <c r="E191" s="3">
        <f t="shared" si="29"/>
        <v>0</v>
      </c>
      <c r="F191" s="3">
        <f t="shared" si="30"/>
        <v>7.3212606302124936E-2</v>
      </c>
      <c r="G191" s="3">
        <f t="shared" si="30"/>
        <v>4.6910033067420184E-2</v>
      </c>
      <c r="H191" s="3">
        <f t="shared" si="31"/>
        <v>1.5607025089260134</v>
      </c>
      <c r="I191" s="3">
        <f t="shared" si="32"/>
        <v>60.948216494722345</v>
      </c>
    </row>
    <row r="192" spans="1:9" ht="15.75" customHeight="1">
      <c r="A192" s="14" t="s">
        <v>198</v>
      </c>
      <c r="B192">
        <v>5.37</v>
      </c>
      <c r="C192" s="3">
        <f t="shared" si="33"/>
        <v>4.0000000000000036E-2</v>
      </c>
      <c r="D192" s="3">
        <f t="shared" si="28"/>
        <v>4.0000000000000036E-2</v>
      </c>
      <c r="E192" s="3">
        <f t="shared" si="29"/>
        <v>0</v>
      </c>
      <c r="F192" s="3">
        <f t="shared" si="30"/>
        <v>7.0840277280544581E-2</v>
      </c>
      <c r="G192" s="3">
        <f t="shared" si="30"/>
        <v>4.3559316419747314E-2</v>
      </c>
      <c r="H192" s="3">
        <f t="shared" si="31"/>
        <v>1.6262945129329356</v>
      </c>
      <c r="I192" s="3">
        <f t="shared" si="32"/>
        <v>61.923539227013734</v>
      </c>
    </row>
    <row r="193" spans="1:9" ht="15.75" customHeight="1">
      <c r="A193" s="14" t="s">
        <v>199</v>
      </c>
      <c r="B193">
        <v>5.51</v>
      </c>
      <c r="C193" s="3">
        <f t="shared" si="33"/>
        <v>0.13999999999999968</v>
      </c>
      <c r="D193" s="3">
        <f t="shared" si="28"/>
        <v>0.13999999999999968</v>
      </c>
      <c r="E193" s="3">
        <f t="shared" si="29"/>
        <v>0</v>
      </c>
      <c r="F193" s="3">
        <f t="shared" si="30"/>
        <v>7.5780257474791377E-2</v>
      </c>
      <c r="G193" s="3">
        <f t="shared" si="30"/>
        <v>4.0447936675479648E-2</v>
      </c>
      <c r="H193" s="3">
        <f t="shared" si="31"/>
        <v>1.8735259126513342</v>
      </c>
      <c r="I193" s="3">
        <f t="shared" si="32"/>
        <v>65.199548206707362</v>
      </c>
    </row>
    <row r="194" spans="1:9" ht="15.75" customHeight="1">
      <c r="A194" s="14" t="s">
        <v>200</v>
      </c>
      <c r="B194">
        <v>5.65</v>
      </c>
      <c r="C194" s="3">
        <f t="shared" si="33"/>
        <v>0.14000000000000057</v>
      </c>
      <c r="D194" s="3">
        <f t="shared" si="28"/>
        <v>0.14000000000000057</v>
      </c>
      <c r="E194" s="3">
        <f t="shared" si="29"/>
        <v>0</v>
      </c>
      <c r="F194" s="3">
        <f t="shared" si="30"/>
        <v>8.0367381940877752E-2</v>
      </c>
      <c r="G194" s="3">
        <f t="shared" si="30"/>
        <v>3.7558798341516819E-2</v>
      </c>
      <c r="H194" s="3">
        <f t="shared" si="31"/>
        <v>2.1397751123480724</v>
      </c>
      <c r="I194" s="3">
        <f t="shared" si="32"/>
        <v>68.15058517830748</v>
      </c>
    </row>
    <row r="195" spans="1:9" ht="15.75" customHeight="1">
      <c r="A195" s="14" t="s">
        <v>201</v>
      </c>
      <c r="B195">
        <v>5.79</v>
      </c>
      <c r="C195" s="3">
        <f t="shared" si="33"/>
        <v>0.13999999999999968</v>
      </c>
      <c r="D195" s="3">
        <f t="shared" si="28"/>
        <v>0.13999999999999968</v>
      </c>
      <c r="E195" s="3">
        <f t="shared" si="29"/>
        <v>0</v>
      </c>
      <c r="F195" s="3">
        <f t="shared" si="30"/>
        <v>8.4626854659386463E-2</v>
      </c>
      <c r="G195" s="3">
        <f t="shared" si="30"/>
        <v>3.4876027031408477E-2</v>
      </c>
      <c r="H195" s="3">
        <f t="shared" si="31"/>
        <v>2.426505019713789</v>
      </c>
      <c r="I195" s="3">
        <f t="shared" si="32"/>
        <v>70.815743906789066</v>
      </c>
    </row>
    <row r="196" spans="1:9" ht="15.75" customHeight="1">
      <c r="A196" s="14" t="s">
        <v>202</v>
      </c>
      <c r="B196">
        <v>5.64</v>
      </c>
      <c r="C196" s="3">
        <f t="shared" si="33"/>
        <v>-0.15000000000000036</v>
      </c>
      <c r="D196" s="3">
        <f t="shared" si="28"/>
        <v>0</v>
      </c>
      <c r="E196" s="3">
        <f t="shared" si="29"/>
        <v>0.15000000000000036</v>
      </c>
      <c r="F196" s="3">
        <f t="shared" si="30"/>
        <v>7.8582079326573143E-2</v>
      </c>
      <c r="G196" s="3">
        <f t="shared" si="30"/>
        <v>4.309916795773646E-2</v>
      </c>
      <c r="H196" s="3">
        <f t="shared" si="31"/>
        <v>1.8232852987703065</v>
      </c>
      <c r="I196" s="3">
        <f t="shared" si="32"/>
        <v>64.580271060967377</v>
      </c>
    </row>
    <row r="197" spans="1:9" ht="15.75" customHeight="1">
      <c r="A197" s="14" t="s">
        <v>203</v>
      </c>
      <c r="B197">
        <v>5.58</v>
      </c>
      <c r="C197" s="3">
        <f t="shared" si="33"/>
        <v>-5.9999999999999609E-2</v>
      </c>
      <c r="D197" s="3">
        <f t="shared" si="28"/>
        <v>0</v>
      </c>
      <c r="E197" s="3">
        <f t="shared" si="29"/>
        <v>5.9999999999999609E-2</v>
      </c>
      <c r="F197" s="3">
        <f t="shared" si="30"/>
        <v>7.2969073660389336E-2</v>
      </c>
      <c r="G197" s="3">
        <f t="shared" si="30"/>
        <v>4.4306370246469544E-2</v>
      </c>
      <c r="H197" s="3">
        <f t="shared" si="31"/>
        <v>1.6469205952659531</v>
      </c>
      <c r="I197" s="3">
        <f t="shared" si="32"/>
        <v>62.220249380033877</v>
      </c>
    </row>
    <row r="198" spans="1:9" ht="15.75" customHeight="1">
      <c r="A198" s="14" t="s">
        <v>204</v>
      </c>
      <c r="B198">
        <v>5.54</v>
      </c>
      <c r="C198" s="3">
        <f t="shared" si="33"/>
        <v>-4.0000000000000036E-2</v>
      </c>
      <c r="D198" s="3">
        <f t="shared" si="28"/>
        <v>0</v>
      </c>
      <c r="E198" s="3">
        <f t="shared" si="29"/>
        <v>4.0000000000000036E-2</v>
      </c>
      <c r="F198" s="3">
        <f t="shared" si="30"/>
        <v>6.7756996970361527E-2</v>
      </c>
      <c r="G198" s="3">
        <f t="shared" si="30"/>
        <v>4.3998772371721721E-2</v>
      </c>
      <c r="H198" s="3">
        <f t="shared" si="31"/>
        <v>1.5399747156106873</v>
      </c>
      <c r="I198" s="3">
        <f t="shared" si="32"/>
        <v>60.629529347123061</v>
      </c>
    </row>
    <row r="199" spans="1:9" ht="15.75" customHeight="1">
      <c r="A199" s="14" t="s">
        <v>205</v>
      </c>
      <c r="B199">
        <v>5.67</v>
      </c>
      <c r="C199" s="3">
        <f t="shared" si="33"/>
        <v>0.12999999999999989</v>
      </c>
      <c r="D199" s="3">
        <f t="shared" si="28"/>
        <v>0.12999999999999989</v>
      </c>
      <c r="E199" s="3">
        <f t="shared" si="29"/>
        <v>0</v>
      </c>
      <c r="F199" s="3">
        <f t="shared" si="30"/>
        <v>7.2202925758192843E-2</v>
      </c>
      <c r="G199" s="3">
        <f t="shared" si="30"/>
        <v>4.0856002916598744E-2</v>
      </c>
      <c r="H199" s="3">
        <f t="shared" si="31"/>
        <v>1.7672537841154954</v>
      </c>
      <c r="I199" s="3">
        <f t="shared" si="32"/>
        <v>63.863090341038863</v>
      </c>
    </row>
    <row r="200" spans="1:9" ht="15.75" customHeight="1">
      <c r="A200" s="14" t="s">
        <v>206</v>
      </c>
      <c r="B200">
        <v>5.8</v>
      </c>
      <c r="C200" s="3">
        <f t="shared" si="33"/>
        <v>0.12999999999999989</v>
      </c>
      <c r="D200" s="3">
        <f t="shared" si="28"/>
        <v>0.12999999999999989</v>
      </c>
      <c r="E200" s="3">
        <f t="shared" si="29"/>
        <v>0</v>
      </c>
      <c r="F200" s="3">
        <f t="shared" si="30"/>
        <v>7.6331288204036216E-2</v>
      </c>
      <c r="G200" s="3">
        <f t="shared" si="30"/>
        <v>3.7937716993984551E-2</v>
      </c>
      <c r="H200" s="3">
        <f t="shared" si="31"/>
        <v>2.0120158578899039</v>
      </c>
      <c r="I200" s="3">
        <f t="shared" si="32"/>
        <v>66.799643588179535</v>
      </c>
    </row>
    <row r="201" spans="1:9" ht="15.75" customHeight="1">
      <c r="A201" s="14" t="s">
        <v>207</v>
      </c>
      <c r="B201">
        <v>5.9</v>
      </c>
      <c r="C201" s="3">
        <f t="shared" si="33"/>
        <v>0.10000000000000053</v>
      </c>
      <c r="D201" s="3">
        <f t="shared" si="28"/>
        <v>0.10000000000000053</v>
      </c>
      <c r="E201" s="3">
        <f t="shared" si="29"/>
        <v>0</v>
      </c>
      <c r="F201" s="3">
        <f t="shared" si="30"/>
        <v>7.8021910475176509E-2</v>
      </c>
      <c r="G201" s="3">
        <f t="shared" si="30"/>
        <v>3.52278800658428E-2</v>
      </c>
      <c r="H201" s="3">
        <f t="shared" si="31"/>
        <v>2.2147773391231427</v>
      </c>
      <c r="I201" s="3">
        <f t="shared" si="32"/>
        <v>68.893646604067499</v>
      </c>
    </row>
    <row r="202" spans="1:9" ht="15.75" customHeight="1">
      <c r="A202" s="14" t="s">
        <v>208</v>
      </c>
      <c r="B202">
        <v>5.73</v>
      </c>
      <c r="C202" s="3">
        <f t="shared" si="33"/>
        <v>-0.16999999999999993</v>
      </c>
      <c r="D202" s="3">
        <f t="shared" si="28"/>
        <v>0</v>
      </c>
      <c r="E202" s="3">
        <f t="shared" si="29"/>
        <v>0.16999999999999993</v>
      </c>
      <c r="F202" s="3">
        <f t="shared" si="30"/>
        <v>7.244891686980677E-2</v>
      </c>
      <c r="G202" s="3">
        <f t="shared" si="30"/>
        <v>4.4854460061139738E-2</v>
      </c>
      <c r="H202" s="3">
        <f t="shared" si="31"/>
        <v>1.615199843472731</v>
      </c>
      <c r="I202" s="3">
        <f t="shared" si="32"/>
        <v>61.762004441232406</v>
      </c>
    </row>
    <row r="203" spans="1:9" ht="15.75" customHeight="1">
      <c r="A203" s="14" t="s">
        <v>209</v>
      </c>
      <c r="B203">
        <v>5.59</v>
      </c>
      <c r="C203" s="3">
        <f t="shared" si="33"/>
        <v>-0.14000000000000057</v>
      </c>
      <c r="D203" s="3">
        <f t="shared" si="28"/>
        <v>0</v>
      </c>
      <c r="E203" s="3">
        <f t="shared" si="29"/>
        <v>0.14000000000000057</v>
      </c>
      <c r="F203" s="3">
        <f t="shared" si="30"/>
        <v>6.7273994236249149E-2</v>
      </c>
      <c r="G203" s="3">
        <f t="shared" si="30"/>
        <v>5.1650570056772656E-2</v>
      </c>
      <c r="H203" s="3">
        <f t="shared" si="31"/>
        <v>1.3024830928739746</v>
      </c>
      <c r="I203" s="3">
        <f t="shared" si="32"/>
        <v>56.568627882874338</v>
      </c>
    </row>
    <row r="204" spans="1:9" ht="15.75" customHeight="1">
      <c r="A204" s="14" t="s">
        <v>210</v>
      </c>
      <c r="B204">
        <v>5.45</v>
      </c>
      <c r="C204" s="3">
        <f t="shared" si="33"/>
        <v>-0.13999999999999968</v>
      </c>
      <c r="D204" s="3">
        <f t="shared" si="28"/>
        <v>0</v>
      </c>
      <c r="E204" s="3">
        <f t="shared" si="29"/>
        <v>0.13999999999999968</v>
      </c>
      <c r="F204" s="3">
        <f t="shared" si="30"/>
        <v>6.2468708933659925E-2</v>
      </c>
      <c r="G204" s="3">
        <f t="shared" si="30"/>
        <v>5.7961243624146015E-2</v>
      </c>
      <c r="H204" s="3">
        <f t="shared" si="31"/>
        <v>1.0777668840017116</v>
      </c>
      <c r="I204" s="3">
        <f t="shared" si="32"/>
        <v>51.871405416086304</v>
      </c>
    </row>
    <row r="205" spans="1:9" ht="15.75" customHeight="1">
      <c r="A205" s="14" t="s">
        <v>211</v>
      </c>
      <c r="B205">
        <v>5.38</v>
      </c>
      <c r="C205" s="3">
        <f t="shared" si="33"/>
        <v>-7.0000000000000284E-2</v>
      </c>
      <c r="D205" s="3">
        <f t="shared" si="28"/>
        <v>0</v>
      </c>
      <c r="E205" s="3">
        <f t="shared" si="29"/>
        <v>7.0000000000000284E-2</v>
      </c>
      <c r="F205" s="3">
        <f t="shared" si="30"/>
        <v>5.8006658295541358E-2</v>
      </c>
      <c r="G205" s="3">
        <f t="shared" si="30"/>
        <v>5.8821154793849896E-2</v>
      </c>
      <c r="H205" s="3">
        <f t="shared" si="31"/>
        <v>0.98615300054609434</v>
      </c>
      <c r="I205" s="3">
        <f t="shared" si="32"/>
        <v>49.651411561694935</v>
      </c>
    </row>
    <row r="206" spans="1:9" ht="15.75" customHeight="1">
      <c r="A206" s="14" t="s">
        <v>212</v>
      </c>
      <c r="B206">
        <v>5.2</v>
      </c>
      <c r="C206" s="3">
        <f t="shared" si="33"/>
        <v>-0.17999999999999972</v>
      </c>
      <c r="D206" s="3">
        <f t="shared" si="28"/>
        <v>0</v>
      </c>
      <c r="E206" s="3">
        <f t="shared" si="29"/>
        <v>0.17999999999999972</v>
      </c>
      <c r="F206" s="3">
        <f t="shared" si="30"/>
        <v>5.3863325560145552E-2</v>
      </c>
      <c r="G206" s="3">
        <f t="shared" si="30"/>
        <v>6.747678659428917E-2</v>
      </c>
      <c r="H206" s="3">
        <f t="shared" si="31"/>
        <v>0.79824971340150064</v>
      </c>
      <c r="I206" s="3">
        <f t="shared" si="32"/>
        <v>44.390370672800607</v>
      </c>
    </row>
    <row r="207" spans="1:9" ht="15.75" customHeight="1">
      <c r="A207" s="14" t="s">
        <v>213</v>
      </c>
      <c r="B207">
        <v>5.3</v>
      </c>
      <c r="C207" s="3">
        <f t="shared" si="33"/>
        <v>9.9999999999999645E-2</v>
      </c>
      <c r="D207" s="3">
        <f t="shared" si="28"/>
        <v>9.9999999999999645E-2</v>
      </c>
      <c r="E207" s="3">
        <f t="shared" si="29"/>
        <v>0</v>
      </c>
      <c r="F207" s="3">
        <f t="shared" si="30"/>
        <v>5.7158802305849417E-2</v>
      </c>
      <c r="G207" s="3">
        <f t="shared" si="30"/>
        <v>6.2657016123268516E-2</v>
      </c>
      <c r="H207" s="3">
        <f t="shared" si="31"/>
        <v>0.91224903199025364</v>
      </c>
      <c r="I207" s="3">
        <f t="shared" si="32"/>
        <v>47.705555956840627</v>
      </c>
    </row>
    <row r="208" spans="1:9" ht="15.75" customHeight="1">
      <c r="A208" s="14" t="s">
        <v>214</v>
      </c>
      <c r="B208">
        <v>5.27</v>
      </c>
      <c r="C208" s="3">
        <f t="shared" si="33"/>
        <v>-3.0000000000000249E-2</v>
      </c>
      <c r="D208" s="3">
        <f t="shared" si="28"/>
        <v>0</v>
      </c>
      <c r="E208" s="3">
        <f t="shared" si="29"/>
        <v>3.0000000000000249E-2</v>
      </c>
      <c r="F208" s="3">
        <f t="shared" si="30"/>
        <v>5.3076030712574454E-2</v>
      </c>
      <c r="G208" s="3">
        <f t="shared" si="30"/>
        <v>6.0324372114463634E-2</v>
      </c>
      <c r="H208" s="3">
        <f t="shared" si="31"/>
        <v>0.87984389811574537</v>
      </c>
      <c r="I208" s="3">
        <f t="shared" si="32"/>
        <v>46.804093627010928</v>
      </c>
    </row>
    <row r="209" spans="1:9" ht="15.75" customHeight="1">
      <c r="A209" s="14" t="s">
        <v>215</v>
      </c>
      <c r="B209">
        <v>5.31</v>
      </c>
      <c r="C209" s="3">
        <f t="shared" si="33"/>
        <v>4.0000000000000036E-2</v>
      </c>
      <c r="D209" s="3">
        <f t="shared" si="28"/>
        <v>4.0000000000000036E-2</v>
      </c>
      <c r="E209" s="3">
        <f t="shared" si="29"/>
        <v>0</v>
      </c>
      <c r="F209" s="3">
        <f t="shared" si="30"/>
        <v>5.214202851881914E-2</v>
      </c>
      <c r="G209" s="3">
        <f t="shared" si="30"/>
        <v>5.6015488392001947E-2</v>
      </c>
      <c r="H209" s="3">
        <f t="shared" si="31"/>
        <v>0.93085019903645305</v>
      </c>
      <c r="I209" s="3">
        <f t="shared" si="32"/>
        <v>48.209343195084358</v>
      </c>
    </row>
    <row r="210" spans="1:9" ht="15.75" customHeight="1">
      <c r="A210" s="14" t="s">
        <v>216</v>
      </c>
      <c r="B210">
        <v>5.28</v>
      </c>
      <c r="C210" s="3">
        <f t="shared" si="33"/>
        <v>-2.9999999999999361E-2</v>
      </c>
      <c r="D210" s="3">
        <f t="shared" si="28"/>
        <v>0</v>
      </c>
      <c r="E210" s="3">
        <f t="shared" si="29"/>
        <v>2.9999999999999361E-2</v>
      </c>
      <c r="F210" s="3">
        <f t="shared" si="30"/>
        <v>4.8417597910332059E-2</v>
      </c>
      <c r="G210" s="3">
        <f t="shared" si="30"/>
        <v>5.4157239221144619E-2</v>
      </c>
      <c r="H210" s="3">
        <f t="shared" si="31"/>
        <v>0.89401894569670692</v>
      </c>
      <c r="I210" s="3">
        <f t="shared" si="32"/>
        <v>47.202217682561027</v>
      </c>
    </row>
    <row r="211" spans="1:9" ht="15.75" customHeight="1">
      <c r="A211" s="14" t="s">
        <v>217</v>
      </c>
      <c r="B211">
        <v>5.08</v>
      </c>
      <c r="C211" s="3">
        <f t="shared" si="33"/>
        <v>-0.20000000000000018</v>
      </c>
      <c r="D211" s="3">
        <f t="shared" si="28"/>
        <v>0</v>
      </c>
      <c r="E211" s="3">
        <f t="shared" si="29"/>
        <v>0.20000000000000018</v>
      </c>
      <c r="F211" s="3">
        <f t="shared" si="30"/>
        <v>4.4959198059594051E-2</v>
      </c>
      <c r="G211" s="3">
        <f t="shared" si="30"/>
        <v>6.4574579276777164E-2</v>
      </c>
      <c r="H211" s="3">
        <f t="shared" si="31"/>
        <v>0.69623679415535333</v>
      </c>
      <c r="I211" s="3">
        <f t="shared" si="32"/>
        <v>41.045966963713148</v>
      </c>
    </row>
    <row r="212" spans="1:9" ht="15.75" customHeight="1">
      <c r="A212" s="14" t="s">
        <v>218</v>
      </c>
      <c r="B212">
        <v>5.0999999999999996</v>
      </c>
      <c r="C212" s="3">
        <f t="shared" si="33"/>
        <v>1.9999999999999574E-2</v>
      </c>
      <c r="D212" s="3">
        <f t="shared" si="28"/>
        <v>1.9999999999999574E-2</v>
      </c>
      <c r="E212" s="3">
        <f t="shared" si="29"/>
        <v>0</v>
      </c>
      <c r="F212" s="3">
        <f t="shared" si="30"/>
        <v>4.3176398198194445E-2</v>
      </c>
      <c r="G212" s="3">
        <f t="shared" si="30"/>
        <v>5.9962109328435938E-2</v>
      </c>
      <c r="H212" s="3">
        <f t="shared" si="31"/>
        <v>0.72006136344704641</v>
      </c>
      <c r="I212" s="3">
        <f t="shared" si="32"/>
        <v>41.862539252903474</v>
      </c>
    </row>
    <row r="213" spans="1:9" ht="15.75" customHeight="1">
      <c r="A213" s="14" t="s">
        <v>219</v>
      </c>
      <c r="B213">
        <v>5.17</v>
      </c>
      <c r="C213" s="3">
        <f t="shared" si="33"/>
        <v>7.0000000000000284E-2</v>
      </c>
      <c r="D213" s="3">
        <f t="shared" si="28"/>
        <v>7.0000000000000284E-2</v>
      </c>
      <c r="E213" s="3">
        <f t="shared" si="29"/>
        <v>0</v>
      </c>
      <c r="F213" s="3">
        <f t="shared" si="30"/>
        <v>4.5092369755466287E-2</v>
      </c>
      <c r="G213" s="3">
        <f t="shared" si="30"/>
        <v>5.5679101519261941E-2</v>
      </c>
      <c r="H213" s="3">
        <f t="shared" si="31"/>
        <v>0.80986166308496876</v>
      </c>
      <c r="I213" s="3">
        <f t="shared" si="32"/>
        <v>44.747158283055349</v>
      </c>
    </row>
    <row r="214" spans="1:9" ht="15.75" customHeight="1">
      <c r="A214" s="14" t="s">
        <v>220</v>
      </c>
      <c r="B214">
        <v>5.01</v>
      </c>
      <c r="C214" s="3">
        <f t="shared" si="33"/>
        <v>-0.16000000000000014</v>
      </c>
      <c r="D214" s="3">
        <f t="shared" si="28"/>
        <v>0</v>
      </c>
      <c r="E214" s="3">
        <f t="shared" si="29"/>
        <v>0.16000000000000014</v>
      </c>
      <c r="F214" s="3">
        <f t="shared" si="30"/>
        <v>4.1871486201504403E-2</v>
      </c>
      <c r="G214" s="3">
        <f t="shared" si="30"/>
        <v>6.31305942678861E-2</v>
      </c>
      <c r="H214" s="3">
        <f t="shared" si="31"/>
        <v>0.66325189374629423</v>
      </c>
      <c r="I214" s="3">
        <f t="shared" si="32"/>
        <v>39.876815787198133</v>
      </c>
    </row>
    <row r="215" spans="1:9" ht="15.75" customHeight="1">
      <c r="A215" s="14" t="s">
        <v>221</v>
      </c>
      <c r="B215">
        <v>5.14</v>
      </c>
      <c r="C215" s="3">
        <f t="shared" si="33"/>
        <v>0.12999999999999989</v>
      </c>
      <c r="D215" s="3">
        <f t="shared" si="28"/>
        <v>0.12999999999999989</v>
      </c>
      <c r="E215" s="3">
        <f t="shared" si="29"/>
        <v>0</v>
      </c>
      <c r="F215" s="3">
        <f t="shared" si="30"/>
        <v>4.8166380044254074E-2</v>
      </c>
      <c r="G215" s="3">
        <f t="shared" si="30"/>
        <v>5.8621266105894236E-2</v>
      </c>
      <c r="H215" s="3">
        <f t="shared" si="31"/>
        <v>0.82165369743542704</v>
      </c>
      <c r="I215" s="3">
        <f t="shared" si="32"/>
        <v>45.104824182124915</v>
      </c>
    </row>
    <row r="216" spans="1:9" ht="15.75" customHeight="1">
      <c r="A216" s="14" t="s">
        <v>222</v>
      </c>
      <c r="B216">
        <v>5.25</v>
      </c>
      <c r="C216" s="3">
        <f t="shared" si="33"/>
        <v>0.11000000000000032</v>
      </c>
      <c r="D216" s="3">
        <f t="shared" si="28"/>
        <v>0.11000000000000032</v>
      </c>
      <c r="E216" s="3">
        <f t="shared" si="29"/>
        <v>0</v>
      </c>
      <c r="F216" s="3">
        <f t="shared" si="30"/>
        <v>5.2583067183950234E-2</v>
      </c>
      <c r="G216" s="3">
        <f t="shared" si="30"/>
        <v>5.4434032812616072E-2</v>
      </c>
      <c r="H216" s="3">
        <f t="shared" si="31"/>
        <v>0.96599616943617594</v>
      </c>
      <c r="I216" s="3">
        <f t="shared" si="32"/>
        <v>49.135200996511195</v>
      </c>
    </row>
    <row r="217" spans="1:9" ht="15.75" customHeight="1">
      <c r="A217" s="14" t="s">
        <v>223</v>
      </c>
      <c r="B217">
        <v>5.38</v>
      </c>
      <c r="C217" s="3">
        <f t="shared" si="33"/>
        <v>0.12999999999999989</v>
      </c>
      <c r="D217" s="3">
        <f t="shared" si="28"/>
        <v>0.12999999999999989</v>
      </c>
      <c r="E217" s="3">
        <f t="shared" si="29"/>
        <v>0</v>
      </c>
      <c r="F217" s="3">
        <f t="shared" si="30"/>
        <v>5.8112848099382351E-2</v>
      </c>
      <c r="G217" s="3">
        <f t="shared" si="30"/>
        <v>5.0545887611714919E-2</v>
      </c>
      <c r="H217" s="3">
        <f t="shared" si="31"/>
        <v>1.1497047701644012</v>
      </c>
      <c r="I217" s="3">
        <f t="shared" si="32"/>
        <v>53.481984415770555</v>
      </c>
    </row>
    <row r="218" spans="1:9" ht="15.75" customHeight="1">
      <c r="A218" s="14" t="s">
        <v>224</v>
      </c>
      <c r="B218">
        <v>5.35</v>
      </c>
      <c r="C218" s="3">
        <f t="shared" si="33"/>
        <v>-3.0000000000000249E-2</v>
      </c>
      <c r="D218" s="3">
        <f t="shared" si="28"/>
        <v>0</v>
      </c>
      <c r="E218" s="3">
        <f t="shared" si="29"/>
        <v>3.0000000000000249E-2</v>
      </c>
      <c r="F218" s="3">
        <f t="shared" si="30"/>
        <v>5.3961930377997895E-2</v>
      </c>
      <c r="G218" s="3">
        <f t="shared" si="30"/>
        <v>4.9078324210878155E-2</v>
      </c>
      <c r="H218" s="3">
        <f t="shared" si="31"/>
        <v>1.0995063756891132</v>
      </c>
      <c r="I218" s="3">
        <f t="shared" si="32"/>
        <v>52.369756454215405</v>
      </c>
    </row>
    <row r="219" spans="1:9" ht="15.75" customHeight="1">
      <c r="A219" s="14" t="s">
        <v>225</v>
      </c>
      <c r="B219">
        <v>5.24</v>
      </c>
      <c r="C219" s="3">
        <f t="shared" si="33"/>
        <v>-0.10999999999999943</v>
      </c>
      <c r="D219" s="3">
        <f t="shared" si="28"/>
        <v>0</v>
      </c>
      <c r="E219" s="3">
        <f t="shared" si="29"/>
        <v>0.10999999999999943</v>
      </c>
      <c r="F219" s="3">
        <f t="shared" si="30"/>
        <v>5.0107506779569475E-2</v>
      </c>
      <c r="G219" s="3">
        <f t="shared" si="30"/>
        <v>5.3429872481529674E-2</v>
      </c>
      <c r="H219" s="3">
        <f t="shared" si="31"/>
        <v>0.93781819892778673</v>
      </c>
      <c r="I219" s="3">
        <f t="shared" si="32"/>
        <v>48.395571857395623</v>
      </c>
    </row>
    <row r="220" spans="1:9" ht="15.75" customHeight="1">
      <c r="A220" s="14" t="s">
        <v>226</v>
      </c>
      <c r="B220">
        <v>5.14</v>
      </c>
      <c r="C220" s="3">
        <f t="shared" si="33"/>
        <v>-0.10000000000000053</v>
      </c>
      <c r="D220" s="3">
        <f t="shared" si="28"/>
        <v>0</v>
      </c>
      <c r="E220" s="3">
        <f t="shared" si="29"/>
        <v>0.10000000000000053</v>
      </c>
      <c r="F220" s="3">
        <f t="shared" si="30"/>
        <v>4.6528399152457371E-2</v>
      </c>
      <c r="G220" s="3">
        <f t="shared" si="30"/>
        <v>5.6756310161420451E-2</v>
      </c>
      <c r="H220" s="3">
        <f t="shared" si="31"/>
        <v>0.81979253091200066</v>
      </c>
      <c r="I220" s="3">
        <f t="shared" si="32"/>
        <v>45.048680934037925</v>
      </c>
    </row>
    <row r="221" spans="1:9" ht="15.75" customHeight="1">
      <c r="A221" s="14" t="s">
        <v>227</v>
      </c>
      <c r="B221">
        <v>5.24</v>
      </c>
      <c r="C221" s="3">
        <f t="shared" si="33"/>
        <v>0.10000000000000053</v>
      </c>
      <c r="D221" s="3">
        <f t="shared" si="28"/>
        <v>0.10000000000000053</v>
      </c>
      <c r="E221" s="3">
        <f t="shared" si="29"/>
        <v>0</v>
      </c>
      <c r="F221" s="3">
        <f t="shared" si="30"/>
        <v>5.0347799212996168E-2</v>
      </c>
      <c r="G221" s="3">
        <f t="shared" si="30"/>
        <v>5.270228800703327E-2</v>
      </c>
      <c r="H221" s="3">
        <f t="shared" si="31"/>
        <v>0.95532473288972031</v>
      </c>
      <c r="I221" s="3">
        <f t="shared" si="32"/>
        <v>48.857599805320945</v>
      </c>
    </row>
    <row r="222" spans="1:9" ht="15.75" customHeight="1">
      <c r="A222" s="14" t="s">
        <v>228</v>
      </c>
      <c r="B222">
        <v>5.3</v>
      </c>
      <c r="C222" s="3">
        <f t="shared" si="33"/>
        <v>5.9999999999999609E-2</v>
      </c>
      <c r="D222" s="3">
        <f t="shared" si="28"/>
        <v>5.9999999999999609E-2</v>
      </c>
      <c r="E222" s="3">
        <f t="shared" si="29"/>
        <v>0</v>
      </c>
      <c r="F222" s="3">
        <f t="shared" si="30"/>
        <v>5.1037242126353556E-2</v>
      </c>
      <c r="G222" s="3">
        <f t="shared" si="30"/>
        <v>4.8937838863673748E-2</v>
      </c>
      <c r="H222" s="3">
        <f t="shared" si="31"/>
        <v>1.0428993864753227</v>
      </c>
      <c r="I222" s="3">
        <f t="shared" si="32"/>
        <v>51.049963271792308</v>
      </c>
    </row>
    <row r="223" spans="1:9" ht="15.75" customHeight="1">
      <c r="A223" s="14" t="s">
        <v>229</v>
      </c>
      <c r="B223">
        <v>5.19</v>
      </c>
      <c r="C223" s="3">
        <f t="shared" si="33"/>
        <v>-0.10999999999999943</v>
      </c>
      <c r="D223" s="3">
        <f t="shared" si="28"/>
        <v>0</v>
      </c>
      <c r="E223" s="3">
        <f t="shared" si="29"/>
        <v>0.10999999999999943</v>
      </c>
      <c r="F223" s="3">
        <f t="shared" si="30"/>
        <v>4.7391724831614017E-2</v>
      </c>
      <c r="G223" s="3">
        <f t="shared" si="30"/>
        <v>5.3299421801982723E-2</v>
      </c>
      <c r="H223" s="3">
        <f t="shared" si="31"/>
        <v>0.88916020529609308</v>
      </c>
      <c r="I223" s="3">
        <f t="shared" si="32"/>
        <v>47.066426807181905</v>
      </c>
    </row>
    <row r="224" spans="1:9" ht="15.75" customHeight="1">
      <c r="A224" s="14" t="s">
        <v>230</v>
      </c>
      <c r="B224">
        <v>5.18</v>
      </c>
      <c r="C224" s="3">
        <f t="shared" si="33"/>
        <v>-1.0000000000000675E-2</v>
      </c>
      <c r="D224" s="3">
        <f t="shared" si="28"/>
        <v>0</v>
      </c>
      <c r="E224" s="3">
        <f t="shared" si="29"/>
        <v>1.0000000000000675E-2</v>
      </c>
      <c r="F224" s="3">
        <f t="shared" si="30"/>
        <v>4.4006601629355872E-2</v>
      </c>
      <c r="G224" s="3">
        <f t="shared" si="30"/>
        <v>5.0206605958984005E-2</v>
      </c>
      <c r="H224" s="3">
        <f t="shared" si="31"/>
        <v>0.87651018802798197</v>
      </c>
      <c r="I224" s="3">
        <f t="shared" si="32"/>
        <v>46.709588555397268</v>
      </c>
    </row>
    <row r="225" spans="1:9" ht="15.75" customHeight="1">
      <c r="A225" s="14" t="s">
        <v>231</v>
      </c>
      <c r="B225">
        <v>5.32</v>
      </c>
      <c r="C225" s="3">
        <f t="shared" si="33"/>
        <v>0.14000000000000057</v>
      </c>
      <c r="D225" s="3">
        <f t="shared" si="28"/>
        <v>0.14000000000000057</v>
      </c>
      <c r="E225" s="3">
        <f t="shared" si="29"/>
        <v>0</v>
      </c>
      <c r="F225" s="3">
        <f t="shared" si="30"/>
        <v>5.0863272941544781E-2</v>
      </c>
      <c r="G225" s="3">
        <f t="shared" si="30"/>
        <v>4.6620419819056576E-2</v>
      </c>
      <c r="H225" s="3">
        <f t="shared" si="31"/>
        <v>1.0910084709437535</v>
      </c>
      <c r="I225" s="3">
        <f t="shared" si="32"/>
        <v>52.176186089353287</v>
      </c>
    </row>
    <row r="226" spans="1:9" ht="15.75" customHeight="1">
      <c r="A226" s="14" t="s">
        <v>232</v>
      </c>
      <c r="B226">
        <v>5.41</v>
      </c>
      <c r="C226" s="3">
        <f t="shared" si="33"/>
        <v>8.9999999999999858E-2</v>
      </c>
      <c r="D226" s="3">
        <f t="shared" si="28"/>
        <v>8.9999999999999858E-2</v>
      </c>
      <c r="E226" s="3">
        <f t="shared" si="29"/>
        <v>0</v>
      </c>
      <c r="F226" s="3">
        <f t="shared" si="30"/>
        <v>5.3658753445720145E-2</v>
      </c>
      <c r="G226" s="3">
        <f t="shared" si="30"/>
        <v>4.3290389831981101E-2</v>
      </c>
      <c r="H226" s="3">
        <f t="shared" si="31"/>
        <v>1.2395072821931332</v>
      </c>
      <c r="I226" s="3">
        <f t="shared" si="32"/>
        <v>55.347320906199194</v>
      </c>
    </row>
    <row r="227" spans="1:9" ht="15.75" customHeight="1">
      <c r="A227" s="14" t="s">
        <v>233</v>
      </c>
      <c r="B227">
        <v>5.3</v>
      </c>
      <c r="C227" s="3">
        <f t="shared" si="33"/>
        <v>-0.11000000000000032</v>
      </c>
      <c r="D227" s="3">
        <f t="shared" si="28"/>
        <v>0</v>
      </c>
      <c r="E227" s="3">
        <f t="shared" si="29"/>
        <v>0.11000000000000032</v>
      </c>
      <c r="F227" s="3">
        <f t="shared" si="30"/>
        <v>4.9825985342454422E-2</v>
      </c>
      <c r="G227" s="3">
        <f t="shared" si="30"/>
        <v>4.8055361986839615E-2</v>
      </c>
      <c r="H227" s="3">
        <f t="shared" si="31"/>
        <v>1.0368454899184758</v>
      </c>
      <c r="I227" s="3">
        <f t="shared" si="32"/>
        <v>50.904474347731473</v>
      </c>
    </row>
    <row r="228" spans="1:9" ht="15.75" customHeight="1">
      <c r="A228" s="14" t="s">
        <v>234</v>
      </c>
      <c r="B228">
        <v>5.37</v>
      </c>
      <c r="C228" s="3">
        <f t="shared" si="33"/>
        <v>7.0000000000000284E-2</v>
      </c>
      <c r="D228" s="3">
        <f t="shared" si="28"/>
        <v>7.0000000000000284E-2</v>
      </c>
      <c r="E228" s="3">
        <f t="shared" si="29"/>
        <v>0</v>
      </c>
      <c r="F228" s="3">
        <f t="shared" si="30"/>
        <v>5.1266986389421988E-2</v>
      </c>
      <c r="G228" s="3">
        <f t="shared" si="30"/>
        <v>4.4622836130636785E-2</v>
      </c>
      <c r="H228" s="3">
        <f t="shared" si="31"/>
        <v>1.1488957411701475</v>
      </c>
      <c r="I228" s="3">
        <f t="shared" si="32"/>
        <v>53.464471037786801</v>
      </c>
    </row>
    <row r="229" spans="1:9" ht="15.75" customHeight="1">
      <c r="A229" s="14" t="s">
        <v>235</v>
      </c>
      <c r="B229">
        <v>5.5</v>
      </c>
      <c r="C229" s="3">
        <f t="shared" si="33"/>
        <v>0.12999999999999989</v>
      </c>
      <c r="D229" s="3">
        <f t="shared" si="28"/>
        <v>0.12999999999999989</v>
      </c>
      <c r="E229" s="3">
        <f t="shared" si="29"/>
        <v>0</v>
      </c>
      <c r="F229" s="3">
        <f t="shared" si="30"/>
        <v>5.689077307589184E-2</v>
      </c>
      <c r="G229" s="3">
        <f t="shared" si="30"/>
        <v>4.143549069273416E-2</v>
      </c>
      <c r="H229" s="3">
        <f t="shared" si="31"/>
        <v>1.3729962436734895</v>
      </c>
      <c r="I229" s="3">
        <f t="shared" si="32"/>
        <v>57.859183188087918</v>
      </c>
    </row>
    <row r="230" spans="1:9" ht="15.75" customHeight="1">
      <c r="A230" s="14" t="s">
        <v>236</v>
      </c>
      <c r="B230">
        <v>5.4</v>
      </c>
      <c r="C230" s="3">
        <f t="shared" si="33"/>
        <v>-9.9999999999999645E-2</v>
      </c>
      <c r="D230" s="3">
        <f t="shared" ref="D230:D293" si="34">IF(C230&gt;0,C230,0)</f>
        <v>0</v>
      </c>
      <c r="E230" s="3">
        <f t="shared" ref="E230:E293" si="35">IF(C230&lt;0,-C230,0)</f>
        <v>9.9999999999999645E-2</v>
      </c>
      <c r="F230" s="3">
        <f t="shared" ref="F230:G293" si="36">((F229*13)+D230)/14</f>
        <v>5.2827146427613846E-2</v>
      </c>
      <c r="G230" s="3">
        <f t="shared" si="36"/>
        <v>4.5618669928967411E-2</v>
      </c>
      <c r="H230" s="3">
        <f t="shared" ref="H230:H293" si="37">F230/G230</f>
        <v>1.1580159287824638</v>
      </c>
      <c r="I230" s="3">
        <f t="shared" ref="I230:I293" si="38">IF(G230=0,100,100-(100/(1+H230)))</f>
        <v>53.661139073973736</v>
      </c>
    </row>
    <row r="231" spans="1:9" ht="15.75" customHeight="1">
      <c r="A231" s="14" t="s">
        <v>237</v>
      </c>
      <c r="B231">
        <v>5.35</v>
      </c>
      <c r="C231" s="3">
        <f t="shared" si="33"/>
        <v>-5.0000000000000711E-2</v>
      </c>
      <c r="D231" s="3">
        <f t="shared" si="34"/>
        <v>0</v>
      </c>
      <c r="E231" s="3">
        <f t="shared" si="35"/>
        <v>5.0000000000000711E-2</v>
      </c>
      <c r="F231" s="3">
        <f t="shared" si="36"/>
        <v>4.9053778825641429E-2</v>
      </c>
      <c r="G231" s="3">
        <f t="shared" si="36"/>
        <v>4.5931622076898361E-2</v>
      </c>
      <c r="H231" s="3">
        <f t="shared" si="37"/>
        <v>1.0679740145801073</v>
      </c>
      <c r="I231" s="3">
        <f t="shared" si="38"/>
        <v>51.643492957379088</v>
      </c>
    </row>
    <row r="232" spans="1:9" ht="15.75" customHeight="1">
      <c r="A232" s="14" t="s">
        <v>238</v>
      </c>
      <c r="B232">
        <v>5.32</v>
      </c>
      <c r="C232" s="3">
        <f t="shared" si="33"/>
        <v>-2.9999999999999361E-2</v>
      </c>
      <c r="D232" s="3">
        <f t="shared" si="34"/>
        <v>0</v>
      </c>
      <c r="E232" s="3">
        <f t="shared" si="35"/>
        <v>2.9999999999999361E-2</v>
      </c>
      <c r="F232" s="3">
        <f t="shared" si="36"/>
        <v>4.5549937480952755E-2</v>
      </c>
      <c r="G232" s="3">
        <f t="shared" si="36"/>
        <v>4.4793649071405581E-2</v>
      </c>
      <c r="H232" s="3">
        <f t="shared" si="37"/>
        <v>1.0168838311953905</v>
      </c>
      <c r="I232" s="3">
        <f t="shared" si="38"/>
        <v>50.41856231217303</v>
      </c>
    </row>
    <row r="233" spans="1:9" ht="15.75" customHeight="1">
      <c r="A233" s="14" t="s">
        <v>239</v>
      </c>
      <c r="B233">
        <v>5.38</v>
      </c>
      <c r="C233" s="3">
        <f t="shared" si="33"/>
        <v>5.9999999999999609E-2</v>
      </c>
      <c r="D233" s="3">
        <f t="shared" si="34"/>
        <v>5.9999999999999609E-2</v>
      </c>
      <c r="E233" s="3">
        <f t="shared" si="35"/>
        <v>0</v>
      </c>
      <c r="F233" s="3">
        <f t="shared" si="36"/>
        <v>4.6582084803741819E-2</v>
      </c>
      <c r="G233" s="3">
        <f t="shared" si="36"/>
        <v>4.159410270916232E-2</v>
      </c>
      <c r="H233" s="3">
        <f t="shared" si="37"/>
        <v>1.1199204158689724</v>
      </c>
      <c r="I233" s="3">
        <f t="shared" si="38"/>
        <v>52.828417872937372</v>
      </c>
    </row>
    <row r="234" spans="1:9" ht="15.75" customHeight="1">
      <c r="A234" s="14" t="s">
        <v>240</v>
      </c>
      <c r="B234">
        <v>5.32</v>
      </c>
      <c r="C234" s="3">
        <f t="shared" si="33"/>
        <v>-5.9999999999999609E-2</v>
      </c>
      <c r="D234" s="3">
        <f t="shared" si="34"/>
        <v>0</v>
      </c>
      <c r="E234" s="3">
        <f t="shared" si="35"/>
        <v>5.9999999999999609E-2</v>
      </c>
      <c r="F234" s="3">
        <f t="shared" si="36"/>
        <v>4.3254793032045977E-2</v>
      </c>
      <c r="G234" s="3">
        <f t="shared" si="36"/>
        <v>4.2908809658507845E-2</v>
      </c>
      <c r="H234" s="3">
        <f t="shared" si="37"/>
        <v>1.008063224691891</v>
      </c>
      <c r="I234" s="3">
        <f t="shared" si="38"/>
        <v>50.200771185706266</v>
      </c>
    </row>
    <row r="235" spans="1:9" ht="15.75" customHeight="1">
      <c r="A235" s="14" t="s">
        <v>241</v>
      </c>
      <c r="B235">
        <v>5.28</v>
      </c>
      <c r="C235" s="3">
        <f t="shared" ref="C235:C298" si="39">B235-B234</f>
        <v>-4.0000000000000036E-2</v>
      </c>
      <c r="D235" s="3">
        <f t="shared" si="34"/>
        <v>0</v>
      </c>
      <c r="E235" s="3">
        <f t="shared" si="35"/>
        <v>4.0000000000000036E-2</v>
      </c>
      <c r="F235" s="3">
        <f t="shared" si="36"/>
        <v>4.0165164958328406E-2</v>
      </c>
      <c r="G235" s="3">
        <f t="shared" si="36"/>
        <v>4.2701037540043001E-2</v>
      </c>
      <c r="H235" s="3">
        <f t="shared" si="37"/>
        <v>0.94061332633108563</v>
      </c>
      <c r="I235" s="3">
        <f t="shared" si="38"/>
        <v>48.469899364723254</v>
      </c>
    </row>
    <row r="236" spans="1:9" ht="15.75" customHeight="1">
      <c r="A236" s="14" t="s">
        <v>242</v>
      </c>
      <c r="B236">
        <v>5.39</v>
      </c>
      <c r="C236" s="3">
        <f t="shared" si="39"/>
        <v>0.10999999999999943</v>
      </c>
      <c r="D236" s="3">
        <f t="shared" si="34"/>
        <v>0.10999999999999943</v>
      </c>
      <c r="E236" s="3">
        <f t="shared" si="35"/>
        <v>0</v>
      </c>
      <c r="F236" s="3">
        <f t="shared" si="36"/>
        <v>4.5153367461304904E-2</v>
      </c>
      <c r="G236" s="3">
        <f t="shared" si="36"/>
        <v>3.9650963430039932E-2</v>
      </c>
      <c r="H236" s="3">
        <f t="shared" si="37"/>
        <v>1.1387710046686104</v>
      </c>
      <c r="I236" s="3">
        <f t="shared" si="38"/>
        <v>53.244176313539285</v>
      </c>
    </row>
    <row r="237" spans="1:9" ht="15.75" customHeight="1">
      <c r="A237" s="14" t="s">
        <v>243</v>
      </c>
      <c r="B237">
        <v>5.62</v>
      </c>
      <c r="C237" s="3">
        <f t="shared" si="39"/>
        <v>0.23000000000000043</v>
      </c>
      <c r="D237" s="3">
        <f t="shared" si="34"/>
        <v>0.23000000000000043</v>
      </c>
      <c r="E237" s="3">
        <f t="shared" si="35"/>
        <v>0</v>
      </c>
      <c r="F237" s="3">
        <f t="shared" si="36"/>
        <v>5.8356698356926015E-2</v>
      </c>
      <c r="G237" s="3">
        <f t="shared" si="36"/>
        <v>3.6818751756465651E-2</v>
      </c>
      <c r="H237" s="3">
        <f t="shared" si="37"/>
        <v>1.5849722104356279</v>
      </c>
      <c r="I237" s="3">
        <f t="shared" si="38"/>
        <v>61.314864586823667</v>
      </c>
    </row>
    <row r="238" spans="1:9" ht="15.75" customHeight="1">
      <c r="A238" s="14" t="s">
        <v>244</v>
      </c>
      <c r="B238">
        <v>5.58</v>
      </c>
      <c r="C238" s="3">
        <f t="shared" si="39"/>
        <v>-4.0000000000000036E-2</v>
      </c>
      <c r="D238" s="3">
        <f t="shared" si="34"/>
        <v>0</v>
      </c>
      <c r="E238" s="3">
        <f t="shared" si="35"/>
        <v>4.0000000000000036E-2</v>
      </c>
      <c r="F238" s="3">
        <f t="shared" si="36"/>
        <v>5.4188362760002724E-2</v>
      </c>
      <c r="G238" s="3">
        <f t="shared" si="36"/>
        <v>3.7045983773860966E-2</v>
      </c>
      <c r="H238" s="3">
        <f t="shared" si="37"/>
        <v>1.4627324540976865</v>
      </c>
      <c r="I238" s="3">
        <f t="shared" si="38"/>
        <v>59.394695987535229</v>
      </c>
    </row>
    <row r="239" spans="1:9" ht="15.75" customHeight="1">
      <c r="A239" s="14" t="s">
        <v>245</v>
      </c>
      <c r="B239">
        <v>5.54</v>
      </c>
      <c r="C239" s="3">
        <f t="shared" si="39"/>
        <v>-4.0000000000000036E-2</v>
      </c>
      <c r="D239" s="3">
        <f t="shared" si="34"/>
        <v>0</v>
      </c>
      <c r="E239" s="3">
        <f t="shared" si="35"/>
        <v>4.0000000000000036E-2</v>
      </c>
      <c r="F239" s="3">
        <f t="shared" si="36"/>
        <v>5.0317765420002533E-2</v>
      </c>
      <c r="G239" s="3">
        <f t="shared" si="36"/>
        <v>3.7256984932870899E-2</v>
      </c>
      <c r="H239" s="3">
        <f t="shared" si="37"/>
        <v>1.3505592444118697</v>
      </c>
      <c r="I239" s="3">
        <f t="shared" si="38"/>
        <v>57.456932754306791</v>
      </c>
    </row>
    <row r="240" spans="1:9" ht="15.75" customHeight="1">
      <c r="A240" s="14" t="s">
        <v>246</v>
      </c>
      <c r="B240">
        <v>5.41</v>
      </c>
      <c r="C240" s="3">
        <f t="shared" si="39"/>
        <v>-0.12999999999999989</v>
      </c>
      <c r="D240" s="3">
        <f t="shared" si="34"/>
        <v>0</v>
      </c>
      <c r="E240" s="3">
        <f t="shared" si="35"/>
        <v>0.12999999999999989</v>
      </c>
      <c r="F240" s="3">
        <f t="shared" si="36"/>
        <v>4.6723639318573776E-2</v>
      </c>
      <c r="G240" s="3">
        <f t="shared" si="36"/>
        <v>4.3881486009094396E-2</v>
      </c>
      <c r="H240" s="3">
        <f t="shared" si="37"/>
        <v>1.0647688482767048</v>
      </c>
      <c r="I240" s="3">
        <f t="shared" si="38"/>
        <v>51.568428551475925</v>
      </c>
    </row>
    <row r="241" spans="1:9" ht="15.75" customHeight="1">
      <c r="A241" s="14" t="s">
        <v>247</v>
      </c>
      <c r="B241">
        <v>5.32</v>
      </c>
      <c r="C241" s="3">
        <f t="shared" si="39"/>
        <v>-8.9999999999999858E-2</v>
      </c>
      <c r="D241" s="3">
        <f t="shared" si="34"/>
        <v>0</v>
      </c>
      <c r="E241" s="3">
        <f t="shared" si="35"/>
        <v>8.9999999999999858E-2</v>
      </c>
      <c r="F241" s="3">
        <f t="shared" si="36"/>
        <v>4.3386236510104217E-2</v>
      </c>
      <c r="G241" s="3">
        <f t="shared" si="36"/>
        <v>4.7175665579873356E-2</v>
      </c>
      <c r="H241" s="3">
        <f t="shared" si="37"/>
        <v>0.91967407299525561</v>
      </c>
      <c r="I241" s="3">
        <f t="shared" si="38"/>
        <v>47.907823829713649</v>
      </c>
    </row>
    <row r="242" spans="1:9" ht="15.75" customHeight="1">
      <c r="A242" s="14" t="s">
        <v>248</v>
      </c>
      <c r="B242">
        <v>5.08</v>
      </c>
      <c r="C242" s="3">
        <f t="shared" si="39"/>
        <v>-0.24000000000000021</v>
      </c>
      <c r="D242" s="3">
        <f t="shared" si="34"/>
        <v>0</v>
      </c>
      <c r="E242" s="3">
        <f t="shared" si="35"/>
        <v>0.24000000000000021</v>
      </c>
      <c r="F242" s="3">
        <f t="shared" si="36"/>
        <v>4.0287219616525351E-2</v>
      </c>
      <c r="G242" s="3">
        <f t="shared" si="36"/>
        <v>6.0948832324168131E-2</v>
      </c>
      <c r="H242" s="3">
        <f t="shared" si="37"/>
        <v>0.6610006800827618</v>
      </c>
      <c r="I242" s="3">
        <f t="shared" si="38"/>
        <v>39.79532868402115</v>
      </c>
    </row>
    <row r="243" spans="1:9" ht="15.75" customHeight="1">
      <c r="A243" s="14" t="s">
        <v>249</v>
      </c>
      <c r="B243">
        <v>4.71</v>
      </c>
      <c r="C243" s="3">
        <f t="shared" si="39"/>
        <v>-0.37000000000000011</v>
      </c>
      <c r="D243" s="3">
        <f t="shared" si="34"/>
        <v>0</v>
      </c>
      <c r="E243" s="3">
        <f t="shared" si="35"/>
        <v>0.37000000000000011</v>
      </c>
      <c r="F243" s="3">
        <f t="shared" si="36"/>
        <v>3.7409561072487829E-2</v>
      </c>
      <c r="G243" s="3">
        <f t="shared" si="36"/>
        <v>8.3023915729584702E-2</v>
      </c>
      <c r="H243" s="3">
        <f t="shared" si="37"/>
        <v>0.45058777032793362</v>
      </c>
      <c r="I243" s="3">
        <f t="shared" si="38"/>
        <v>31.062427213630059</v>
      </c>
    </row>
    <row r="244" spans="1:9" ht="15.75" customHeight="1">
      <c r="A244" s="14" t="s">
        <v>250</v>
      </c>
      <c r="B244">
        <v>4.5999999999999996</v>
      </c>
      <c r="C244" s="3">
        <f t="shared" si="39"/>
        <v>-0.11000000000000032</v>
      </c>
      <c r="D244" s="3">
        <f t="shared" si="34"/>
        <v>0</v>
      </c>
      <c r="E244" s="3">
        <f t="shared" si="35"/>
        <v>0.11000000000000032</v>
      </c>
      <c r="F244" s="3">
        <f t="shared" si="36"/>
        <v>3.4737449567310126E-2</v>
      </c>
      <c r="G244" s="3">
        <f t="shared" si="36"/>
        <v>8.4950778891757256E-2</v>
      </c>
      <c r="H244" s="3">
        <f t="shared" si="37"/>
        <v>0.40891266708186341</v>
      </c>
      <c r="I244" s="3">
        <f t="shared" si="38"/>
        <v>29.023279911933955</v>
      </c>
    </row>
    <row r="245" spans="1:9" ht="15.75" customHeight="1">
      <c r="A245" s="14" t="s">
        <v>251</v>
      </c>
      <c r="B245">
        <v>4.84</v>
      </c>
      <c r="C245" s="3">
        <f t="shared" si="39"/>
        <v>0.24000000000000021</v>
      </c>
      <c r="D245" s="3">
        <f t="shared" si="34"/>
        <v>0.24000000000000021</v>
      </c>
      <c r="E245" s="3">
        <f t="shared" si="35"/>
        <v>0</v>
      </c>
      <c r="F245" s="3">
        <f t="shared" si="36"/>
        <v>4.9399060312502283E-2</v>
      </c>
      <c r="G245" s="3">
        <f t="shared" si="36"/>
        <v>7.8882866113774597E-2</v>
      </c>
      <c r="H245" s="3">
        <f t="shared" si="37"/>
        <v>0.62623308135448408</v>
      </c>
      <c r="I245" s="3">
        <f t="shared" si="38"/>
        <v>38.508199626150557</v>
      </c>
    </row>
    <row r="246" spans="1:9" ht="15.75" customHeight="1">
      <c r="A246" s="14" t="s">
        <v>252</v>
      </c>
      <c r="B246">
        <v>4.9000000000000004</v>
      </c>
      <c r="C246" s="3">
        <f t="shared" si="39"/>
        <v>6.0000000000000497E-2</v>
      </c>
      <c r="D246" s="3">
        <f t="shared" si="34"/>
        <v>6.0000000000000497E-2</v>
      </c>
      <c r="E246" s="3">
        <f t="shared" si="35"/>
        <v>0</v>
      </c>
      <c r="F246" s="3">
        <f t="shared" si="36"/>
        <v>5.0156270290180723E-2</v>
      </c>
      <c r="G246" s="3">
        <f t="shared" si="36"/>
        <v>7.3248375677076413E-2</v>
      </c>
      <c r="H246" s="3">
        <f t="shared" si="37"/>
        <v>0.68474242365865157</v>
      </c>
      <c r="I246" s="3">
        <f t="shared" si="38"/>
        <v>40.643745538955365</v>
      </c>
    </row>
    <row r="247" spans="1:9" ht="15.75" customHeight="1">
      <c r="A247" s="14" t="s">
        <v>253</v>
      </c>
      <c r="B247">
        <v>4.8099999999999996</v>
      </c>
      <c r="C247" s="3">
        <f t="shared" si="39"/>
        <v>-9.0000000000000746E-2</v>
      </c>
      <c r="D247" s="3">
        <f t="shared" si="34"/>
        <v>0</v>
      </c>
      <c r="E247" s="3">
        <f t="shared" si="35"/>
        <v>9.0000000000000746E-2</v>
      </c>
      <c r="F247" s="3">
        <f t="shared" si="36"/>
        <v>4.6573679555167814E-2</v>
      </c>
      <c r="G247" s="3">
        <f t="shared" si="36"/>
        <v>7.4444920271571E-2</v>
      </c>
      <c r="H247" s="3">
        <f t="shared" si="37"/>
        <v>0.62561259230676292</v>
      </c>
      <c r="I247" s="3">
        <f t="shared" si="38"/>
        <v>38.484728481280499</v>
      </c>
    </row>
    <row r="248" spans="1:9" ht="15.75" customHeight="1">
      <c r="A248" s="14" t="s">
        <v>254</v>
      </c>
      <c r="B248">
        <v>4.97</v>
      </c>
      <c r="C248" s="3">
        <f t="shared" si="39"/>
        <v>0.16000000000000014</v>
      </c>
      <c r="D248" s="3">
        <f t="shared" si="34"/>
        <v>0.16000000000000014</v>
      </c>
      <c r="E248" s="3">
        <f t="shared" si="35"/>
        <v>0</v>
      </c>
      <c r="F248" s="3">
        <f t="shared" si="36"/>
        <v>5.4675559586941549E-2</v>
      </c>
      <c r="G248" s="3">
        <f t="shared" si="36"/>
        <v>6.912742596645878E-2</v>
      </c>
      <c r="H248" s="3">
        <f t="shared" si="37"/>
        <v>0.79093874569364986</v>
      </c>
      <c r="I248" s="3">
        <f t="shared" si="38"/>
        <v>44.16336111971885</v>
      </c>
    </row>
    <row r="249" spans="1:9" ht="15.75" customHeight="1">
      <c r="A249" s="14" t="s">
        <v>255</v>
      </c>
      <c r="B249">
        <v>4.95</v>
      </c>
      <c r="C249" s="3">
        <f t="shared" si="39"/>
        <v>-1.9999999999999574E-2</v>
      </c>
      <c r="D249" s="3">
        <f t="shared" si="34"/>
        <v>0</v>
      </c>
      <c r="E249" s="3">
        <f t="shared" si="35"/>
        <v>1.9999999999999574E-2</v>
      </c>
      <c r="F249" s="3">
        <f t="shared" si="36"/>
        <v>5.0770162473588579E-2</v>
      </c>
      <c r="G249" s="3">
        <f t="shared" si="36"/>
        <v>6.5618324111711687E-2</v>
      </c>
      <c r="H249" s="3">
        <f t="shared" si="37"/>
        <v>0.77371927980292654</v>
      </c>
      <c r="I249" s="3">
        <f t="shared" si="38"/>
        <v>43.621292761100982</v>
      </c>
    </row>
    <row r="250" spans="1:9" ht="15.75" customHeight="1">
      <c r="A250" s="14" t="s">
        <v>256</v>
      </c>
      <c r="B250">
        <v>4.8499999999999996</v>
      </c>
      <c r="C250" s="3">
        <f t="shared" si="39"/>
        <v>-0.10000000000000053</v>
      </c>
      <c r="D250" s="3">
        <f t="shared" si="34"/>
        <v>0</v>
      </c>
      <c r="E250" s="3">
        <f t="shared" si="35"/>
        <v>0.10000000000000053</v>
      </c>
      <c r="F250" s="3">
        <f t="shared" si="36"/>
        <v>4.7143722296903681E-2</v>
      </c>
      <c r="G250" s="3">
        <f t="shared" si="36"/>
        <v>6.8074158103732324E-2</v>
      </c>
      <c r="H250" s="3">
        <f t="shared" si="37"/>
        <v>0.69253478280356306</v>
      </c>
      <c r="I250" s="3">
        <f t="shared" si="38"/>
        <v>40.917019244734732</v>
      </c>
    </row>
    <row r="251" spans="1:9" ht="15.75" customHeight="1">
      <c r="A251" s="14" t="s">
        <v>257</v>
      </c>
      <c r="B251">
        <v>4.7699999999999996</v>
      </c>
      <c r="C251" s="3">
        <f t="shared" si="39"/>
        <v>-8.0000000000000071E-2</v>
      </c>
      <c r="D251" s="3">
        <f t="shared" si="34"/>
        <v>0</v>
      </c>
      <c r="E251" s="3">
        <f t="shared" si="35"/>
        <v>8.0000000000000071E-2</v>
      </c>
      <c r="F251" s="3">
        <f t="shared" si="36"/>
        <v>4.3776313561410561E-2</v>
      </c>
      <c r="G251" s="3">
        <f t="shared" si="36"/>
        <v>6.8926003953465736E-2</v>
      </c>
      <c r="H251" s="3">
        <f t="shared" si="37"/>
        <v>0.63512043424083342</v>
      </c>
      <c r="I251" s="3">
        <f t="shared" si="38"/>
        <v>38.842425361512419</v>
      </c>
    </row>
    <row r="252" spans="1:9" ht="15.75" customHeight="1">
      <c r="A252" s="14" t="s">
        <v>258</v>
      </c>
      <c r="B252">
        <v>4.93</v>
      </c>
      <c r="C252" s="3">
        <f t="shared" si="39"/>
        <v>0.16000000000000014</v>
      </c>
      <c r="D252" s="3">
        <f t="shared" si="34"/>
        <v>0.16000000000000014</v>
      </c>
      <c r="E252" s="3">
        <f t="shared" si="35"/>
        <v>0</v>
      </c>
      <c r="F252" s="3">
        <f t="shared" si="36"/>
        <v>5.207800544988124E-2</v>
      </c>
      <c r="G252" s="3">
        <f t="shared" si="36"/>
        <v>6.4002717956789607E-2</v>
      </c>
      <c r="H252" s="3">
        <f t="shared" si="37"/>
        <v>0.81368427954951628</v>
      </c>
      <c r="I252" s="3">
        <f t="shared" si="38"/>
        <v>44.863612080908567</v>
      </c>
    </row>
    <row r="253" spans="1:9" ht="15.75" customHeight="1">
      <c r="A253" s="14" t="s">
        <v>259</v>
      </c>
      <c r="B253">
        <v>5.33</v>
      </c>
      <c r="C253" s="3">
        <f t="shared" si="39"/>
        <v>0.40000000000000036</v>
      </c>
      <c r="D253" s="3">
        <f t="shared" si="34"/>
        <v>0.40000000000000036</v>
      </c>
      <c r="E253" s="3">
        <f t="shared" si="35"/>
        <v>0</v>
      </c>
      <c r="F253" s="3">
        <f t="shared" si="36"/>
        <v>7.6929576489175464E-2</v>
      </c>
      <c r="G253" s="3">
        <f t="shared" si="36"/>
        <v>5.943109524559035E-2</v>
      </c>
      <c r="H253" s="3">
        <f t="shared" si="37"/>
        <v>1.294433093842124</v>
      </c>
      <c r="I253" s="3">
        <f t="shared" si="38"/>
        <v>56.416249282498875</v>
      </c>
    </row>
    <row r="254" spans="1:9" ht="15.75" customHeight="1">
      <c r="A254" s="14" t="s">
        <v>260</v>
      </c>
      <c r="B254">
        <v>5.33</v>
      </c>
      <c r="C254" s="3">
        <f t="shared" si="39"/>
        <v>0</v>
      </c>
      <c r="D254" s="3">
        <f t="shared" si="34"/>
        <v>0</v>
      </c>
      <c r="E254" s="3">
        <f t="shared" si="35"/>
        <v>0</v>
      </c>
      <c r="F254" s="3">
        <f t="shared" si="36"/>
        <v>7.1434606739948642E-2</v>
      </c>
      <c r="G254" s="3">
        <f t="shared" si="36"/>
        <v>5.5186017013762467E-2</v>
      </c>
      <c r="H254" s="3">
        <f t="shared" si="37"/>
        <v>1.294433093842124</v>
      </c>
      <c r="I254" s="3">
        <f t="shared" si="38"/>
        <v>56.416249282498875</v>
      </c>
    </row>
    <row r="255" spans="1:9" ht="15.75" customHeight="1">
      <c r="A255" s="14" t="s">
        <v>261</v>
      </c>
      <c r="B255">
        <v>5.25</v>
      </c>
      <c r="C255" s="3">
        <f t="shared" si="39"/>
        <v>-8.0000000000000071E-2</v>
      </c>
      <c r="D255" s="3">
        <f t="shared" si="34"/>
        <v>0</v>
      </c>
      <c r="E255" s="3">
        <f t="shared" si="35"/>
        <v>8.0000000000000071E-2</v>
      </c>
      <c r="F255" s="3">
        <f t="shared" si="36"/>
        <v>6.6332134829952302E-2</v>
      </c>
      <c r="G255" s="3">
        <f t="shared" si="36"/>
        <v>5.6958444369922298E-2</v>
      </c>
      <c r="H255" s="3">
        <f t="shared" si="37"/>
        <v>1.1645706894512715</v>
      </c>
      <c r="I255" s="3">
        <f t="shared" si="38"/>
        <v>53.801462577620669</v>
      </c>
    </row>
    <row r="256" spans="1:9" ht="15.75" customHeight="1">
      <c r="A256" s="14" t="s">
        <v>262</v>
      </c>
      <c r="B256">
        <v>5.41</v>
      </c>
      <c r="C256" s="3">
        <f t="shared" si="39"/>
        <v>0.16000000000000014</v>
      </c>
      <c r="D256" s="3">
        <f t="shared" si="34"/>
        <v>0.16000000000000014</v>
      </c>
      <c r="E256" s="3">
        <f t="shared" si="35"/>
        <v>0</v>
      </c>
      <c r="F256" s="3">
        <f t="shared" si="36"/>
        <v>7.3022696627812869E-2</v>
      </c>
      <c r="G256" s="3">
        <f t="shared" si="36"/>
        <v>5.2889984057784993E-2</v>
      </c>
      <c r="H256" s="3">
        <f t="shared" si="37"/>
        <v>1.38065264962137</v>
      </c>
      <c r="I256" s="3">
        <f t="shared" si="38"/>
        <v>57.994712073638944</v>
      </c>
    </row>
    <row r="257" spans="1:9" ht="15.75" customHeight="1">
      <c r="A257" s="14" t="s">
        <v>263</v>
      </c>
      <c r="B257">
        <v>5.51</v>
      </c>
      <c r="C257" s="3">
        <f t="shared" si="39"/>
        <v>9.9999999999999645E-2</v>
      </c>
      <c r="D257" s="3">
        <f t="shared" si="34"/>
        <v>9.9999999999999645E-2</v>
      </c>
      <c r="E257" s="3">
        <f t="shared" si="35"/>
        <v>0</v>
      </c>
      <c r="F257" s="3">
        <f t="shared" si="36"/>
        <v>7.4949646868683342E-2</v>
      </c>
      <c r="G257" s="3">
        <f t="shared" si="36"/>
        <v>4.9112128053657493E-2</v>
      </c>
      <c r="H257" s="3">
        <f t="shared" si="37"/>
        <v>1.5260924305050894</v>
      </c>
      <c r="I257" s="3">
        <f t="shared" si="38"/>
        <v>60.413166678938545</v>
      </c>
    </row>
    <row r="258" spans="1:9" ht="15.75" customHeight="1">
      <c r="A258" s="14" t="s">
        <v>264</v>
      </c>
      <c r="B258">
        <v>5.52</v>
      </c>
      <c r="C258" s="3">
        <f t="shared" si="39"/>
        <v>9.9999999999997868E-3</v>
      </c>
      <c r="D258" s="3">
        <f t="shared" si="34"/>
        <v>9.9999999999997868E-3</v>
      </c>
      <c r="E258" s="3">
        <f t="shared" si="35"/>
        <v>0</v>
      </c>
      <c r="F258" s="3">
        <f t="shared" si="36"/>
        <v>7.0310386378063097E-2</v>
      </c>
      <c r="G258" s="3">
        <f t="shared" si="36"/>
        <v>4.5604118906967674E-2</v>
      </c>
      <c r="H258" s="3">
        <f t="shared" si="37"/>
        <v>1.5417551761387205</v>
      </c>
      <c r="I258" s="3">
        <f t="shared" si="38"/>
        <v>60.657107758146125</v>
      </c>
    </row>
    <row r="259" spans="1:9" ht="15.75" customHeight="1">
      <c r="A259" s="14" t="s">
        <v>265</v>
      </c>
      <c r="B259">
        <v>5.58</v>
      </c>
      <c r="C259" s="3">
        <f t="shared" si="39"/>
        <v>6.0000000000000497E-2</v>
      </c>
      <c r="D259" s="3">
        <f t="shared" si="34"/>
        <v>6.0000000000000497E-2</v>
      </c>
      <c r="E259" s="3">
        <f t="shared" si="35"/>
        <v>0</v>
      </c>
      <c r="F259" s="3">
        <f t="shared" si="36"/>
        <v>6.957393020820149E-2</v>
      </c>
      <c r="G259" s="3">
        <f t="shared" si="36"/>
        <v>4.2346681842184271E-2</v>
      </c>
      <c r="H259" s="3">
        <f t="shared" si="37"/>
        <v>1.6429606094637241</v>
      </c>
      <c r="I259" s="3">
        <f t="shared" si="38"/>
        <v>62.163643437617971</v>
      </c>
    </row>
    <row r="260" spans="1:9" ht="15.75" customHeight="1">
      <c r="A260" s="14" t="s">
        <v>266</v>
      </c>
      <c r="B260">
        <v>5.57</v>
      </c>
      <c r="C260" s="3">
        <f t="shared" si="39"/>
        <v>-9.9999999999997868E-3</v>
      </c>
      <c r="D260" s="3">
        <f t="shared" si="34"/>
        <v>0</v>
      </c>
      <c r="E260" s="3">
        <f t="shared" si="35"/>
        <v>9.9999999999997868E-3</v>
      </c>
      <c r="F260" s="3">
        <f t="shared" si="36"/>
        <v>6.4604363764758518E-2</v>
      </c>
      <c r="G260" s="3">
        <f t="shared" si="36"/>
        <v>4.0036204567742525E-2</v>
      </c>
      <c r="H260" s="3">
        <f t="shared" si="37"/>
        <v>1.6136485579057798</v>
      </c>
      <c r="I260" s="3">
        <f t="shared" si="38"/>
        <v>61.739308945145126</v>
      </c>
    </row>
    <row r="261" spans="1:9" ht="15.75" customHeight="1">
      <c r="A261" s="14" t="s">
        <v>267</v>
      </c>
      <c r="B261">
        <v>5.57</v>
      </c>
      <c r="C261" s="3">
        <f t="shared" si="39"/>
        <v>0</v>
      </c>
      <c r="D261" s="3">
        <f t="shared" si="34"/>
        <v>0</v>
      </c>
      <c r="E261" s="3">
        <f t="shared" si="35"/>
        <v>0</v>
      </c>
      <c r="F261" s="3">
        <f t="shared" si="36"/>
        <v>5.9989766352990047E-2</v>
      </c>
      <c r="G261" s="3">
        <f t="shared" si="36"/>
        <v>3.717647567004663E-2</v>
      </c>
      <c r="H261" s="3">
        <f t="shared" si="37"/>
        <v>1.6136485579057795</v>
      </c>
      <c r="I261" s="3">
        <f t="shared" si="38"/>
        <v>61.739308945145126</v>
      </c>
    </row>
    <row r="262" spans="1:9" ht="15.75" customHeight="1">
      <c r="A262" s="14" t="s">
        <v>268</v>
      </c>
      <c r="B262">
        <v>5.54</v>
      </c>
      <c r="C262" s="3">
        <f t="shared" si="39"/>
        <v>-3.0000000000000249E-2</v>
      </c>
      <c r="D262" s="3">
        <f t="shared" si="34"/>
        <v>0</v>
      </c>
      <c r="E262" s="3">
        <f t="shared" si="35"/>
        <v>3.0000000000000249E-2</v>
      </c>
      <c r="F262" s="3">
        <f t="shared" si="36"/>
        <v>5.5704783042062181E-2</v>
      </c>
      <c r="G262" s="3">
        <f t="shared" si="36"/>
        <v>3.6663870265043315E-2</v>
      </c>
      <c r="H262" s="3">
        <f t="shared" si="37"/>
        <v>1.5193372287042259</v>
      </c>
      <c r="I262" s="3">
        <f t="shared" si="38"/>
        <v>60.307020886031552</v>
      </c>
    </row>
    <row r="263" spans="1:9" ht="15.75" customHeight="1">
      <c r="A263" s="14" t="s">
        <v>269</v>
      </c>
      <c r="B263">
        <v>5.54</v>
      </c>
      <c r="C263" s="3">
        <f t="shared" si="39"/>
        <v>0</v>
      </c>
      <c r="D263" s="3">
        <f t="shared" si="34"/>
        <v>0</v>
      </c>
      <c r="E263" s="3">
        <f t="shared" si="35"/>
        <v>0</v>
      </c>
      <c r="F263" s="3">
        <f t="shared" si="36"/>
        <v>5.1725869967629172E-2</v>
      </c>
      <c r="G263" s="3">
        <f t="shared" si="36"/>
        <v>3.4045022388968796E-2</v>
      </c>
      <c r="H263" s="3">
        <f t="shared" si="37"/>
        <v>1.5193372287042257</v>
      </c>
      <c r="I263" s="3">
        <f t="shared" si="38"/>
        <v>60.307020886031545</v>
      </c>
    </row>
    <row r="264" spans="1:9" ht="15.75" customHeight="1">
      <c r="A264" s="14" t="s">
        <v>270</v>
      </c>
      <c r="B264">
        <v>5.62</v>
      </c>
      <c r="C264" s="3">
        <f t="shared" si="39"/>
        <v>8.0000000000000071E-2</v>
      </c>
      <c r="D264" s="3">
        <f t="shared" si="34"/>
        <v>8.0000000000000071E-2</v>
      </c>
      <c r="E264" s="3">
        <f t="shared" si="35"/>
        <v>0</v>
      </c>
      <c r="F264" s="3">
        <f t="shared" si="36"/>
        <v>5.3745450684227092E-2</v>
      </c>
      <c r="G264" s="3">
        <f t="shared" si="36"/>
        <v>3.1613235075471022E-2</v>
      </c>
      <c r="H264" s="3">
        <f t="shared" si="37"/>
        <v>1.7000933487483743</v>
      </c>
      <c r="I264" s="3">
        <f t="shared" si="38"/>
        <v>62.964243422785763</v>
      </c>
    </row>
    <row r="265" spans="1:9" ht="15.75" customHeight="1">
      <c r="A265" s="14" t="s">
        <v>271</v>
      </c>
      <c r="B265">
        <v>5.48</v>
      </c>
      <c r="C265" s="3">
        <f t="shared" si="39"/>
        <v>-0.13999999999999968</v>
      </c>
      <c r="D265" s="3">
        <f t="shared" si="34"/>
        <v>0</v>
      </c>
      <c r="E265" s="3">
        <f t="shared" si="35"/>
        <v>0.13999999999999968</v>
      </c>
      <c r="F265" s="3">
        <f t="shared" si="36"/>
        <v>4.9906489921068012E-2</v>
      </c>
      <c r="G265" s="3">
        <f t="shared" si="36"/>
        <v>3.9355146855794498E-2</v>
      </c>
      <c r="H265" s="3">
        <f t="shared" si="37"/>
        <v>1.2681057983072925</v>
      </c>
      <c r="I265" s="3">
        <f t="shared" si="38"/>
        <v>55.910345948310308</v>
      </c>
    </row>
    <row r="266" spans="1:9" ht="15.75" customHeight="1">
      <c r="A266" s="14" t="s">
        <v>272</v>
      </c>
      <c r="B266">
        <v>5.59</v>
      </c>
      <c r="C266" s="3">
        <f t="shared" si="39"/>
        <v>0.10999999999999943</v>
      </c>
      <c r="D266" s="3">
        <f t="shared" si="34"/>
        <v>0.10999999999999943</v>
      </c>
      <c r="E266" s="3">
        <f t="shared" si="35"/>
        <v>0</v>
      </c>
      <c r="F266" s="3">
        <f t="shared" si="36"/>
        <v>5.4198883498134544E-2</v>
      </c>
      <c r="G266" s="3">
        <f t="shared" si="36"/>
        <v>3.6544064937523456E-2</v>
      </c>
      <c r="H266" s="3">
        <f t="shared" si="37"/>
        <v>1.483110420003745</v>
      </c>
      <c r="I266" s="3">
        <f t="shared" si="38"/>
        <v>59.727928651739468</v>
      </c>
    </row>
    <row r="267" spans="1:9" ht="15.75" customHeight="1">
      <c r="A267" s="14" t="s">
        <v>273</v>
      </c>
      <c r="B267">
        <v>5.57</v>
      </c>
      <c r="C267" s="3">
        <f t="shared" si="39"/>
        <v>-1.9999999999999574E-2</v>
      </c>
      <c r="D267" s="3">
        <f t="shared" si="34"/>
        <v>0</v>
      </c>
      <c r="E267" s="3">
        <f t="shared" si="35"/>
        <v>1.9999999999999574E-2</v>
      </c>
      <c r="F267" s="3">
        <f t="shared" si="36"/>
        <v>5.0327534676839217E-2</v>
      </c>
      <c r="G267" s="3">
        <f t="shared" si="36"/>
        <v>3.5362346013414606E-2</v>
      </c>
      <c r="H267" s="3">
        <f t="shared" si="37"/>
        <v>1.4231955837360906</v>
      </c>
      <c r="I267" s="3">
        <f t="shared" si="38"/>
        <v>58.73217965929944</v>
      </c>
    </row>
    <row r="268" spans="1:9" ht="15.75" customHeight="1">
      <c r="A268" s="14" t="s">
        <v>274</v>
      </c>
      <c r="B268">
        <v>5.51</v>
      </c>
      <c r="C268" s="3">
        <f t="shared" si="39"/>
        <v>-6.0000000000000497E-2</v>
      </c>
      <c r="D268" s="3">
        <f t="shared" si="34"/>
        <v>0</v>
      </c>
      <c r="E268" s="3">
        <f t="shared" si="35"/>
        <v>6.0000000000000497E-2</v>
      </c>
      <c r="F268" s="3">
        <f t="shared" si="36"/>
        <v>4.6732710771350702E-2</v>
      </c>
      <c r="G268" s="3">
        <f t="shared" si="36"/>
        <v>3.712217844102788E-2</v>
      </c>
      <c r="H268" s="3">
        <f t="shared" si="37"/>
        <v>1.2588892337121345</v>
      </c>
      <c r="I268" s="3">
        <f t="shared" si="38"/>
        <v>55.730454372184731</v>
      </c>
    </row>
    <row r="269" spans="1:9" ht="15.75" customHeight="1">
      <c r="A269" s="14" t="s">
        <v>275</v>
      </c>
      <c r="B269">
        <v>5.61</v>
      </c>
      <c r="C269" s="3">
        <f t="shared" si="39"/>
        <v>0.10000000000000053</v>
      </c>
      <c r="D269" s="3">
        <f t="shared" si="34"/>
        <v>0.10000000000000053</v>
      </c>
      <c r="E269" s="3">
        <f t="shared" si="35"/>
        <v>0</v>
      </c>
      <c r="F269" s="3">
        <f t="shared" si="36"/>
        <v>5.053751714482569E-2</v>
      </c>
      <c r="G269" s="3">
        <f t="shared" si="36"/>
        <v>3.4470594266668743E-2</v>
      </c>
      <c r="H269" s="3">
        <f t="shared" si="37"/>
        <v>1.4661051896541517</v>
      </c>
      <c r="I269" s="3">
        <f t="shared" si="38"/>
        <v>59.450229284816487</v>
      </c>
    </row>
    <row r="270" spans="1:9" ht="15.75" customHeight="1">
      <c r="A270" s="14" t="s">
        <v>276</v>
      </c>
      <c r="B270">
        <v>5.51</v>
      </c>
      <c r="C270" s="3">
        <f t="shared" si="39"/>
        <v>-0.10000000000000053</v>
      </c>
      <c r="D270" s="3">
        <f t="shared" si="34"/>
        <v>0</v>
      </c>
      <c r="E270" s="3">
        <f t="shared" si="35"/>
        <v>0.10000000000000053</v>
      </c>
      <c r="F270" s="3">
        <f t="shared" si="36"/>
        <v>4.6927694491623859E-2</v>
      </c>
      <c r="G270" s="3">
        <f t="shared" si="36"/>
        <v>3.9151266104763875E-2</v>
      </c>
      <c r="H270" s="3">
        <f t="shared" si="37"/>
        <v>1.1986252083406763</v>
      </c>
      <c r="I270" s="3">
        <f t="shared" si="38"/>
        <v>54.517031997704159</v>
      </c>
    </row>
    <row r="271" spans="1:9" ht="15.75" customHeight="1">
      <c r="A271" s="14" t="s">
        <v>277</v>
      </c>
      <c r="B271">
        <v>5.31</v>
      </c>
      <c r="C271" s="3">
        <f t="shared" si="39"/>
        <v>-0.20000000000000018</v>
      </c>
      <c r="D271" s="3">
        <f t="shared" si="34"/>
        <v>0</v>
      </c>
      <c r="E271" s="3">
        <f t="shared" si="35"/>
        <v>0.20000000000000018</v>
      </c>
      <c r="F271" s="3">
        <f t="shared" si="36"/>
        <v>4.3575716313650724E-2</v>
      </c>
      <c r="G271" s="3">
        <f t="shared" si="36"/>
        <v>5.0640461382995043E-2</v>
      </c>
      <c r="H271" s="3">
        <f t="shared" si="37"/>
        <v>0.86049208722816561</v>
      </c>
      <c r="I271" s="3">
        <f t="shared" si="38"/>
        <v>46.250779196280305</v>
      </c>
    </row>
    <row r="272" spans="1:9" ht="15.75" customHeight="1">
      <c r="A272" s="14" t="s">
        <v>278</v>
      </c>
      <c r="B272">
        <v>5.31</v>
      </c>
      <c r="C272" s="3">
        <f t="shared" si="39"/>
        <v>0</v>
      </c>
      <c r="D272" s="3">
        <f t="shared" si="34"/>
        <v>0</v>
      </c>
      <c r="E272" s="3">
        <f t="shared" si="35"/>
        <v>0</v>
      </c>
      <c r="F272" s="3">
        <f t="shared" si="36"/>
        <v>4.0463165148389955E-2</v>
      </c>
      <c r="G272" s="3">
        <f t="shared" si="36"/>
        <v>4.7023285569923967E-2</v>
      </c>
      <c r="H272" s="3">
        <f t="shared" si="37"/>
        <v>0.86049208722816561</v>
      </c>
      <c r="I272" s="3">
        <f t="shared" si="38"/>
        <v>46.250779196280305</v>
      </c>
    </row>
    <row r="273" spans="1:9" ht="15.75" customHeight="1">
      <c r="A273" s="14" t="s">
        <v>279</v>
      </c>
      <c r="B273">
        <v>4.84</v>
      </c>
      <c r="C273" s="3">
        <f t="shared" si="39"/>
        <v>-0.46999999999999975</v>
      </c>
      <c r="D273" s="3">
        <f t="shared" si="34"/>
        <v>0</v>
      </c>
      <c r="E273" s="3">
        <f t="shared" si="35"/>
        <v>0.46999999999999975</v>
      </c>
      <c r="F273" s="3">
        <f t="shared" si="36"/>
        <v>3.7572939066362103E-2</v>
      </c>
      <c r="G273" s="3">
        <f t="shared" si="36"/>
        <v>7.7235908029215095E-2</v>
      </c>
      <c r="H273" s="3">
        <f t="shared" si="37"/>
        <v>0.48646983022650347</v>
      </c>
      <c r="I273" s="3">
        <f t="shared" si="38"/>
        <v>32.72651891982072</v>
      </c>
    </row>
    <row r="274" spans="1:9" ht="15.75" customHeight="1">
      <c r="A274" s="14" t="s">
        <v>280</v>
      </c>
      <c r="B274">
        <v>4.6100000000000003</v>
      </c>
      <c r="C274" s="3">
        <f t="shared" si="39"/>
        <v>-0.22999999999999954</v>
      </c>
      <c r="D274" s="3">
        <f t="shared" si="34"/>
        <v>0</v>
      </c>
      <c r="E274" s="3">
        <f t="shared" si="35"/>
        <v>0.22999999999999954</v>
      </c>
      <c r="F274" s="3">
        <f t="shared" si="36"/>
        <v>3.4889157704479097E-2</v>
      </c>
      <c r="G274" s="3">
        <f t="shared" si="36"/>
        <v>8.814762888427112E-2</v>
      </c>
      <c r="H274" s="3">
        <f t="shared" si="37"/>
        <v>0.39580370052023767</v>
      </c>
      <c r="I274" s="3">
        <f t="shared" si="38"/>
        <v>28.356688005105269</v>
      </c>
    </row>
    <row r="275" spans="1:9" ht="15.75" customHeight="1">
      <c r="A275" s="14" t="s">
        <v>281</v>
      </c>
      <c r="B275">
        <v>4.18</v>
      </c>
      <c r="C275" s="3">
        <f t="shared" si="39"/>
        <v>-0.4300000000000006</v>
      </c>
      <c r="D275" s="3">
        <f t="shared" si="34"/>
        <v>0</v>
      </c>
      <c r="E275" s="3">
        <f t="shared" si="35"/>
        <v>0.4300000000000006</v>
      </c>
      <c r="F275" s="3">
        <f t="shared" si="36"/>
        <v>3.2397075011302019E-2</v>
      </c>
      <c r="G275" s="3">
        <f t="shared" si="36"/>
        <v>0.1125656553925375</v>
      </c>
      <c r="H275" s="3">
        <f t="shared" si="37"/>
        <v>0.28780603549392891</v>
      </c>
      <c r="I275" s="3">
        <f t="shared" si="38"/>
        <v>22.3485546395613</v>
      </c>
    </row>
    <row r="276" spans="1:9" ht="15.75" customHeight="1">
      <c r="A276" s="14" t="s">
        <v>282</v>
      </c>
      <c r="B276">
        <v>4.08</v>
      </c>
      <c r="C276" s="3">
        <f t="shared" si="39"/>
        <v>-9.9999999999999645E-2</v>
      </c>
      <c r="D276" s="3">
        <f t="shared" si="34"/>
        <v>0</v>
      </c>
      <c r="E276" s="3">
        <f t="shared" si="35"/>
        <v>9.9999999999999645E-2</v>
      </c>
      <c r="F276" s="3">
        <f t="shared" si="36"/>
        <v>3.0082998224780447E-2</v>
      </c>
      <c r="G276" s="3">
        <f t="shared" si="36"/>
        <v>0.1116681085787848</v>
      </c>
      <c r="H276" s="3">
        <f t="shared" si="37"/>
        <v>0.26939650548084726</v>
      </c>
      <c r="I276" s="3">
        <f t="shared" si="38"/>
        <v>21.222407996057939</v>
      </c>
    </row>
    <row r="277" spans="1:9" ht="15.75" customHeight="1">
      <c r="A277" s="14" t="s">
        <v>283</v>
      </c>
      <c r="B277">
        <v>4.37</v>
      </c>
      <c r="C277" s="3">
        <f t="shared" si="39"/>
        <v>0.29000000000000004</v>
      </c>
      <c r="D277" s="3">
        <f t="shared" si="34"/>
        <v>0.29000000000000004</v>
      </c>
      <c r="E277" s="3">
        <f t="shared" si="35"/>
        <v>0</v>
      </c>
      <c r="F277" s="3">
        <f t="shared" si="36"/>
        <v>4.8648498351581852E-2</v>
      </c>
      <c r="G277" s="3">
        <f t="shared" si="36"/>
        <v>0.1036918151088716</v>
      </c>
      <c r="H277" s="3">
        <f t="shared" si="37"/>
        <v>0.46916430482486188</v>
      </c>
      <c r="I277" s="3">
        <f t="shared" si="38"/>
        <v>31.934093639770992</v>
      </c>
    </row>
    <row r="278" spans="1:9" ht="15.75" customHeight="1">
      <c r="A278" s="14" t="s">
        <v>284</v>
      </c>
      <c r="B278">
        <v>4.5</v>
      </c>
      <c r="C278" s="3">
        <f t="shared" si="39"/>
        <v>0.12999999999999989</v>
      </c>
      <c r="D278" s="3">
        <f t="shared" si="34"/>
        <v>0.12999999999999989</v>
      </c>
      <c r="E278" s="3">
        <f t="shared" si="35"/>
        <v>0</v>
      </c>
      <c r="F278" s="3">
        <f t="shared" si="36"/>
        <v>5.4459319897897429E-2</v>
      </c>
      <c r="G278" s="3">
        <f t="shared" si="36"/>
        <v>9.6285256886809334E-2</v>
      </c>
      <c r="H278" s="3">
        <f t="shared" si="37"/>
        <v>0.56560393209438609</v>
      </c>
      <c r="I278" s="3">
        <f t="shared" si="38"/>
        <v>36.126884999435937</v>
      </c>
    </row>
    <row r="279" spans="1:9" ht="15.75" customHeight="1">
      <c r="A279" s="14" t="s">
        <v>285</v>
      </c>
      <c r="B279">
        <v>4.57</v>
      </c>
      <c r="C279" s="3">
        <f t="shared" si="39"/>
        <v>7.0000000000000284E-2</v>
      </c>
      <c r="D279" s="3">
        <f t="shared" si="34"/>
        <v>7.0000000000000284E-2</v>
      </c>
      <c r="E279" s="3">
        <f t="shared" si="35"/>
        <v>0</v>
      </c>
      <c r="F279" s="3">
        <f t="shared" si="36"/>
        <v>5.5569368476619065E-2</v>
      </c>
      <c r="G279" s="3">
        <f t="shared" si="36"/>
        <v>8.9407738537751524E-2</v>
      </c>
      <c r="H279" s="3">
        <f t="shared" si="37"/>
        <v>0.62152750293706904</v>
      </c>
      <c r="I279" s="3">
        <f t="shared" si="38"/>
        <v>38.32975400116851</v>
      </c>
    </row>
    <row r="280" spans="1:9" ht="15.75" customHeight="1">
      <c r="A280" s="14" t="s">
        <v>286</v>
      </c>
      <c r="B280">
        <v>4.41</v>
      </c>
      <c r="C280" s="3">
        <f t="shared" si="39"/>
        <v>-0.16000000000000014</v>
      </c>
      <c r="D280" s="3">
        <f t="shared" si="34"/>
        <v>0</v>
      </c>
      <c r="E280" s="3">
        <f t="shared" si="35"/>
        <v>0.16000000000000014</v>
      </c>
      <c r="F280" s="3">
        <f t="shared" si="36"/>
        <v>5.1600127871146276E-2</v>
      </c>
      <c r="G280" s="3">
        <f t="shared" si="36"/>
        <v>9.4450042927912134E-2</v>
      </c>
      <c r="H280" s="3">
        <f t="shared" si="37"/>
        <v>0.54632191020314791</v>
      </c>
      <c r="I280" s="3">
        <f t="shared" si="38"/>
        <v>35.330412548534269</v>
      </c>
    </row>
    <row r="281" spans="1:9" ht="15.75" customHeight="1">
      <c r="A281" s="14" t="s">
        <v>287</v>
      </c>
      <c r="B281">
        <v>4.32</v>
      </c>
      <c r="C281" s="3">
        <f t="shared" si="39"/>
        <v>-8.9999999999999858E-2</v>
      </c>
      <c r="D281" s="3">
        <f t="shared" si="34"/>
        <v>0</v>
      </c>
      <c r="E281" s="3">
        <f t="shared" si="35"/>
        <v>8.9999999999999858E-2</v>
      </c>
      <c r="F281" s="3">
        <f t="shared" si="36"/>
        <v>4.7914404451778685E-2</v>
      </c>
      <c r="G281" s="3">
        <f t="shared" si="36"/>
        <v>9.4132182718775548E-2</v>
      </c>
      <c r="H281" s="3">
        <f t="shared" si="37"/>
        <v>0.50901193479094486</v>
      </c>
      <c r="I281" s="3">
        <f t="shared" si="38"/>
        <v>33.73147177006669</v>
      </c>
    </row>
    <row r="282" spans="1:9" ht="15.75" customHeight="1">
      <c r="A282" s="14" t="s">
        <v>288</v>
      </c>
      <c r="B282">
        <v>4.38</v>
      </c>
      <c r="C282" s="3">
        <f t="shared" si="39"/>
        <v>5.9999999999999609E-2</v>
      </c>
      <c r="D282" s="3">
        <f t="shared" si="34"/>
        <v>5.9999999999999609E-2</v>
      </c>
      <c r="E282" s="3">
        <f t="shared" si="35"/>
        <v>0</v>
      </c>
      <c r="F282" s="3">
        <f t="shared" si="36"/>
        <v>4.8777661276651611E-2</v>
      </c>
      <c r="G282" s="3">
        <f t="shared" si="36"/>
        <v>8.7408455381720152E-2</v>
      </c>
      <c r="H282" s="3">
        <f t="shared" si="37"/>
        <v>0.558042823930882</v>
      </c>
      <c r="I282" s="3">
        <f t="shared" si="38"/>
        <v>35.816911792126575</v>
      </c>
    </row>
    <row r="283" spans="1:9" ht="15.75" customHeight="1">
      <c r="A283" s="14" t="s">
        <v>289</v>
      </c>
      <c r="B283">
        <v>4.51</v>
      </c>
      <c r="C283" s="3">
        <f t="shared" si="39"/>
        <v>0.12999999999999989</v>
      </c>
      <c r="D283" s="3">
        <f t="shared" si="34"/>
        <v>0.12999999999999989</v>
      </c>
      <c r="E283" s="3">
        <f t="shared" si="35"/>
        <v>0</v>
      </c>
      <c r="F283" s="3">
        <f t="shared" si="36"/>
        <v>5.4579256899747915E-2</v>
      </c>
      <c r="G283" s="3">
        <f t="shared" si="36"/>
        <v>8.1164994283025857E-2</v>
      </c>
      <c r="H283" s="3">
        <f t="shared" si="37"/>
        <v>0.67244823192406911</v>
      </c>
      <c r="I283" s="3">
        <f t="shared" si="38"/>
        <v>40.207416832893571</v>
      </c>
    </row>
    <row r="284" spans="1:9" ht="15.75" customHeight="1">
      <c r="A284" s="14" t="s">
        <v>290</v>
      </c>
      <c r="B284">
        <v>4.57</v>
      </c>
      <c r="C284" s="3">
        <f t="shared" si="39"/>
        <v>6.0000000000000497E-2</v>
      </c>
      <c r="D284" s="3">
        <f t="shared" si="34"/>
        <v>6.0000000000000497E-2</v>
      </c>
      <c r="E284" s="3">
        <f t="shared" si="35"/>
        <v>0</v>
      </c>
      <c r="F284" s="3">
        <f t="shared" si="36"/>
        <v>5.496645283548024E-2</v>
      </c>
      <c r="G284" s="3">
        <f t="shared" si="36"/>
        <v>7.5367494691381154E-2</v>
      </c>
      <c r="H284" s="3">
        <f t="shared" si="37"/>
        <v>0.72931245838222181</v>
      </c>
      <c r="I284" s="3">
        <f t="shared" si="38"/>
        <v>42.173550236519795</v>
      </c>
    </row>
    <row r="285" spans="1:9" ht="15.75" customHeight="1">
      <c r="A285" s="14" t="s">
        <v>291</v>
      </c>
      <c r="B285">
        <v>4.4000000000000004</v>
      </c>
      <c r="C285" s="3">
        <f t="shared" si="39"/>
        <v>-0.16999999999999993</v>
      </c>
      <c r="D285" s="3">
        <f t="shared" si="34"/>
        <v>0</v>
      </c>
      <c r="E285" s="3">
        <f t="shared" si="35"/>
        <v>0.16999999999999993</v>
      </c>
      <c r="F285" s="3">
        <f t="shared" si="36"/>
        <v>5.1040277632945941E-2</v>
      </c>
      <c r="G285" s="3">
        <f t="shared" si="36"/>
        <v>8.2126959356282489E-2</v>
      </c>
      <c r="H285" s="3">
        <f t="shared" si="37"/>
        <v>0.62148018181853582</v>
      </c>
      <c r="I285" s="3">
        <f t="shared" si="38"/>
        <v>38.327954222760113</v>
      </c>
    </row>
    <row r="286" spans="1:9" ht="15.75" customHeight="1">
      <c r="A286" s="14" t="s">
        <v>292</v>
      </c>
      <c r="B286">
        <v>4.34</v>
      </c>
      <c r="C286" s="3">
        <f t="shared" si="39"/>
        <v>-6.0000000000000497E-2</v>
      </c>
      <c r="D286" s="3">
        <f t="shared" si="34"/>
        <v>0</v>
      </c>
      <c r="E286" s="3">
        <f t="shared" si="35"/>
        <v>6.0000000000000497E-2</v>
      </c>
      <c r="F286" s="3">
        <f t="shared" si="36"/>
        <v>4.7394543516306946E-2</v>
      </c>
      <c r="G286" s="3">
        <f t="shared" si="36"/>
        <v>8.0546462259405205E-2</v>
      </c>
      <c r="H286" s="3">
        <f t="shared" si="37"/>
        <v>0.58841247879602321</v>
      </c>
      <c r="I286" s="3">
        <f t="shared" si="38"/>
        <v>37.044060447197261</v>
      </c>
    </row>
    <row r="287" spans="1:9" ht="15.75" customHeight="1">
      <c r="A287" s="14" t="s">
        <v>293</v>
      </c>
      <c r="B287">
        <v>4.25</v>
      </c>
      <c r="C287" s="3">
        <f t="shared" si="39"/>
        <v>-8.9999999999999858E-2</v>
      </c>
      <c r="D287" s="3">
        <f t="shared" si="34"/>
        <v>0</v>
      </c>
      <c r="E287" s="3">
        <f t="shared" si="35"/>
        <v>8.9999999999999858E-2</v>
      </c>
      <c r="F287" s="3">
        <f t="shared" si="36"/>
        <v>4.4009218979427882E-2</v>
      </c>
      <c r="G287" s="3">
        <f t="shared" si="36"/>
        <v>8.1221714955161964E-2</v>
      </c>
      <c r="H287" s="3">
        <f t="shared" si="37"/>
        <v>0.54184055340031845</v>
      </c>
      <c r="I287" s="3">
        <f t="shared" si="38"/>
        <v>35.142450508605663</v>
      </c>
    </row>
    <row r="288" spans="1:9" ht="15.75" customHeight="1">
      <c r="A288" s="14" t="s">
        <v>294</v>
      </c>
      <c r="B288">
        <v>4.41</v>
      </c>
      <c r="C288" s="3">
        <f t="shared" si="39"/>
        <v>0.16000000000000014</v>
      </c>
      <c r="D288" s="3">
        <f t="shared" si="34"/>
        <v>0.16000000000000014</v>
      </c>
      <c r="E288" s="3">
        <f t="shared" si="35"/>
        <v>0</v>
      </c>
      <c r="F288" s="3">
        <f t="shared" si="36"/>
        <v>5.2294274766611616E-2</v>
      </c>
      <c r="G288" s="3">
        <f t="shared" si="36"/>
        <v>7.5420163886936106E-2</v>
      </c>
      <c r="H288" s="3">
        <f t="shared" si="37"/>
        <v>0.69337259522542305</v>
      </c>
      <c r="I288" s="3">
        <f t="shared" si="38"/>
        <v>40.946251119241765</v>
      </c>
    </row>
    <row r="289" spans="1:9" ht="15.75" customHeight="1">
      <c r="A289" s="14" t="s">
        <v>295</v>
      </c>
      <c r="B289">
        <v>4.4800000000000004</v>
      </c>
      <c r="C289" s="3">
        <f t="shared" si="39"/>
        <v>7.0000000000000284E-2</v>
      </c>
      <c r="D289" s="3">
        <f t="shared" si="34"/>
        <v>7.0000000000000284E-2</v>
      </c>
      <c r="E289" s="3">
        <f t="shared" si="35"/>
        <v>0</v>
      </c>
      <c r="F289" s="3">
        <f t="shared" si="36"/>
        <v>5.3558969426139379E-2</v>
      </c>
      <c r="G289" s="3">
        <f t="shared" si="36"/>
        <v>7.0033009323583528E-2</v>
      </c>
      <c r="H289" s="3">
        <f t="shared" si="37"/>
        <v>0.76476749954686674</v>
      </c>
      <c r="I289" s="3">
        <f t="shared" si="38"/>
        <v>43.335311860810755</v>
      </c>
    </row>
    <row r="290" spans="1:9" ht="15.75" customHeight="1">
      <c r="A290" s="14" t="s">
        <v>296</v>
      </c>
      <c r="B290">
        <v>4.34</v>
      </c>
      <c r="C290" s="3">
        <f t="shared" si="39"/>
        <v>-0.14000000000000057</v>
      </c>
      <c r="D290" s="3">
        <f t="shared" si="34"/>
        <v>0</v>
      </c>
      <c r="E290" s="3">
        <f t="shared" si="35"/>
        <v>0.14000000000000057</v>
      </c>
      <c r="F290" s="3">
        <f t="shared" si="36"/>
        <v>4.9733328752843704E-2</v>
      </c>
      <c r="G290" s="3">
        <f t="shared" si="36"/>
        <v>7.5030651514756172E-2</v>
      </c>
      <c r="H290" s="3">
        <f t="shared" si="37"/>
        <v>0.66284015597362522</v>
      </c>
      <c r="I290" s="3">
        <f t="shared" si="38"/>
        <v>39.861928616074309</v>
      </c>
    </row>
    <row r="291" spans="1:9" ht="15.75" customHeight="1">
      <c r="A291" s="14" t="s">
        <v>297</v>
      </c>
      <c r="B291">
        <v>4.34</v>
      </c>
      <c r="C291" s="3">
        <f t="shared" si="39"/>
        <v>0</v>
      </c>
      <c r="D291" s="3">
        <f t="shared" si="34"/>
        <v>0</v>
      </c>
      <c r="E291" s="3">
        <f t="shared" si="35"/>
        <v>0</v>
      </c>
      <c r="F291" s="3">
        <f t="shared" si="36"/>
        <v>4.6180948127640578E-2</v>
      </c>
      <c r="G291" s="3">
        <f t="shared" si="36"/>
        <v>6.9671319263702153E-2</v>
      </c>
      <c r="H291" s="3">
        <f t="shared" si="37"/>
        <v>0.66284015597362522</v>
      </c>
      <c r="I291" s="3">
        <f t="shared" si="38"/>
        <v>39.861928616074309</v>
      </c>
    </row>
    <row r="292" spans="1:9" ht="15.75" customHeight="1">
      <c r="A292" s="14" t="s">
        <v>298</v>
      </c>
      <c r="B292">
        <v>4.3</v>
      </c>
      <c r="C292" s="3">
        <f t="shared" si="39"/>
        <v>-4.0000000000000036E-2</v>
      </c>
      <c r="D292" s="3">
        <f t="shared" si="34"/>
        <v>0</v>
      </c>
      <c r="E292" s="3">
        <f t="shared" si="35"/>
        <v>4.0000000000000036E-2</v>
      </c>
      <c r="F292" s="3">
        <f t="shared" si="36"/>
        <v>4.288230897566625E-2</v>
      </c>
      <c r="G292" s="3">
        <f t="shared" si="36"/>
        <v>6.7551939316294857E-2</v>
      </c>
      <c r="H292" s="3">
        <f t="shared" si="37"/>
        <v>0.63480500204266077</v>
      </c>
      <c r="I292" s="3">
        <f t="shared" si="38"/>
        <v>38.830625135687917</v>
      </c>
    </row>
    <row r="293" spans="1:9" ht="15.75" customHeight="1">
      <c r="A293" s="14" t="s">
        <v>299</v>
      </c>
      <c r="B293">
        <v>4.25</v>
      </c>
      <c r="C293" s="3">
        <f t="shared" si="39"/>
        <v>-4.9999999999999822E-2</v>
      </c>
      <c r="D293" s="3">
        <f t="shared" si="34"/>
        <v>0</v>
      </c>
      <c r="E293" s="3">
        <f t="shared" si="35"/>
        <v>4.9999999999999822E-2</v>
      </c>
      <c r="F293" s="3">
        <f t="shared" si="36"/>
        <v>3.9819286905975804E-2</v>
      </c>
      <c r="G293" s="3">
        <f t="shared" si="36"/>
        <v>6.6298229365130926E-2</v>
      </c>
      <c r="H293" s="3">
        <f t="shared" si="37"/>
        <v>0.60060860278296468</v>
      </c>
      <c r="I293" s="3">
        <f t="shared" si="38"/>
        <v>37.523764506743973</v>
      </c>
    </row>
    <row r="294" spans="1:9" ht="15.75" customHeight="1">
      <c r="A294" s="14" t="s">
        <v>300</v>
      </c>
      <c r="B294">
        <v>4.1900000000000004</v>
      </c>
      <c r="C294" s="3">
        <f t="shared" si="39"/>
        <v>-5.9999999999999609E-2</v>
      </c>
      <c r="D294" s="3">
        <f t="shared" ref="D294:D357" si="40">IF(C294&gt;0,C294,0)</f>
        <v>0</v>
      </c>
      <c r="E294" s="3">
        <f t="shared" ref="E294:E357" si="41">IF(C294&lt;0,-C294,0)</f>
        <v>5.9999999999999609E-2</v>
      </c>
      <c r="F294" s="3">
        <f t="shared" ref="F294:G357" si="42">((F293*13)+D294)/14</f>
        <v>3.6975052126977534E-2</v>
      </c>
      <c r="G294" s="3">
        <f t="shared" si="42"/>
        <v>6.5848355839050118E-2</v>
      </c>
      <c r="H294" s="3">
        <f t="shared" ref="H294:H357" si="43">F294/G294</f>
        <v>0.56151822860017686</v>
      </c>
      <c r="I294" s="3">
        <f t="shared" ref="I294:I357" si="44">IF(G294=0,100,100-(100/(1+H294)))</f>
        <v>35.959761360169963</v>
      </c>
    </row>
    <row r="295" spans="1:9" ht="15.75" customHeight="1">
      <c r="A295" s="14" t="s">
        <v>301</v>
      </c>
      <c r="B295">
        <v>4.1900000000000004</v>
      </c>
      <c r="C295" s="3">
        <f t="shared" si="39"/>
        <v>0</v>
      </c>
      <c r="D295" s="3">
        <f t="shared" si="40"/>
        <v>0</v>
      </c>
      <c r="E295" s="3">
        <f t="shared" si="41"/>
        <v>0</v>
      </c>
      <c r="F295" s="3">
        <f t="shared" si="42"/>
        <v>3.433397697505057E-2</v>
      </c>
      <c r="G295" s="3">
        <f t="shared" si="42"/>
        <v>6.1144901850546537E-2</v>
      </c>
      <c r="H295" s="3">
        <f t="shared" si="43"/>
        <v>0.56151822860017686</v>
      </c>
      <c r="I295" s="3">
        <f t="shared" si="44"/>
        <v>35.959761360169963</v>
      </c>
    </row>
    <row r="296" spans="1:9" ht="15.75" customHeight="1">
      <c r="A296" s="14" t="s">
        <v>302</v>
      </c>
      <c r="B296">
        <v>4.37</v>
      </c>
      <c r="C296" s="3">
        <f t="shared" si="39"/>
        <v>0.17999999999999972</v>
      </c>
      <c r="D296" s="3">
        <f t="shared" si="40"/>
        <v>0.17999999999999972</v>
      </c>
      <c r="E296" s="3">
        <f t="shared" si="41"/>
        <v>0</v>
      </c>
      <c r="F296" s="3">
        <f t="shared" si="42"/>
        <v>4.4738692905404075E-2</v>
      </c>
      <c r="G296" s="3">
        <f t="shared" si="42"/>
        <v>5.6777408861221783E-2</v>
      </c>
      <c r="H296" s="3">
        <f t="shared" si="43"/>
        <v>0.78796644303998886</v>
      </c>
      <c r="I296" s="3">
        <f t="shared" si="44"/>
        <v>44.070538689766984</v>
      </c>
    </row>
    <row r="297" spans="1:9" ht="15.75" customHeight="1">
      <c r="A297" s="14" t="s">
        <v>303</v>
      </c>
      <c r="B297">
        <v>4.6100000000000003</v>
      </c>
      <c r="C297" s="3">
        <f t="shared" si="39"/>
        <v>0.24000000000000021</v>
      </c>
      <c r="D297" s="3">
        <f t="shared" si="40"/>
        <v>0.24000000000000021</v>
      </c>
      <c r="E297" s="3">
        <f t="shared" si="41"/>
        <v>0</v>
      </c>
      <c r="F297" s="3">
        <f t="shared" si="42"/>
        <v>5.8685929126446656E-2</v>
      </c>
      <c r="G297" s="3">
        <f t="shared" si="42"/>
        <v>5.2721879656848804E-2</v>
      </c>
      <c r="H297" s="3">
        <f t="shared" si="43"/>
        <v>1.1131228535176685</v>
      </c>
      <c r="I297" s="3">
        <f t="shared" si="44"/>
        <v>52.676674792697348</v>
      </c>
    </row>
    <row r="298" spans="1:9" ht="15.75" customHeight="1">
      <c r="A298" s="14" t="s">
        <v>304</v>
      </c>
      <c r="B298">
        <v>4.7</v>
      </c>
      <c r="C298" s="3">
        <f t="shared" si="39"/>
        <v>8.9999999999999858E-2</v>
      </c>
      <c r="D298" s="3">
        <f t="shared" si="40"/>
        <v>8.9999999999999858E-2</v>
      </c>
      <c r="E298" s="3">
        <f t="shared" si="41"/>
        <v>0</v>
      </c>
      <c r="F298" s="3">
        <f t="shared" si="42"/>
        <v>6.0922648474557597E-2</v>
      </c>
      <c r="G298" s="3">
        <f t="shared" si="42"/>
        <v>4.8956031109931034E-2</v>
      </c>
      <c r="H298" s="3">
        <f t="shared" si="43"/>
        <v>1.2444360192875001</v>
      </c>
      <c r="I298" s="3">
        <f t="shared" si="44"/>
        <v>55.445377306079244</v>
      </c>
    </row>
    <row r="299" spans="1:9" ht="15.75" customHeight="1">
      <c r="A299" s="14" t="s">
        <v>305</v>
      </c>
      <c r="B299">
        <v>4.72</v>
      </c>
      <c r="C299" s="3">
        <f t="shared" ref="C299:C362" si="45">B299-B298</f>
        <v>1.9999999999999574E-2</v>
      </c>
      <c r="D299" s="3">
        <f t="shared" si="40"/>
        <v>1.9999999999999574E-2</v>
      </c>
      <c r="E299" s="3">
        <f t="shared" si="41"/>
        <v>0</v>
      </c>
      <c r="F299" s="3">
        <f t="shared" si="42"/>
        <v>5.799960215494631E-2</v>
      </c>
      <c r="G299" s="3">
        <f t="shared" si="42"/>
        <v>4.545917174493596E-2</v>
      </c>
      <c r="H299" s="3">
        <f t="shared" si="43"/>
        <v>1.2758613922922457</v>
      </c>
      <c r="I299" s="3">
        <f t="shared" si="44"/>
        <v>56.060592996272028</v>
      </c>
    </row>
    <row r="300" spans="1:9" ht="15.75" customHeight="1">
      <c r="A300" s="14" t="s">
        <v>306</v>
      </c>
      <c r="B300">
        <v>4.79</v>
      </c>
      <c r="C300" s="3">
        <f t="shared" si="45"/>
        <v>7.0000000000000284E-2</v>
      </c>
      <c r="D300" s="3">
        <f t="shared" si="40"/>
        <v>7.0000000000000284E-2</v>
      </c>
      <c r="E300" s="3">
        <f t="shared" si="41"/>
        <v>0</v>
      </c>
      <c r="F300" s="3">
        <f t="shared" si="42"/>
        <v>5.8856773429593022E-2</v>
      </c>
      <c r="G300" s="3">
        <f t="shared" si="42"/>
        <v>4.2212088048869105E-2</v>
      </c>
      <c r="H300" s="3">
        <f t="shared" si="43"/>
        <v>1.3943108751562894</v>
      </c>
      <c r="I300" s="3">
        <f t="shared" si="44"/>
        <v>58.23432911840554</v>
      </c>
    </row>
    <row r="301" spans="1:9" ht="15.75" customHeight="1">
      <c r="A301" s="14" t="s">
        <v>307</v>
      </c>
      <c r="B301">
        <v>4.82</v>
      </c>
      <c r="C301" s="3">
        <f t="shared" si="45"/>
        <v>3.0000000000000249E-2</v>
      </c>
      <c r="D301" s="3">
        <f t="shared" si="40"/>
        <v>3.0000000000000249E-2</v>
      </c>
      <c r="E301" s="3">
        <f t="shared" si="41"/>
        <v>0</v>
      </c>
      <c r="F301" s="3">
        <f t="shared" si="42"/>
        <v>5.6795575327479253E-2</v>
      </c>
      <c r="G301" s="3">
        <f t="shared" si="42"/>
        <v>3.9196938902521308E-2</v>
      </c>
      <c r="H301" s="3">
        <f t="shared" si="43"/>
        <v>1.4489798672473868</v>
      </c>
      <c r="I301" s="3">
        <f t="shared" si="44"/>
        <v>59.16667125875626</v>
      </c>
    </row>
    <row r="302" spans="1:9" ht="15.75" customHeight="1">
      <c r="A302" s="14" t="s">
        <v>308</v>
      </c>
      <c r="B302">
        <v>4.75</v>
      </c>
      <c r="C302" s="3">
        <f t="shared" si="45"/>
        <v>-7.0000000000000284E-2</v>
      </c>
      <c r="D302" s="3">
        <f t="shared" si="40"/>
        <v>0</v>
      </c>
      <c r="E302" s="3">
        <f t="shared" si="41"/>
        <v>7.0000000000000284E-2</v>
      </c>
      <c r="F302" s="3">
        <f t="shared" si="42"/>
        <v>5.2738748518373589E-2</v>
      </c>
      <c r="G302" s="3">
        <f t="shared" si="42"/>
        <v>4.1397157552341239E-2</v>
      </c>
      <c r="H302" s="3">
        <f t="shared" si="43"/>
        <v>1.2739702829039024</v>
      </c>
      <c r="I302" s="3">
        <f t="shared" si="44"/>
        <v>56.024051522653082</v>
      </c>
    </row>
    <row r="303" spans="1:9" ht="15.75" customHeight="1">
      <c r="A303" s="14" t="s">
        <v>309</v>
      </c>
      <c r="B303">
        <v>4.59</v>
      </c>
      <c r="C303" s="3">
        <f t="shared" si="45"/>
        <v>-0.16000000000000014</v>
      </c>
      <c r="D303" s="3">
        <f t="shared" si="40"/>
        <v>0</v>
      </c>
      <c r="E303" s="3">
        <f t="shared" si="41"/>
        <v>0.16000000000000014</v>
      </c>
      <c r="F303" s="3">
        <f t="shared" si="42"/>
        <v>4.8971695052775474E-2</v>
      </c>
      <c r="G303" s="3">
        <f t="shared" si="42"/>
        <v>4.9868789155745448E-2</v>
      </c>
      <c r="H303" s="3">
        <f t="shared" si="43"/>
        <v>0.98201091066862978</v>
      </c>
      <c r="I303" s="3">
        <f t="shared" si="44"/>
        <v>49.54619096104517</v>
      </c>
    </row>
    <row r="304" spans="1:9" ht="15.75" customHeight="1">
      <c r="A304" s="14" t="s">
        <v>310</v>
      </c>
      <c r="B304">
        <v>4.32</v>
      </c>
      <c r="C304" s="3">
        <f t="shared" si="45"/>
        <v>-0.26999999999999957</v>
      </c>
      <c r="D304" s="3">
        <f t="shared" si="40"/>
        <v>0</v>
      </c>
      <c r="E304" s="3">
        <f t="shared" si="41"/>
        <v>0.26999999999999957</v>
      </c>
      <c r="F304" s="3">
        <f t="shared" si="42"/>
        <v>4.5473716834720082E-2</v>
      </c>
      <c r="G304" s="3">
        <f t="shared" si="42"/>
        <v>6.5592447073192173E-2</v>
      </c>
      <c r="H304" s="3">
        <f t="shared" si="43"/>
        <v>0.69327672413224117</v>
      </c>
      <c r="I304" s="3">
        <f t="shared" si="44"/>
        <v>40.942907573924572</v>
      </c>
    </row>
    <row r="305" spans="1:9" ht="15.75" customHeight="1">
      <c r="A305" s="14" t="s">
        <v>311</v>
      </c>
      <c r="B305">
        <v>4.2699999999999996</v>
      </c>
      <c r="C305" s="3">
        <f t="shared" si="45"/>
        <v>-5.0000000000000711E-2</v>
      </c>
      <c r="D305" s="3">
        <f t="shared" si="40"/>
        <v>0</v>
      </c>
      <c r="E305" s="3">
        <f t="shared" si="41"/>
        <v>5.0000000000000711E-2</v>
      </c>
      <c r="F305" s="3">
        <f t="shared" si="42"/>
        <v>4.222559420366865E-2</v>
      </c>
      <c r="G305" s="3">
        <f t="shared" si="42"/>
        <v>6.4478700853678489E-2</v>
      </c>
      <c r="H305" s="3">
        <f t="shared" si="43"/>
        <v>0.65487662816735692</v>
      </c>
      <c r="I305" s="3">
        <f t="shared" si="44"/>
        <v>39.572534714722529</v>
      </c>
    </row>
    <row r="306" spans="1:9" ht="15.75" customHeight="1">
      <c r="A306" s="14" t="s">
        <v>312</v>
      </c>
      <c r="B306">
        <v>4.45</v>
      </c>
      <c r="C306" s="3">
        <f t="shared" si="45"/>
        <v>0.1800000000000006</v>
      </c>
      <c r="D306" s="3">
        <f t="shared" si="40"/>
        <v>0.1800000000000006</v>
      </c>
      <c r="E306" s="3">
        <f t="shared" si="41"/>
        <v>0</v>
      </c>
      <c r="F306" s="3">
        <f t="shared" si="42"/>
        <v>5.2066623189120934E-2</v>
      </c>
      <c r="G306" s="3">
        <f t="shared" si="42"/>
        <v>5.987307936413002E-2</v>
      </c>
      <c r="H306" s="3">
        <f t="shared" si="43"/>
        <v>0.86961659133092895</v>
      </c>
      <c r="I306" s="3">
        <f t="shared" si="44"/>
        <v>46.513097678057754</v>
      </c>
    </row>
    <row r="307" spans="1:9" ht="15.75" customHeight="1">
      <c r="A307" s="14" t="s">
        <v>313</v>
      </c>
      <c r="B307">
        <v>4.38</v>
      </c>
      <c r="C307" s="3">
        <f t="shared" si="45"/>
        <v>-7.0000000000000284E-2</v>
      </c>
      <c r="D307" s="3">
        <f t="shared" si="40"/>
        <v>0</v>
      </c>
      <c r="E307" s="3">
        <f t="shared" si="41"/>
        <v>7.0000000000000284E-2</v>
      </c>
      <c r="F307" s="3">
        <f t="shared" si="42"/>
        <v>4.8347578675612297E-2</v>
      </c>
      <c r="G307" s="3">
        <f t="shared" si="42"/>
        <v>6.0596430838120753E-2</v>
      </c>
      <c r="H307" s="3">
        <f t="shared" si="43"/>
        <v>0.79786182134669892</v>
      </c>
      <c r="I307" s="3">
        <f t="shared" si="44"/>
        <v>44.378372791133401</v>
      </c>
    </row>
    <row r="308" spans="1:9" ht="15.75" customHeight="1">
      <c r="A308" s="14" t="s">
        <v>314</v>
      </c>
      <c r="B308">
        <v>4.42</v>
      </c>
      <c r="C308" s="3">
        <f t="shared" si="45"/>
        <v>4.0000000000000036E-2</v>
      </c>
      <c r="D308" s="3">
        <f t="shared" si="40"/>
        <v>4.0000000000000036E-2</v>
      </c>
      <c r="E308" s="3">
        <f t="shared" si="41"/>
        <v>0</v>
      </c>
      <c r="F308" s="3">
        <f t="shared" si="42"/>
        <v>4.7751323055925707E-2</v>
      </c>
      <c r="G308" s="3">
        <f t="shared" si="42"/>
        <v>5.6268114349683554E-2</v>
      </c>
      <c r="H308" s="3">
        <f t="shared" si="43"/>
        <v>0.84863912018040211</v>
      </c>
      <c r="I308" s="3">
        <f t="shared" si="44"/>
        <v>45.906153933255851</v>
      </c>
    </row>
    <row r="309" spans="1:9" ht="15.75" customHeight="1">
      <c r="A309" s="14" t="s">
        <v>315</v>
      </c>
      <c r="B309">
        <v>4.4000000000000004</v>
      </c>
      <c r="C309" s="3">
        <f t="shared" si="45"/>
        <v>-1.9999999999999574E-2</v>
      </c>
      <c r="D309" s="3">
        <f t="shared" si="40"/>
        <v>0</v>
      </c>
      <c r="E309" s="3">
        <f t="shared" si="41"/>
        <v>1.9999999999999574E-2</v>
      </c>
      <c r="F309" s="3">
        <f t="shared" si="42"/>
        <v>4.4340514266216727E-2</v>
      </c>
      <c r="G309" s="3">
        <f t="shared" si="42"/>
        <v>5.3677534753277557E-2</v>
      </c>
      <c r="H309" s="3">
        <f t="shared" si="43"/>
        <v>0.82605347786597616</v>
      </c>
      <c r="I309" s="3">
        <f t="shared" si="44"/>
        <v>45.237091239592083</v>
      </c>
    </row>
    <row r="310" spans="1:9" ht="15.75" customHeight="1">
      <c r="A310" s="14" t="s">
        <v>316</v>
      </c>
      <c r="B310">
        <v>4.32</v>
      </c>
      <c r="C310" s="3">
        <f t="shared" si="45"/>
        <v>-8.0000000000000071E-2</v>
      </c>
      <c r="D310" s="3">
        <f t="shared" si="40"/>
        <v>0</v>
      </c>
      <c r="E310" s="3">
        <f t="shared" si="41"/>
        <v>8.0000000000000071E-2</v>
      </c>
      <c r="F310" s="3">
        <f t="shared" si="42"/>
        <v>4.1173334675772673E-2</v>
      </c>
      <c r="G310" s="3">
        <f t="shared" si="42"/>
        <v>5.5557710842329168E-2</v>
      </c>
      <c r="H310" s="3">
        <f t="shared" si="43"/>
        <v>0.741091273407955</v>
      </c>
      <c r="I310" s="3">
        <f t="shared" si="44"/>
        <v>42.564757214443283</v>
      </c>
    </row>
    <row r="311" spans="1:9" ht="15.75" customHeight="1">
      <c r="A311" s="14" t="s">
        <v>317</v>
      </c>
      <c r="B311">
        <v>4.04</v>
      </c>
      <c r="C311" s="3">
        <f t="shared" si="45"/>
        <v>-0.28000000000000025</v>
      </c>
      <c r="D311" s="3">
        <f t="shared" si="40"/>
        <v>0</v>
      </c>
      <c r="E311" s="3">
        <f t="shared" si="41"/>
        <v>0.28000000000000025</v>
      </c>
      <c r="F311" s="3">
        <f t="shared" si="42"/>
        <v>3.8232382198931769E-2</v>
      </c>
      <c r="G311" s="3">
        <f t="shared" si="42"/>
        <v>7.1589302925019957E-2</v>
      </c>
      <c r="H311" s="3">
        <f t="shared" si="43"/>
        <v>0.53405160599167978</v>
      </c>
      <c r="I311" s="3">
        <f t="shared" si="44"/>
        <v>34.813144740749763</v>
      </c>
    </row>
    <row r="312" spans="1:9" ht="15.75" customHeight="1">
      <c r="A312" s="14" t="s">
        <v>318</v>
      </c>
      <c r="B312">
        <v>3.81</v>
      </c>
      <c r="C312" s="3">
        <f t="shared" si="45"/>
        <v>-0.22999999999999998</v>
      </c>
      <c r="D312" s="3">
        <f t="shared" si="40"/>
        <v>0</v>
      </c>
      <c r="E312" s="3">
        <f t="shared" si="41"/>
        <v>0.22999999999999998</v>
      </c>
      <c r="F312" s="3">
        <f t="shared" si="42"/>
        <v>3.5501497756150927E-2</v>
      </c>
      <c r="G312" s="3">
        <f t="shared" si="42"/>
        <v>8.2904352716089952E-2</v>
      </c>
      <c r="H312" s="3">
        <f t="shared" si="43"/>
        <v>0.42822236219282189</v>
      </c>
      <c r="I312" s="3">
        <f t="shared" si="44"/>
        <v>29.982891567063163</v>
      </c>
    </row>
    <row r="313" spans="1:9" ht="15.75" customHeight="1">
      <c r="A313" s="14" t="s">
        <v>319</v>
      </c>
      <c r="B313">
        <v>4.01</v>
      </c>
      <c r="C313" s="3">
        <f t="shared" si="45"/>
        <v>0.19999999999999973</v>
      </c>
      <c r="D313" s="3">
        <f t="shared" si="40"/>
        <v>0.19999999999999973</v>
      </c>
      <c r="E313" s="3">
        <f t="shared" si="41"/>
        <v>0</v>
      </c>
      <c r="F313" s="3">
        <f t="shared" si="42"/>
        <v>4.7251390773568699E-2</v>
      </c>
      <c r="G313" s="3">
        <f t="shared" si="42"/>
        <v>7.6982613236369235E-2</v>
      </c>
      <c r="H313" s="3">
        <f t="shared" si="43"/>
        <v>0.61379302139935044</v>
      </c>
      <c r="I313" s="3">
        <f t="shared" si="44"/>
        <v>38.03418488370454</v>
      </c>
    </row>
    <row r="314" spans="1:9" ht="15.75" customHeight="1">
      <c r="A314" s="14" t="s">
        <v>320</v>
      </c>
      <c r="B314">
        <v>4.0999999999999996</v>
      </c>
      <c r="C314" s="3">
        <f t="shared" si="45"/>
        <v>8.9999999999999858E-2</v>
      </c>
      <c r="D314" s="3">
        <f t="shared" si="40"/>
        <v>8.9999999999999858E-2</v>
      </c>
      <c r="E314" s="3">
        <f t="shared" si="41"/>
        <v>0</v>
      </c>
      <c r="F314" s="3">
        <f t="shared" si="42"/>
        <v>5.0304862861170925E-2</v>
      </c>
      <c r="G314" s="3">
        <f t="shared" si="42"/>
        <v>7.1483855148057149E-2</v>
      </c>
      <c r="H314" s="3">
        <f t="shared" si="43"/>
        <v>0.70372341778405267</v>
      </c>
      <c r="I314" s="3">
        <f t="shared" si="44"/>
        <v>41.305027003699365</v>
      </c>
    </row>
    <row r="315" spans="1:9" ht="15.75" customHeight="1">
      <c r="A315" s="14" t="s">
        <v>321</v>
      </c>
      <c r="B315">
        <v>4.38</v>
      </c>
      <c r="C315" s="3">
        <f t="shared" si="45"/>
        <v>0.28000000000000025</v>
      </c>
      <c r="D315" s="3">
        <f t="shared" si="40"/>
        <v>0.28000000000000025</v>
      </c>
      <c r="E315" s="3">
        <f t="shared" si="41"/>
        <v>0</v>
      </c>
      <c r="F315" s="3">
        <f t="shared" si="42"/>
        <v>6.6711658371087307E-2</v>
      </c>
      <c r="G315" s="3">
        <f t="shared" si="42"/>
        <v>6.6377865494624502E-2</v>
      </c>
      <c r="H315" s="3">
        <f t="shared" si="43"/>
        <v>1.0050286774661328</v>
      </c>
      <c r="I315" s="3">
        <f t="shared" si="44"/>
        <v>50.125401634466591</v>
      </c>
    </row>
    <row r="316" spans="1:9" ht="15.75" customHeight="1">
      <c r="A316" s="14" t="s">
        <v>322</v>
      </c>
      <c r="B316">
        <v>4.22</v>
      </c>
      <c r="C316" s="3">
        <f t="shared" si="45"/>
        <v>-0.16000000000000014</v>
      </c>
      <c r="D316" s="3">
        <f t="shared" si="40"/>
        <v>0</v>
      </c>
      <c r="E316" s="3">
        <f t="shared" si="41"/>
        <v>0.16000000000000014</v>
      </c>
      <c r="F316" s="3">
        <f t="shared" si="42"/>
        <v>6.1946539916009638E-2</v>
      </c>
      <c r="G316" s="3">
        <f t="shared" si="42"/>
        <v>7.3065160816437061E-2</v>
      </c>
      <c r="H316" s="3">
        <f t="shared" si="43"/>
        <v>0.84782595732101462</v>
      </c>
      <c r="I316" s="3">
        <f t="shared" si="44"/>
        <v>45.882349144515544</v>
      </c>
    </row>
    <row r="317" spans="1:9" ht="15.75" customHeight="1">
      <c r="A317" s="14" t="s">
        <v>323</v>
      </c>
      <c r="B317">
        <v>4.22</v>
      </c>
      <c r="C317" s="3">
        <f t="shared" si="45"/>
        <v>0</v>
      </c>
      <c r="D317" s="3">
        <f t="shared" si="40"/>
        <v>0</v>
      </c>
      <c r="E317" s="3">
        <f t="shared" si="41"/>
        <v>0</v>
      </c>
      <c r="F317" s="3">
        <f t="shared" si="42"/>
        <v>5.7521787064866096E-2</v>
      </c>
      <c r="G317" s="3">
        <f t="shared" si="42"/>
        <v>6.7846220758120121E-2</v>
      </c>
      <c r="H317" s="3">
        <f t="shared" si="43"/>
        <v>0.84782595732101473</v>
      </c>
      <c r="I317" s="3">
        <f t="shared" si="44"/>
        <v>45.882349144515544</v>
      </c>
    </row>
    <row r="318" spans="1:9" ht="15.75" customHeight="1">
      <c r="A318" s="14" t="s">
        <v>324</v>
      </c>
      <c r="B318">
        <v>4.18</v>
      </c>
      <c r="C318" s="3">
        <f t="shared" si="45"/>
        <v>-4.0000000000000036E-2</v>
      </c>
      <c r="D318" s="3">
        <f t="shared" si="40"/>
        <v>0</v>
      </c>
      <c r="E318" s="3">
        <f t="shared" si="41"/>
        <v>4.0000000000000036E-2</v>
      </c>
      <c r="F318" s="3">
        <f t="shared" si="42"/>
        <v>5.3413087988804231E-2</v>
      </c>
      <c r="G318" s="3">
        <f t="shared" si="42"/>
        <v>6.5857204989682977E-2</v>
      </c>
      <c r="H318" s="3">
        <f t="shared" si="43"/>
        <v>0.81104395482881164</v>
      </c>
      <c r="I318" s="3">
        <f t="shared" si="44"/>
        <v>44.783228627130441</v>
      </c>
    </row>
    <row r="319" spans="1:9" ht="15.75" customHeight="1">
      <c r="A319" s="14" t="s">
        <v>325</v>
      </c>
      <c r="B319">
        <v>4.1900000000000004</v>
      </c>
      <c r="C319" s="3">
        <f t="shared" si="45"/>
        <v>1.0000000000000675E-2</v>
      </c>
      <c r="D319" s="3">
        <f t="shared" si="40"/>
        <v>1.0000000000000675E-2</v>
      </c>
      <c r="E319" s="3">
        <f t="shared" si="41"/>
        <v>0</v>
      </c>
      <c r="F319" s="3">
        <f t="shared" si="42"/>
        <v>5.0312153132461117E-2</v>
      </c>
      <c r="G319" s="3">
        <f t="shared" si="42"/>
        <v>6.1153118918991334E-2</v>
      </c>
      <c r="H319" s="3">
        <f t="shared" si="43"/>
        <v>0.82272423748507273</v>
      </c>
      <c r="I319" s="3">
        <f t="shared" si="44"/>
        <v>45.137065748367789</v>
      </c>
    </row>
    <row r="320" spans="1:9" ht="15.75" customHeight="1">
      <c r="A320" s="14" t="s">
        <v>326</v>
      </c>
      <c r="B320">
        <v>4.0599999999999996</v>
      </c>
      <c r="C320" s="3">
        <f t="shared" si="45"/>
        <v>-0.13000000000000078</v>
      </c>
      <c r="D320" s="3">
        <f t="shared" si="40"/>
        <v>0</v>
      </c>
      <c r="E320" s="3">
        <f t="shared" si="41"/>
        <v>0.13000000000000078</v>
      </c>
      <c r="F320" s="3">
        <f t="shared" si="42"/>
        <v>4.6718427908713896E-2</v>
      </c>
      <c r="G320" s="3">
        <f t="shared" si="42"/>
        <v>6.607075328192058E-2</v>
      </c>
      <c r="H320" s="3">
        <f t="shared" si="43"/>
        <v>0.70709694665306322</v>
      </c>
      <c r="I320" s="3">
        <f t="shared" si="44"/>
        <v>41.421018767528025</v>
      </c>
    </row>
    <row r="321" spans="1:9" ht="15.75" customHeight="1">
      <c r="A321" s="14" t="s">
        <v>327</v>
      </c>
      <c r="B321">
        <v>4.08</v>
      </c>
      <c r="C321" s="3">
        <f t="shared" si="45"/>
        <v>2.0000000000000462E-2</v>
      </c>
      <c r="D321" s="3">
        <f t="shared" si="40"/>
        <v>2.0000000000000462E-2</v>
      </c>
      <c r="E321" s="3">
        <f t="shared" si="41"/>
        <v>0</v>
      </c>
      <c r="F321" s="3">
        <f t="shared" si="42"/>
        <v>4.4809968772377216E-2</v>
      </c>
      <c r="G321" s="3">
        <f t="shared" si="42"/>
        <v>6.1351413761783394E-2</v>
      </c>
      <c r="H321" s="3">
        <f t="shared" si="43"/>
        <v>0.73038200792513663</v>
      </c>
      <c r="I321" s="3">
        <f t="shared" si="44"/>
        <v>42.209292779281832</v>
      </c>
    </row>
    <row r="322" spans="1:9" ht="15.75" customHeight="1">
      <c r="A322" s="14" t="s">
        <v>328</v>
      </c>
      <c r="B322">
        <v>4.2699999999999996</v>
      </c>
      <c r="C322" s="3">
        <f t="shared" si="45"/>
        <v>0.1899999999999995</v>
      </c>
      <c r="D322" s="3">
        <f t="shared" si="40"/>
        <v>0.1899999999999995</v>
      </c>
      <c r="E322" s="3">
        <f t="shared" si="41"/>
        <v>0</v>
      </c>
      <c r="F322" s="3">
        <f t="shared" si="42"/>
        <v>5.5180685288635949E-2</v>
      </c>
      <c r="G322" s="3">
        <f t="shared" si="42"/>
        <v>5.6969169921656009E-2</v>
      </c>
      <c r="H322" s="3">
        <f t="shared" si="43"/>
        <v>0.9686060963240366</v>
      </c>
      <c r="I322" s="3">
        <f t="shared" si="44"/>
        <v>49.202636227364508</v>
      </c>
    </row>
    <row r="323" spans="1:9" ht="15.75" customHeight="1">
      <c r="A323" s="14" t="s">
        <v>329</v>
      </c>
      <c r="B323">
        <v>4.46</v>
      </c>
      <c r="C323" s="3">
        <f t="shared" si="45"/>
        <v>0.19000000000000039</v>
      </c>
      <c r="D323" s="3">
        <f t="shared" si="40"/>
        <v>0.19000000000000039</v>
      </c>
      <c r="E323" s="3">
        <f t="shared" si="41"/>
        <v>0</v>
      </c>
      <c r="F323" s="3">
        <f t="shared" si="42"/>
        <v>6.4810636339447697E-2</v>
      </c>
      <c r="G323" s="3">
        <f t="shared" si="42"/>
        <v>5.2899943498680581E-2</v>
      </c>
      <c r="H323" s="3">
        <f t="shared" si="43"/>
        <v>1.2251551145997763</v>
      </c>
      <c r="I323" s="3">
        <f t="shared" si="44"/>
        <v>55.059312789532733</v>
      </c>
    </row>
    <row r="324" spans="1:9" ht="15.75" customHeight="1">
      <c r="A324" s="14" t="s">
        <v>330</v>
      </c>
      <c r="B324">
        <v>4.75</v>
      </c>
      <c r="C324" s="3">
        <f t="shared" si="45"/>
        <v>0.29000000000000004</v>
      </c>
      <c r="D324" s="3">
        <f t="shared" si="40"/>
        <v>0.29000000000000004</v>
      </c>
      <c r="E324" s="3">
        <f t="shared" si="41"/>
        <v>0</v>
      </c>
      <c r="F324" s="3">
        <f t="shared" si="42"/>
        <v>8.0895590886630009E-2</v>
      </c>
      <c r="G324" s="3">
        <f t="shared" si="42"/>
        <v>4.9121376105917679E-2</v>
      </c>
      <c r="H324" s="3">
        <f t="shared" si="43"/>
        <v>1.6468510717655662</v>
      </c>
      <c r="I324" s="3">
        <f t="shared" si="44"/>
        <v>62.219257038403903</v>
      </c>
    </row>
    <row r="325" spans="1:9" ht="15.75" customHeight="1">
      <c r="A325" s="14" t="s">
        <v>331</v>
      </c>
      <c r="B325">
        <v>4.9800000000000004</v>
      </c>
      <c r="C325" s="3">
        <f t="shared" si="45"/>
        <v>0.23000000000000043</v>
      </c>
      <c r="D325" s="3">
        <f t="shared" si="40"/>
        <v>0.23000000000000043</v>
      </c>
      <c r="E325" s="3">
        <f t="shared" si="41"/>
        <v>0</v>
      </c>
      <c r="F325" s="3">
        <f t="shared" si="42"/>
        <v>9.1545905823299328E-2</v>
      </c>
      <c r="G325" s="3">
        <f t="shared" si="42"/>
        <v>4.5612706384066413E-2</v>
      </c>
      <c r="H325" s="3">
        <f t="shared" si="43"/>
        <v>2.0070263985756052</v>
      </c>
      <c r="I325" s="3">
        <f t="shared" si="44"/>
        <v>66.744555336338621</v>
      </c>
    </row>
    <row r="326" spans="1:9" ht="15.75" customHeight="1">
      <c r="A326" s="14" t="s">
        <v>332</v>
      </c>
      <c r="B326">
        <v>4.82</v>
      </c>
      <c r="C326" s="3">
        <f t="shared" si="45"/>
        <v>-0.16000000000000014</v>
      </c>
      <c r="D326" s="3">
        <f t="shared" si="40"/>
        <v>0</v>
      </c>
      <c r="E326" s="3">
        <f t="shared" si="41"/>
        <v>0.16000000000000014</v>
      </c>
      <c r="F326" s="3">
        <f t="shared" si="42"/>
        <v>8.5006912550206523E-2</v>
      </c>
      <c r="G326" s="3">
        <f t="shared" si="42"/>
        <v>5.3783227356633108E-2</v>
      </c>
      <c r="H326" s="3">
        <f t="shared" si="43"/>
        <v>1.5805468866070675</v>
      </c>
      <c r="I326" s="3">
        <f t="shared" si="44"/>
        <v>61.248524288012014</v>
      </c>
    </row>
    <row r="327" spans="1:9" ht="15.75" customHeight="1">
      <c r="A327" s="14" t="s">
        <v>333</v>
      </c>
      <c r="B327">
        <v>4.6500000000000004</v>
      </c>
      <c r="C327" s="3">
        <f t="shared" si="45"/>
        <v>-0.16999999999999993</v>
      </c>
      <c r="D327" s="3">
        <f t="shared" si="40"/>
        <v>0</v>
      </c>
      <c r="E327" s="3">
        <f t="shared" si="41"/>
        <v>0.16999999999999993</v>
      </c>
      <c r="F327" s="3">
        <f t="shared" si="42"/>
        <v>7.8934990225191778E-2</v>
      </c>
      <c r="G327" s="3">
        <f t="shared" si="42"/>
        <v>6.2084425402587885E-2</v>
      </c>
      <c r="H327" s="3">
        <f t="shared" si="43"/>
        <v>1.27141371951719</v>
      </c>
      <c r="I327" s="3">
        <f t="shared" si="44"/>
        <v>55.974554903517998</v>
      </c>
    </row>
    <row r="328" spans="1:9" ht="15.75" customHeight="1">
      <c r="A328" s="14" t="s">
        <v>334</v>
      </c>
      <c r="B328">
        <v>4.75</v>
      </c>
      <c r="C328" s="3">
        <f t="shared" si="45"/>
        <v>9.9999999999999645E-2</v>
      </c>
      <c r="D328" s="3">
        <f t="shared" si="40"/>
        <v>9.9999999999999645E-2</v>
      </c>
      <c r="E328" s="3">
        <f t="shared" si="41"/>
        <v>0</v>
      </c>
      <c r="F328" s="3">
        <f t="shared" si="42"/>
        <v>8.0439633780535202E-2</v>
      </c>
      <c r="G328" s="3">
        <f t="shared" si="42"/>
        <v>5.7649823588117322E-2</v>
      </c>
      <c r="H328" s="3">
        <f t="shared" si="43"/>
        <v>1.3953144827509112</v>
      </c>
      <c r="I328" s="3">
        <f t="shared" si="44"/>
        <v>58.251828425821358</v>
      </c>
    </row>
    <row r="329" spans="1:9" ht="15.75" customHeight="1">
      <c r="A329" s="14" t="s">
        <v>335</v>
      </c>
      <c r="B329">
        <v>4.88</v>
      </c>
      <c r="C329" s="3">
        <f t="shared" si="45"/>
        <v>0.12999999999999989</v>
      </c>
      <c r="D329" s="3">
        <f t="shared" si="40"/>
        <v>0.12999999999999989</v>
      </c>
      <c r="E329" s="3">
        <f t="shared" si="41"/>
        <v>0</v>
      </c>
      <c r="F329" s="3">
        <f t="shared" si="42"/>
        <v>8.3979659939068405E-2</v>
      </c>
      <c r="G329" s="3">
        <f t="shared" si="42"/>
        <v>5.3531979046108943E-2</v>
      </c>
      <c r="H329" s="3">
        <f t="shared" si="43"/>
        <v>1.5687755512781214</v>
      </c>
      <c r="I329" s="3">
        <f t="shared" si="44"/>
        <v>61.070946836813384</v>
      </c>
    </row>
    <row r="330" spans="1:9" ht="15.75" customHeight="1">
      <c r="A330" s="14" t="s">
        <v>336</v>
      </c>
      <c r="B330">
        <v>4.87</v>
      </c>
      <c r="C330" s="3">
        <f t="shared" si="45"/>
        <v>-9.9999999999997868E-3</v>
      </c>
      <c r="D330" s="3">
        <f t="shared" si="40"/>
        <v>0</v>
      </c>
      <c r="E330" s="3">
        <f t="shared" si="41"/>
        <v>9.9999999999997868E-3</v>
      </c>
      <c r="F330" s="3">
        <f t="shared" si="42"/>
        <v>7.7981112800563523E-2</v>
      </c>
      <c r="G330" s="3">
        <f t="shared" si="42"/>
        <v>5.0422551971386856E-2</v>
      </c>
      <c r="H330" s="3">
        <f t="shared" si="43"/>
        <v>1.5465522817015538</v>
      </c>
      <c r="I330" s="3">
        <f t="shared" si="44"/>
        <v>60.731220513885518</v>
      </c>
    </row>
    <row r="331" spans="1:9" ht="15.75" customHeight="1">
      <c r="A331" s="14" t="s">
        <v>337</v>
      </c>
      <c r="B331">
        <v>4.6500000000000004</v>
      </c>
      <c r="C331" s="3">
        <f t="shared" si="45"/>
        <v>-0.21999999999999975</v>
      </c>
      <c r="D331" s="3">
        <f t="shared" si="40"/>
        <v>0</v>
      </c>
      <c r="E331" s="3">
        <f t="shared" si="41"/>
        <v>0.21999999999999975</v>
      </c>
      <c r="F331" s="3">
        <f t="shared" si="42"/>
        <v>7.2411033314808984E-2</v>
      </c>
      <c r="G331" s="3">
        <f t="shared" si="42"/>
        <v>6.2535226830573484E-2</v>
      </c>
      <c r="H331" s="3">
        <f t="shared" si="43"/>
        <v>1.1579238932160907</v>
      </c>
      <c r="I331" s="3">
        <f t="shared" si="44"/>
        <v>53.65916271914314</v>
      </c>
    </row>
    <row r="332" spans="1:9" ht="15.75" customHeight="1">
      <c r="A332" s="14" t="s">
        <v>338</v>
      </c>
      <c r="B332">
        <v>4.57</v>
      </c>
      <c r="C332" s="3">
        <f t="shared" si="45"/>
        <v>-8.0000000000000071E-2</v>
      </c>
      <c r="D332" s="3">
        <f t="shared" si="40"/>
        <v>0</v>
      </c>
      <c r="E332" s="3">
        <f t="shared" si="41"/>
        <v>8.0000000000000071E-2</v>
      </c>
      <c r="F332" s="3">
        <f t="shared" si="42"/>
        <v>6.7238816649465488E-2</v>
      </c>
      <c r="G332" s="3">
        <f t="shared" si="42"/>
        <v>6.3782710628389666E-2</v>
      </c>
      <c r="H332" s="3">
        <f t="shared" si="43"/>
        <v>1.0541856247096766</v>
      </c>
      <c r="I332" s="3">
        <f t="shared" si="44"/>
        <v>51.318907698941146</v>
      </c>
    </row>
    <row r="333" spans="1:9" ht="15.75" customHeight="1">
      <c r="A333" s="14" t="s">
        <v>339</v>
      </c>
      <c r="B333">
        <v>4.87</v>
      </c>
      <c r="C333" s="3">
        <f t="shared" si="45"/>
        <v>0.29999999999999982</v>
      </c>
      <c r="D333" s="3">
        <f t="shared" si="40"/>
        <v>0.29999999999999982</v>
      </c>
      <c r="E333" s="3">
        <f t="shared" si="41"/>
        <v>0</v>
      </c>
      <c r="F333" s="3">
        <f t="shared" si="42"/>
        <v>8.3864615460217937E-2</v>
      </c>
      <c r="G333" s="3">
        <f t="shared" si="42"/>
        <v>5.9226802726361834E-2</v>
      </c>
      <c r="H333" s="3">
        <f t="shared" si="43"/>
        <v>1.4159909297769644</v>
      </c>
      <c r="I333" s="3">
        <f t="shared" si="44"/>
        <v>58.609116132223377</v>
      </c>
    </row>
    <row r="334" spans="1:9" ht="15.75" customHeight="1">
      <c r="A334" s="14" t="s">
        <v>340</v>
      </c>
      <c r="B334">
        <v>5.0599999999999996</v>
      </c>
      <c r="C334" s="3">
        <f t="shared" si="45"/>
        <v>0.1899999999999995</v>
      </c>
      <c r="D334" s="3">
        <f t="shared" si="40"/>
        <v>0.1899999999999995</v>
      </c>
      <c r="E334" s="3">
        <f t="shared" si="41"/>
        <v>0</v>
      </c>
      <c r="F334" s="3">
        <f t="shared" si="42"/>
        <v>9.1445714355916627E-2</v>
      </c>
      <c r="G334" s="3">
        <f t="shared" si="42"/>
        <v>5.4996316817335987E-2</v>
      </c>
      <c r="H334" s="3">
        <f t="shared" si="43"/>
        <v>1.6627607019510628</v>
      </c>
      <c r="I334" s="3">
        <f t="shared" si="44"/>
        <v>62.444991798651749</v>
      </c>
    </row>
    <row r="335" spans="1:9" ht="15.75" customHeight="1">
      <c r="A335" s="14" t="s">
        <v>341</v>
      </c>
      <c r="B335">
        <v>5.08</v>
      </c>
      <c r="C335" s="3">
        <f t="shared" si="45"/>
        <v>2.0000000000000462E-2</v>
      </c>
      <c r="D335" s="3">
        <f t="shared" si="40"/>
        <v>2.0000000000000462E-2</v>
      </c>
      <c r="E335" s="3">
        <f t="shared" si="41"/>
        <v>0</v>
      </c>
      <c r="F335" s="3">
        <f t="shared" si="42"/>
        <v>8.6342449044779751E-2</v>
      </c>
      <c r="G335" s="3">
        <f t="shared" si="42"/>
        <v>5.1068008473240556E-2</v>
      </c>
      <c r="H335" s="3">
        <f t="shared" si="43"/>
        <v>1.6907346032501516</v>
      </c>
      <c r="I335" s="3">
        <f t="shared" si="44"/>
        <v>62.835427961119052</v>
      </c>
    </row>
    <row r="336" spans="1:9" ht="15.75" customHeight="1">
      <c r="A336" s="14" t="s">
        <v>342</v>
      </c>
      <c r="B336">
        <v>5.27</v>
      </c>
      <c r="C336" s="3">
        <f t="shared" si="45"/>
        <v>0.1899999999999995</v>
      </c>
      <c r="D336" s="3">
        <f t="shared" si="40"/>
        <v>0.1899999999999995</v>
      </c>
      <c r="E336" s="3">
        <f t="shared" si="41"/>
        <v>0</v>
      </c>
      <c r="F336" s="3">
        <f t="shared" si="42"/>
        <v>9.3746559827295448E-2</v>
      </c>
      <c r="G336" s="3">
        <f t="shared" si="42"/>
        <v>4.7420293582294805E-2</v>
      </c>
      <c r="H336" s="3">
        <f t="shared" si="43"/>
        <v>1.9769291319254372</v>
      </c>
      <c r="I336" s="3">
        <f t="shared" si="44"/>
        <v>66.408337058624781</v>
      </c>
    </row>
    <row r="337" spans="1:9" ht="15.75" customHeight="1">
      <c r="A337" s="14" t="s">
        <v>343</v>
      </c>
      <c r="B337">
        <v>5.26</v>
      </c>
      <c r="C337" s="3">
        <f t="shared" si="45"/>
        <v>-9.9999999999997868E-3</v>
      </c>
      <c r="D337" s="3">
        <f t="shared" si="40"/>
        <v>0</v>
      </c>
      <c r="E337" s="3">
        <f t="shared" si="41"/>
        <v>9.9999999999997868E-3</v>
      </c>
      <c r="F337" s="3">
        <f t="shared" si="42"/>
        <v>8.7050376982488631E-2</v>
      </c>
      <c r="G337" s="3">
        <f t="shared" si="42"/>
        <v>4.4747415469273737E-2</v>
      </c>
      <c r="H337" s="3">
        <f t="shared" si="43"/>
        <v>1.9453721755676068</v>
      </c>
      <c r="I337" s="3">
        <f t="shared" si="44"/>
        <v>66.048433257597111</v>
      </c>
    </row>
    <row r="338" spans="1:9" ht="15.75" customHeight="1">
      <c r="A338" s="14" t="s">
        <v>344</v>
      </c>
      <c r="B338">
        <v>5.15</v>
      </c>
      <c r="C338" s="3">
        <f t="shared" si="45"/>
        <v>-0.10999999999999943</v>
      </c>
      <c r="D338" s="3">
        <f t="shared" si="40"/>
        <v>0</v>
      </c>
      <c r="E338" s="3">
        <f t="shared" si="41"/>
        <v>0.10999999999999943</v>
      </c>
      <c r="F338" s="3">
        <f t="shared" si="42"/>
        <v>8.0832492912310872E-2</v>
      </c>
      <c r="G338" s="3">
        <f t="shared" si="42"/>
        <v>4.9408314364325571E-2</v>
      </c>
      <c r="H338" s="3">
        <f t="shared" si="43"/>
        <v>1.6360099297513091</v>
      </c>
      <c r="I338" s="3">
        <f t="shared" si="44"/>
        <v>62.063875833186124</v>
      </c>
    </row>
    <row r="339" spans="1:9" ht="15.75" customHeight="1">
      <c r="A339" s="14" t="s">
        <v>345</v>
      </c>
      <c r="B339">
        <v>5.32</v>
      </c>
      <c r="C339" s="3">
        <f t="shared" si="45"/>
        <v>0.16999999999999993</v>
      </c>
      <c r="D339" s="3">
        <f t="shared" si="40"/>
        <v>0.16999999999999993</v>
      </c>
      <c r="E339" s="3">
        <f t="shared" si="41"/>
        <v>0</v>
      </c>
      <c r="F339" s="3">
        <f t="shared" si="42"/>
        <v>8.720160056143153E-2</v>
      </c>
      <c r="G339" s="3">
        <f t="shared" si="42"/>
        <v>4.5879149052588032E-2</v>
      </c>
      <c r="H339" s="3">
        <f t="shared" si="43"/>
        <v>1.9006804259049899</v>
      </c>
      <c r="I339" s="3">
        <f t="shared" si="44"/>
        <v>65.525330158078077</v>
      </c>
    </row>
    <row r="340" spans="1:9" ht="15.75" customHeight="1">
      <c r="A340" s="14" t="s">
        <v>346</v>
      </c>
      <c r="B340">
        <v>5.65</v>
      </c>
      <c r="C340" s="3">
        <f t="shared" si="45"/>
        <v>0.33000000000000007</v>
      </c>
      <c r="D340" s="3">
        <f t="shared" si="40"/>
        <v>0.33000000000000007</v>
      </c>
      <c r="E340" s="3">
        <f t="shared" si="41"/>
        <v>0</v>
      </c>
      <c r="F340" s="3">
        <f t="shared" si="42"/>
        <v>0.10454434337847214</v>
      </c>
      <c r="G340" s="3">
        <f t="shared" si="42"/>
        <v>4.2602066977403173E-2</v>
      </c>
      <c r="H340" s="3">
        <f t="shared" si="43"/>
        <v>2.453973499312232</v>
      </c>
      <c r="I340" s="3">
        <f t="shared" si="44"/>
        <v>71.047838085638944</v>
      </c>
    </row>
    <row r="341" spans="1:9" ht="15.75" customHeight="1">
      <c r="A341" s="14" t="s">
        <v>347</v>
      </c>
      <c r="B341">
        <v>6.08</v>
      </c>
      <c r="C341" s="3">
        <f t="shared" si="45"/>
        <v>0.42999999999999972</v>
      </c>
      <c r="D341" s="3">
        <f t="shared" si="40"/>
        <v>0.42999999999999972</v>
      </c>
      <c r="E341" s="3">
        <f t="shared" si="41"/>
        <v>0</v>
      </c>
      <c r="F341" s="3">
        <f t="shared" si="42"/>
        <v>0.12779117599429554</v>
      </c>
      <c r="G341" s="3">
        <f t="shared" si="42"/>
        <v>3.9559062193302949E-2</v>
      </c>
      <c r="H341" s="3">
        <f t="shared" si="43"/>
        <v>3.2303894205037453</v>
      </c>
      <c r="I341" s="3">
        <f t="shared" si="44"/>
        <v>76.361514257925634</v>
      </c>
    </row>
    <row r="342" spans="1:9" ht="15.75" customHeight="1">
      <c r="A342" s="14" t="s">
        <v>348</v>
      </c>
      <c r="B342">
        <v>6.31</v>
      </c>
      <c r="C342" s="3">
        <f t="shared" si="45"/>
        <v>0.22999999999999954</v>
      </c>
      <c r="D342" s="3">
        <f t="shared" si="40"/>
        <v>0.22999999999999954</v>
      </c>
      <c r="E342" s="3">
        <f t="shared" si="41"/>
        <v>0</v>
      </c>
      <c r="F342" s="3">
        <f t="shared" si="42"/>
        <v>0.13509180628041725</v>
      </c>
      <c r="G342" s="3">
        <f t="shared" si="42"/>
        <v>3.6733414893781305E-2</v>
      </c>
      <c r="H342" s="3">
        <f t="shared" si="43"/>
        <v>3.6776272141060127</v>
      </c>
      <c r="I342" s="3">
        <f t="shared" si="44"/>
        <v>78.621639685514793</v>
      </c>
    </row>
    <row r="343" spans="1:9" ht="15.75" customHeight="1">
      <c r="A343" s="14" t="s">
        <v>349</v>
      </c>
      <c r="B343">
        <v>6.4</v>
      </c>
      <c r="C343" s="3">
        <f t="shared" si="45"/>
        <v>9.0000000000000746E-2</v>
      </c>
      <c r="D343" s="3">
        <f t="shared" si="40"/>
        <v>9.0000000000000746E-2</v>
      </c>
      <c r="E343" s="3">
        <f t="shared" si="41"/>
        <v>0</v>
      </c>
      <c r="F343" s="3">
        <f t="shared" si="42"/>
        <v>0.13187096297467321</v>
      </c>
      <c r="G343" s="3">
        <f t="shared" si="42"/>
        <v>3.4109599544225495E-2</v>
      </c>
      <c r="H343" s="3">
        <f t="shared" si="43"/>
        <v>3.8660953144200132</v>
      </c>
      <c r="I343" s="3">
        <f t="shared" si="44"/>
        <v>79.449642158947526</v>
      </c>
    </row>
    <row r="344" spans="1:9" ht="15.75" customHeight="1">
      <c r="A344" s="14" t="s">
        <v>350</v>
      </c>
      <c r="B344">
        <v>6.48</v>
      </c>
      <c r="C344" s="3">
        <f t="shared" si="45"/>
        <v>8.0000000000000071E-2</v>
      </c>
      <c r="D344" s="3">
        <f t="shared" si="40"/>
        <v>8.0000000000000071E-2</v>
      </c>
      <c r="E344" s="3">
        <f t="shared" si="41"/>
        <v>0</v>
      </c>
      <c r="F344" s="3">
        <f t="shared" si="42"/>
        <v>0.12816589419076799</v>
      </c>
      <c r="G344" s="3">
        <f t="shared" si="42"/>
        <v>3.1673199576780817E-2</v>
      </c>
      <c r="H344" s="3">
        <f t="shared" si="43"/>
        <v>4.0465092224129018</v>
      </c>
      <c r="I344" s="3">
        <f t="shared" si="44"/>
        <v>80.184322351800489</v>
      </c>
    </row>
    <row r="345" spans="1:9" ht="15.75" customHeight="1">
      <c r="A345" s="14" t="s">
        <v>351</v>
      </c>
      <c r="B345">
        <v>6.21</v>
      </c>
      <c r="C345" s="3">
        <f t="shared" si="45"/>
        <v>-0.27000000000000046</v>
      </c>
      <c r="D345" s="3">
        <f t="shared" si="40"/>
        <v>0</v>
      </c>
      <c r="E345" s="3">
        <f t="shared" si="41"/>
        <v>0.27000000000000046</v>
      </c>
      <c r="F345" s="3">
        <f t="shared" si="42"/>
        <v>0.11901118746285599</v>
      </c>
      <c r="G345" s="3">
        <f t="shared" si="42"/>
        <v>4.8696542464153655E-2</v>
      </c>
      <c r="H345" s="3">
        <f t="shared" si="43"/>
        <v>2.4439350606968069</v>
      </c>
      <c r="I345" s="3">
        <f t="shared" si="44"/>
        <v>70.963447847426266</v>
      </c>
    </row>
    <row r="346" spans="1:9" ht="15.75" customHeight="1">
      <c r="A346" s="14" t="s">
        <v>352</v>
      </c>
      <c r="B346">
        <v>6.07</v>
      </c>
      <c r="C346" s="3">
        <f t="shared" si="45"/>
        <v>-0.13999999999999968</v>
      </c>
      <c r="D346" s="3">
        <f t="shared" si="40"/>
        <v>0</v>
      </c>
      <c r="E346" s="3">
        <f t="shared" si="41"/>
        <v>0.13999999999999968</v>
      </c>
      <c r="F346" s="3">
        <f t="shared" si="42"/>
        <v>0.11051038835836627</v>
      </c>
      <c r="G346" s="3">
        <f t="shared" si="42"/>
        <v>5.5218218002428369E-2</v>
      </c>
      <c r="H346" s="3">
        <f t="shared" si="43"/>
        <v>2.0013392745399043</v>
      </c>
      <c r="I346" s="3">
        <f t="shared" si="44"/>
        <v>66.681540854680719</v>
      </c>
    </row>
    <row r="347" spans="1:9" ht="15.75" customHeight="1">
      <c r="A347" s="14" t="s">
        <v>353</v>
      </c>
      <c r="B347">
        <v>6.28</v>
      </c>
      <c r="C347" s="3">
        <f t="shared" si="45"/>
        <v>0.20999999999999996</v>
      </c>
      <c r="D347" s="3">
        <f t="shared" si="40"/>
        <v>0.20999999999999996</v>
      </c>
      <c r="E347" s="3">
        <f t="shared" si="41"/>
        <v>0</v>
      </c>
      <c r="F347" s="3">
        <f t="shared" si="42"/>
        <v>0.11761678918991154</v>
      </c>
      <c r="G347" s="3">
        <f t="shared" si="42"/>
        <v>5.1274059573683486E-2</v>
      </c>
      <c r="H347" s="3">
        <f t="shared" si="43"/>
        <v>2.2938848643511465</v>
      </c>
      <c r="I347" s="3">
        <f t="shared" si="44"/>
        <v>69.6407117679571</v>
      </c>
    </row>
    <row r="348" spans="1:9" ht="15.75" customHeight="1">
      <c r="A348" s="14" t="s">
        <v>354</v>
      </c>
      <c r="B348">
        <v>6.44</v>
      </c>
      <c r="C348" s="3">
        <f t="shared" si="45"/>
        <v>0.16000000000000014</v>
      </c>
      <c r="D348" s="3">
        <f t="shared" si="40"/>
        <v>0.16000000000000014</v>
      </c>
      <c r="E348" s="3">
        <f t="shared" si="41"/>
        <v>0</v>
      </c>
      <c r="F348" s="3">
        <f t="shared" si="42"/>
        <v>0.12064416139063217</v>
      </c>
      <c r="G348" s="3">
        <f t="shared" si="42"/>
        <v>4.7611626746991813E-2</v>
      </c>
      <c r="H348" s="3">
        <f t="shared" si="43"/>
        <v>2.5339222713757557</v>
      </c>
      <c r="I348" s="3">
        <f t="shared" si="44"/>
        <v>71.702829796233743</v>
      </c>
    </row>
    <row r="349" spans="1:9" ht="15.75" customHeight="1">
      <c r="A349" s="14" t="s">
        <v>355</v>
      </c>
      <c r="B349">
        <v>6.37</v>
      </c>
      <c r="C349" s="3">
        <f t="shared" si="45"/>
        <v>-7.0000000000000284E-2</v>
      </c>
      <c r="D349" s="3">
        <f t="shared" si="40"/>
        <v>0</v>
      </c>
      <c r="E349" s="3">
        <f t="shared" si="41"/>
        <v>7.0000000000000284E-2</v>
      </c>
      <c r="F349" s="3">
        <f t="shared" si="42"/>
        <v>0.1120267212913013</v>
      </c>
      <c r="G349" s="3">
        <f t="shared" si="42"/>
        <v>4.9210796265063847E-2</v>
      </c>
      <c r="H349" s="3">
        <f t="shared" si="43"/>
        <v>2.2764663405951078</v>
      </c>
      <c r="I349" s="3">
        <f t="shared" si="44"/>
        <v>69.479314113192785</v>
      </c>
    </row>
    <row r="350" spans="1:9" ht="15.75" customHeight="1">
      <c r="A350" s="14" t="s">
        <v>356</v>
      </c>
      <c r="B350">
        <v>6.34</v>
      </c>
      <c r="C350" s="3">
        <f t="shared" si="45"/>
        <v>-3.0000000000000249E-2</v>
      </c>
      <c r="D350" s="3">
        <f t="shared" si="40"/>
        <v>0</v>
      </c>
      <c r="E350" s="3">
        <f t="shared" si="41"/>
        <v>3.0000000000000249E-2</v>
      </c>
      <c r="F350" s="3">
        <f t="shared" si="42"/>
        <v>0.10402481262763692</v>
      </c>
      <c r="G350" s="3">
        <f t="shared" si="42"/>
        <v>4.7838596531845017E-2</v>
      </c>
      <c r="H350" s="3">
        <f t="shared" si="43"/>
        <v>2.1744954946240966</v>
      </c>
      <c r="I350" s="3">
        <f t="shared" si="44"/>
        <v>68.49893150916526</v>
      </c>
    </row>
    <row r="351" spans="1:9" ht="15.75" customHeight="1">
      <c r="A351" s="14" t="s">
        <v>357</v>
      </c>
      <c r="B351">
        <v>6.46</v>
      </c>
      <c r="C351" s="3">
        <f t="shared" si="45"/>
        <v>0.12000000000000011</v>
      </c>
      <c r="D351" s="3">
        <f t="shared" si="40"/>
        <v>0.12000000000000011</v>
      </c>
      <c r="E351" s="3">
        <f t="shared" si="41"/>
        <v>0</v>
      </c>
      <c r="F351" s="3">
        <f t="shared" si="42"/>
        <v>0.10516589743994857</v>
      </c>
      <c r="G351" s="3">
        <f t="shared" si="42"/>
        <v>4.4421553922427519E-2</v>
      </c>
      <c r="H351" s="3">
        <f t="shared" si="43"/>
        <v>2.367452017180617</v>
      </c>
      <c r="I351" s="3">
        <f t="shared" si="44"/>
        <v>70.303956971085654</v>
      </c>
    </row>
    <row r="352" spans="1:9" ht="15.75" customHeight="1">
      <c r="A352" s="14" t="s">
        <v>358</v>
      </c>
      <c r="B352">
        <v>6.02</v>
      </c>
      <c r="C352" s="3">
        <f t="shared" si="45"/>
        <v>-0.44000000000000039</v>
      </c>
      <c r="D352" s="3">
        <f t="shared" si="40"/>
        <v>0</v>
      </c>
      <c r="E352" s="3">
        <f t="shared" si="41"/>
        <v>0.44000000000000039</v>
      </c>
      <c r="F352" s="3">
        <f t="shared" si="42"/>
        <v>9.7654047622809381E-2</v>
      </c>
      <c r="G352" s="3">
        <f t="shared" si="42"/>
        <v>7.2677157213682717E-2</v>
      </c>
      <c r="H352" s="3">
        <f t="shared" si="43"/>
        <v>1.3436690614588918</v>
      </c>
      <c r="I352" s="3">
        <f t="shared" si="44"/>
        <v>57.331859841273065</v>
      </c>
    </row>
    <row r="353" spans="1:9" ht="15.75" customHeight="1">
      <c r="A353" s="14">
        <v>1</v>
      </c>
      <c r="B353">
        <v>6.1</v>
      </c>
      <c r="C353" s="3">
        <f t="shared" si="45"/>
        <v>8.0000000000000071E-2</v>
      </c>
      <c r="D353" s="3">
        <f t="shared" si="40"/>
        <v>8.0000000000000071E-2</v>
      </c>
      <c r="E353" s="3">
        <f t="shared" si="41"/>
        <v>0</v>
      </c>
      <c r="F353" s="3">
        <f t="shared" si="42"/>
        <v>9.6393044221180141E-2</v>
      </c>
      <c r="G353" s="3">
        <f t="shared" si="42"/>
        <v>6.7485931698419668E-2</v>
      </c>
      <c r="H353" s="3">
        <f t="shared" si="43"/>
        <v>1.4283427937535222</v>
      </c>
      <c r="I353" s="3">
        <f t="shared" si="44"/>
        <v>58.819652539488196</v>
      </c>
    </row>
    <row r="354" spans="1:9" ht="15.75" customHeight="1">
      <c r="A354" s="14">
        <v>32</v>
      </c>
      <c r="B354">
        <v>6.21</v>
      </c>
      <c r="C354" s="3">
        <f t="shared" si="45"/>
        <v>0.11000000000000032</v>
      </c>
      <c r="D354" s="3">
        <f t="shared" si="40"/>
        <v>0.11000000000000032</v>
      </c>
      <c r="E354" s="3">
        <f t="shared" si="41"/>
        <v>0</v>
      </c>
      <c r="F354" s="3">
        <f t="shared" si="42"/>
        <v>9.7364969633953011E-2</v>
      </c>
      <c r="G354" s="3">
        <f t="shared" si="42"/>
        <v>6.2665508005675413E-2</v>
      </c>
      <c r="H354" s="3">
        <f t="shared" si="43"/>
        <v>1.5537250511898024</v>
      </c>
      <c r="I354" s="3">
        <f t="shared" si="44"/>
        <v>60.841516609860122</v>
      </c>
    </row>
    <row r="355" spans="1:9" ht="15.75" customHeight="1">
      <c r="A355" s="14">
        <v>61</v>
      </c>
      <c r="B355">
        <v>6.26</v>
      </c>
      <c r="C355" s="3">
        <f t="shared" si="45"/>
        <v>4.9999999999999822E-2</v>
      </c>
      <c r="D355" s="3">
        <f t="shared" si="40"/>
        <v>4.9999999999999822E-2</v>
      </c>
      <c r="E355" s="3">
        <f t="shared" si="41"/>
        <v>0</v>
      </c>
      <c r="F355" s="3">
        <f t="shared" si="42"/>
        <v>9.3981757517242068E-2</v>
      </c>
      <c r="G355" s="3">
        <f t="shared" si="42"/>
        <v>5.8189400290984308E-2</v>
      </c>
      <c r="H355" s="3">
        <f t="shared" si="43"/>
        <v>1.6151009814033661</v>
      </c>
      <c r="I355" s="3">
        <f t="shared" si="44"/>
        <v>61.760558880469667</v>
      </c>
    </row>
    <row r="356" spans="1:9" ht="15.75" customHeight="1">
      <c r="A356" s="14">
        <v>92</v>
      </c>
      <c r="B356">
        <v>6.34</v>
      </c>
      <c r="C356" s="3">
        <f t="shared" si="45"/>
        <v>8.0000000000000071E-2</v>
      </c>
      <c r="D356" s="3">
        <f t="shared" si="40"/>
        <v>8.0000000000000071E-2</v>
      </c>
      <c r="E356" s="3">
        <f t="shared" si="41"/>
        <v>0</v>
      </c>
      <c r="F356" s="3">
        <f t="shared" si="42"/>
        <v>9.2983060551724783E-2</v>
      </c>
      <c r="G356" s="3">
        <f t="shared" si="42"/>
        <v>5.4033014555914007E-2</v>
      </c>
      <c r="H356" s="3">
        <f t="shared" si="43"/>
        <v>1.7208564303867371</v>
      </c>
      <c r="I356" s="3">
        <f t="shared" si="44"/>
        <v>63.246866360462029</v>
      </c>
    </row>
    <row r="357" spans="1:9" ht="15.75" customHeight="1">
      <c r="A357" s="14">
        <v>122</v>
      </c>
      <c r="B357">
        <v>6.04</v>
      </c>
      <c r="C357" s="3">
        <f t="shared" si="45"/>
        <v>-0.29999999999999982</v>
      </c>
      <c r="D357" s="3">
        <f t="shared" si="40"/>
        <v>0</v>
      </c>
      <c r="E357" s="3">
        <f t="shared" si="41"/>
        <v>0.29999999999999982</v>
      </c>
      <c r="F357" s="3">
        <f t="shared" si="42"/>
        <v>8.6341413369458733E-2</v>
      </c>
      <c r="G357" s="3">
        <f t="shared" si="42"/>
        <v>7.1602084944777281E-2</v>
      </c>
      <c r="H357" s="3">
        <f t="shared" si="43"/>
        <v>1.2058505480119619</v>
      </c>
      <c r="I357" s="3">
        <f t="shared" si="44"/>
        <v>54.666013030608219</v>
      </c>
    </row>
    <row r="358" spans="1:9" ht="15.75" customHeight="1">
      <c r="A358" s="14">
        <v>153</v>
      </c>
      <c r="B358">
        <v>5.86</v>
      </c>
      <c r="C358" s="3">
        <f t="shared" si="45"/>
        <v>-0.17999999999999972</v>
      </c>
      <c r="D358" s="3">
        <f t="shared" ref="D358:D421" si="46">IF(C358&gt;0,C358,0)</f>
        <v>0</v>
      </c>
      <c r="E358" s="3">
        <f t="shared" ref="E358:E421" si="47">IF(C358&lt;0,-C358,0)</f>
        <v>0.17999999999999972</v>
      </c>
      <c r="F358" s="3">
        <f t="shared" ref="F358:G421" si="48">((F357*13)+D358)/14</f>
        <v>8.0174169557354541E-2</v>
      </c>
      <c r="G358" s="3">
        <f t="shared" si="48"/>
        <v>7.9344793163007452E-2</v>
      </c>
      <c r="H358" s="3">
        <f t="shared" ref="H358:H421" si="49">F358/G358</f>
        <v>1.010452814372371</v>
      </c>
      <c r="I358" s="3">
        <f t="shared" ref="I358:I421" si="50">IF(G358=0,100,100-(100/(1+H358)))</f>
        <v>50.259961693645479</v>
      </c>
    </row>
    <row r="359" spans="1:9" ht="15.75" customHeight="1">
      <c r="A359" s="14">
        <v>183</v>
      </c>
      <c r="B359">
        <v>5.86</v>
      </c>
      <c r="C359" s="3">
        <f t="shared" si="45"/>
        <v>0</v>
      </c>
      <c r="D359" s="3">
        <f t="shared" si="46"/>
        <v>0</v>
      </c>
      <c r="E359" s="3">
        <f t="shared" si="47"/>
        <v>0</v>
      </c>
      <c r="F359" s="3">
        <f t="shared" si="48"/>
        <v>7.4447443160400639E-2</v>
      </c>
      <c r="G359" s="3">
        <f t="shared" si="48"/>
        <v>7.3677307937078357E-2</v>
      </c>
      <c r="H359" s="3">
        <f t="shared" si="49"/>
        <v>1.0104528143723708</v>
      </c>
      <c r="I359" s="3">
        <f t="shared" si="50"/>
        <v>50.259961693645465</v>
      </c>
    </row>
    <row r="360" spans="1:9" ht="15.75" customHeight="1">
      <c r="A360" s="14">
        <v>214</v>
      </c>
      <c r="B360">
        <v>5.94</v>
      </c>
      <c r="C360" s="3">
        <f t="shared" si="45"/>
        <v>8.0000000000000071E-2</v>
      </c>
      <c r="D360" s="3">
        <f t="shared" si="46"/>
        <v>8.0000000000000071E-2</v>
      </c>
      <c r="E360" s="3">
        <f t="shared" si="47"/>
        <v>0</v>
      </c>
      <c r="F360" s="3">
        <f t="shared" si="48"/>
        <v>7.4844054363229162E-2</v>
      </c>
      <c r="G360" s="3">
        <f t="shared" si="48"/>
        <v>6.8414643084429905E-2</v>
      </c>
      <c r="H360" s="3">
        <f t="shared" si="49"/>
        <v>1.0939771222787025</v>
      </c>
      <c r="I360" s="3">
        <f t="shared" si="50"/>
        <v>52.243986366394367</v>
      </c>
    </row>
    <row r="361" spans="1:9" ht="15.75" customHeight="1">
      <c r="A361" s="14">
        <v>245</v>
      </c>
      <c r="B361">
        <v>5.8</v>
      </c>
      <c r="C361" s="3">
        <f t="shared" si="45"/>
        <v>-0.14000000000000057</v>
      </c>
      <c r="D361" s="3">
        <f t="shared" si="46"/>
        <v>0</v>
      </c>
      <c r="E361" s="3">
        <f t="shared" si="47"/>
        <v>0.14000000000000057</v>
      </c>
      <c r="F361" s="3">
        <f t="shared" si="48"/>
        <v>6.9498050480141363E-2</v>
      </c>
      <c r="G361" s="3">
        <f t="shared" si="48"/>
        <v>7.352788286411352E-2</v>
      </c>
      <c r="H361" s="3">
        <f t="shared" si="49"/>
        <v>0.94519313997630439</v>
      </c>
      <c r="I361" s="3">
        <f t="shared" si="50"/>
        <v>48.591223182486573</v>
      </c>
    </row>
    <row r="362" spans="1:9" ht="15.75" customHeight="1">
      <c r="A362" s="14">
        <v>275</v>
      </c>
      <c r="B362">
        <v>6.01</v>
      </c>
      <c r="C362" s="3">
        <f t="shared" si="45"/>
        <v>0.20999999999999996</v>
      </c>
      <c r="D362" s="3">
        <f t="shared" si="46"/>
        <v>0.20999999999999996</v>
      </c>
      <c r="E362" s="3">
        <f t="shared" si="47"/>
        <v>0</v>
      </c>
      <c r="F362" s="3">
        <f t="shared" si="48"/>
        <v>7.9533904017274129E-2</v>
      </c>
      <c r="G362" s="3">
        <f t="shared" si="48"/>
        <v>6.8275891230962546E-2</v>
      </c>
      <c r="H362" s="3">
        <f t="shared" si="49"/>
        <v>1.1648900158363098</v>
      </c>
      <c r="I362" s="3">
        <f t="shared" si="50"/>
        <v>53.808276970888329</v>
      </c>
    </row>
    <row r="363" spans="1:9" ht="15.75" customHeight="1">
      <c r="A363" s="14">
        <v>306</v>
      </c>
      <c r="B363">
        <v>6.48</v>
      </c>
      <c r="C363" s="3">
        <f t="shared" ref="C363:C426" si="51">B363-B362</f>
        <v>0.47000000000000064</v>
      </c>
      <c r="D363" s="3">
        <f t="shared" si="46"/>
        <v>0.47000000000000064</v>
      </c>
      <c r="E363" s="3">
        <f t="shared" si="47"/>
        <v>0</v>
      </c>
      <c r="F363" s="3">
        <f t="shared" si="48"/>
        <v>0.10742433944461173</v>
      </c>
      <c r="G363" s="3">
        <f t="shared" si="48"/>
        <v>6.3399041857322355E-2</v>
      </c>
      <c r="H363" s="3">
        <f t="shared" si="49"/>
        <v>1.6944158191911951</v>
      </c>
      <c r="I363" s="3">
        <f t="shared" si="50"/>
        <v>62.886203648396844</v>
      </c>
    </row>
    <row r="364" spans="1:9" ht="15.75" customHeight="1">
      <c r="A364" s="14">
        <v>336</v>
      </c>
      <c r="B364">
        <v>6.87</v>
      </c>
      <c r="C364" s="3">
        <f t="shared" si="51"/>
        <v>0.38999999999999968</v>
      </c>
      <c r="D364" s="3">
        <f t="shared" si="46"/>
        <v>0.38999999999999968</v>
      </c>
      <c r="E364" s="3">
        <f t="shared" si="47"/>
        <v>0</v>
      </c>
      <c r="F364" s="3">
        <f t="shared" si="48"/>
        <v>0.12760831519856802</v>
      </c>
      <c r="G364" s="3">
        <f t="shared" si="48"/>
        <v>5.887053886751361E-2</v>
      </c>
      <c r="H364" s="3">
        <f t="shared" si="49"/>
        <v>2.1676090902742833</v>
      </c>
      <c r="I364" s="3">
        <f t="shared" si="50"/>
        <v>68.430447965616551</v>
      </c>
    </row>
    <row r="365" spans="1:9" ht="15.75" customHeight="1">
      <c r="A365" s="14">
        <v>367</v>
      </c>
      <c r="B365">
        <v>7.07</v>
      </c>
      <c r="C365" s="3">
        <f t="shared" si="51"/>
        <v>0.20000000000000018</v>
      </c>
      <c r="D365" s="3">
        <f t="shared" si="46"/>
        <v>0.20000000000000018</v>
      </c>
      <c r="E365" s="3">
        <f t="shared" si="47"/>
        <v>0</v>
      </c>
      <c r="F365" s="3">
        <f t="shared" si="48"/>
        <v>0.13277914982724176</v>
      </c>
      <c r="G365" s="3">
        <f t="shared" si="48"/>
        <v>5.4665500376976921E-2</v>
      </c>
      <c r="H365" s="3">
        <f t="shared" si="49"/>
        <v>2.4289387074404867</v>
      </c>
      <c r="I365" s="3">
        <f t="shared" si="50"/>
        <v>70.836457419606518</v>
      </c>
    </row>
    <row r="366" spans="1:9" ht="15.75" customHeight="1">
      <c r="A366" s="14">
        <v>398</v>
      </c>
      <c r="B366">
        <v>7.25</v>
      </c>
      <c r="C366" s="3">
        <f t="shared" si="51"/>
        <v>0.17999999999999972</v>
      </c>
      <c r="D366" s="3">
        <f t="shared" si="46"/>
        <v>0.17999999999999972</v>
      </c>
      <c r="E366" s="3">
        <f t="shared" si="47"/>
        <v>0</v>
      </c>
      <c r="F366" s="3">
        <f t="shared" si="48"/>
        <v>0.13615206769672447</v>
      </c>
      <c r="G366" s="3">
        <f t="shared" si="48"/>
        <v>5.0760821778621422E-2</v>
      </c>
      <c r="H366" s="3">
        <f t="shared" si="49"/>
        <v>2.6822274133092674</v>
      </c>
      <c r="I366" s="3">
        <f t="shared" si="50"/>
        <v>72.842524707041747</v>
      </c>
    </row>
    <row r="367" spans="1:9" ht="15.75" customHeight="1">
      <c r="A367" s="14">
        <v>426</v>
      </c>
      <c r="B367">
        <v>7.51</v>
      </c>
      <c r="C367" s="3">
        <f t="shared" si="51"/>
        <v>0.25999999999999979</v>
      </c>
      <c r="D367" s="3">
        <f t="shared" si="46"/>
        <v>0.25999999999999979</v>
      </c>
      <c r="E367" s="3">
        <f t="shared" si="47"/>
        <v>0</v>
      </c>
      <c r="F367" s="3">
        <f t="shared" si="48"/>
        <v>0.14499834857552982</v>
      </c>
      <c r="G367" s="3">
        <f t="shared" si="48"/>
        <v>4.7135048794434177E-2</v>
      </c>
      <c r="H367" s="3">
        <f t="shared" si="49"/>
        <v>3.0762320668829259</v>
      </c>
      <c r="I367" s="3">
        <f t="shared" si="50"/>
        <v>75.467540032265759</v>
      </c>
    </row>
    <row r="368" spans="1:9" ht="15.75" customHeight="1">
      <c r="A368" s="14">
        <v>457</v>
      </c>
      <c r="B368">
        <v>8.14</v>
      </c>
      <c r="C368" s="3">
        <f t="shared" si="51"/>
        <v>0.63000000000000078</v>
      </c>
      <c r="D368" s="3">
        <f t="shared" si="46"/>
        <v>0.63000000000000078</v>
      </c>
      <c r="E368" s="3">
        <f t="shared" si="47"/>
        <v>0</v>
      </c>
      <c r="F368" s="3">
        <f t="shared" si="48"/>
        <v>0.17964132367727775</v>
      </c>
      <c r="G368" s="3">
        <f t="shared" si="48"/>
        <v>4.3768259594831736E-2</v>
      </c>
      <c r="H368" s="3">
        <f t="shared" si="49"/>
        <v>4.1043743877467369</v>
      </c>
      <c r="I368" s="3">
        <f t="shared" si="50"/>
        <v>80.408960549591711</v>
      </c>
    </row>
    <row r="369" spans="1:9" ht="15.75" customHeight="1">
      <c r="A369" s="14">
        <v>487</v>
      </c>
      <c r="B369">
        <v>7.73</v>
      </c>
      <c r="C369" s="3">
        <f t="shared" si="51"/>
        <v>-0.41000000000000014</v>
      </c>
      <c r="D369" s="3">
        <f t="shared" si="46"/>
        <v>0</v>
      </c>
      <c r="E369" s="3">
        <f t="shared" si="47"/>
        <v>0.41000000000000014</v>
      </c>
      <c r="F369" s="3">
        <f t="shared" si="48"/>
        <v>0.16680980055747222</v>
      </c>
      <c r="G369" s="3">
        <f t="shared" si="48"/>
        <v>6.9927669623772337E-2</v>
      </c>
      <c r="H369" s="3">
        <f t="shared" si="49"/>
        <v>2.3854620274770921</v>
      </c>
      <c r="I369" s="3">
        <f t="shared" si="50"/>
        <v>70.461934238700707</v>
      </c>
    </row>
    <row r="370" spans="1:9" ht="15.75" customHeight="1">
      <c r="A370" s="14">
        <v>518</v>
      </c>
      <c r="B370">
        <v>8.5</v>
      </c>
      <c r="C370" s="3">
        <f t="shared" si="51"/>
        <v>0.76999999999999957</v>
      </c>
      <c r="D370" s="3">
        <f t="shared" si="46"/>
        <v>0.76999999999999957</v>
      </c>
      <c r="E370" s="3">
        <f t="shared" si="47"/>
        <v>0</v>
      </c>
      <c r="F370" s="3">
        <f t="shared" si="48"/>
        <v>0.20989481480336702</v>
      </c>
      <c r="G370" s="3">
        <f t="shared" si="48"/>
        <v>6.4932836079217168E-2</v>
      </c>
      <c r="H370" s="3">
        <f t="shared" si="49"/>
        <v>3.2324911012249369</v>
      </c>
      <c r="I370" s="3">
        <f t="shared" si="50"/>
        <v>76.373252156145412</v>
      </c>
    </row>
    <row r="371" spans="1:9" ht="15.75" customHeight="1">
      <c r="A371" s="14">
        <v>548</v>
      </c>
      <c r="B371">
        <v>7.93</v>
      </c>
      <c r="C371" s="3">
        <f t="shared" si="51"/>
        <v>-0.57000000000000028</v>
      </c>
      <c r="D371" s="3">
        <f t="shared" si="46"/>
        <v>0</v>
      </c>
      <c r="E371" s="3">
        <f t="shared" si="47"/>
        <v>0.57000000000000028</v>
      </c>
      <c r="F371" s="3">
        <f t="shared" si="48"/>
        <v>0.19490232803169796</v>
      </c>
      <c r="G371" s="3">
        <f t="shared" si="48"/>
        <v>0.10100906207355882</v>
      </c>
      <c r="H371" s="3">
        <f t="shared" si="49"/>
        <v>1.9295528938756239</v>
      </c>
      <c r="I371" s="3">
        <f t="shared" si="50"/>
        <v>65.865098319591709</v>
      </c>
    </row>
    <row r="372" spans="1:9" ht="15.75" customHeight="1">
      <c r="A372" s="14">
        <v>579</v>
      </c>
      <c r="B372">
        <v>8.0399999999999991</v>
      </c>
      <c r="C372" s="3">
        <f t="shared" si="51"/>
        <v>0.10999999999999943</v>
      </c>
      <c r="D372" s="3">
        <f t="shared" si="46"/>
        <v>0.10999999999999943</v>
      </c>
      <c r="E372" s="3">
        <f t="shared" si="47"/>
        <v>0</v>
      </c>
      <c r="F372" s="3">
        <f t="shared" si="48"/>
        <v>0.18883787602943378</v>
      </c>
      <c r="G372" s="3">
        <f t="shared" si="48"/>
        <v>9.379412906830463E-2</v>
      </c>
      <c r="H372" s="3">
        <f t="shared" si="49"/>
        <v>2.0133229862597743</v>
      </c>
      <c r="I372" s="3">
        <f t="shared" si="50"/>
        <v>66.814045339320586</v>
      </c>
    </row>
    <row r="373" spans="1:9" ht="15.75" customHeight="1">
      <c r="A373" s="14">
        <v>610</v>
      </c>
      <c r="B373">
        <v>8</v>
      </c>
      <c r="C373" s="3">
        <f t="shared" si="51"/>
        <v>-3.9999999999999147E-2</v>
      </c>
      <c r="D373" s="3">
        <f t="shared" si="46"/>
        <v>0</v>
      </c>
      <c r="E373" s="3">
        <f t="shared" si="47"/>
        <v>3.9999999999999147E-2</v>
      </c>
      <c r="F373" s="3">
        <f t="shared" si="48"/>
        <v>0.17534945631304563</v>
      </c>
      <c r="G373" s="3">
        <f t="shared" si="48"/>
        <v>8.9951691277711382E-2</v>
      </c>
      <c r="H373" s="3">
        <f t="shared" si="49"/>
        <v>1.9493736451456192</v>
      </c>
      <c r="I373" s="3">
        <f t="shared" si="50"/>
        <v>66.09449597388577</v>
      </c>
    </row>
    <row r="374" spans="1:9" ht="15.75" customHeight="1">
      <c r="A374" s="14">
        <v>640</v>
      </c>
      <c r="B374">
        <v>7.91</v>
      </c>
      <c r="C374" s="3">
        <f t="shared" si="51"/>
        <v>-8.9999999999999858E-2</v>
      </c>
      <c r="D374" s="3">
        <f t="shared" si="46"/>
        <v>0</v>
      </c>
      <c r="E374" s="3">
        <f t="shared" si="47"/>
        <v>8.9999999999999858E-2</v>
      </c>
      <c r="F374" s="3">
        <f t="shared" si="48"/>
        <v>0.1628244951478281</v>
      </c>
      <c r="G374" s="3">
        <f t="shared" si="48"/>
        <v>8.9955141900731977E-2</v>
      </c>
      <c r="H374" s="3">
        <f t="shared" si="49"/>
        <v>1.8100632349344687</v>
      </c>
      <c r="I374" s="3">
        <f t="shared" si="50"/>
        <v>64.413612207437737</v>
      </c>
    </row>
    <row r="375" spans="1:9" ht="15.75" customHeight="1">
      <c r="A375" s="14">
        <v>671</v>
      </c>
      <c r="B375">
        <v>8.08</v>
      </c>
      <c r="C375" s="3">
        <f t="shared" si="51"/>
        <v>0.16999999999999993</v>
      </c>
      <c r="D375" s="3">
        <f t="shared" si="46"/>
        <v>0.16999999999999993</v>
      </c>
      <c r="E375" s="3">
        <f t="shared" si="47"/>
        <v>0</v>
      </c>
      <c r="F375" s="3">
        <f t="shared" si="48"/>
        <v>0.1633370312086975</v>
      </c>
      <c r="G375" s="3">
        <f t="shared" si="48"/>
        <v>8.3529774622108269E-2</v>
      </c>
      <c r="H375" s="3">
        <f t="shared" si="49"/>
        <v>1.9554348368308205</v>
      </c>
      <c r="I375" s="3">
        <f t="shared" si="50"/>
        <v>66.164031514485274</v>
      </c>
    </row>
    <row r="376" spans="1:9" ht="15.75" customHeight="1">
      <c r="A376" s="14">
        <v>701</v>
      </c>
      <c r="B376">
        <v>7.95</v>
      </c>
      <c r="C376" s="3">
        <f t="shared" si="51"/>
        <v>-0.12999999999999989</v>
      </c>
      <c r="D376" s="3">
        <f t="shared" si="46"/>
        <v>0</v>
      </c>
      <c r="E376" s="3">
        <f t="shared" si="47"/>
        <v>0.12999999999999989</v>
      </c>
      <c r="F376" s="3">
        <f t="shared" si="48"/>
        <v>0.15167010040807624</v>
      </c>
      <c r="G376" s="3">
        <f t="shared" si="48"/>
        <v>8.6849076434814806E-2</v>
      </c>
      <c r="H376" s="3">
        <f t="shared" si="49"/>
        <v>1.746363998722696</v>
      </c>
      <c r="I376" s="3">
        <f t="shared" si="50"/>
        <v>63.588220626796414</v>
      </c>
    </row>
    <row r="377" spans="1:9" ht="15.75" customHeight="1">
      <c r="A377" s="14">
        <v>732</v>
      </c>
      <c r="B377">
        <v>8.1199999999999992</v>
      </c>
      <c r="C377" s="3">
        <f t="shared" si="51"/>
        <v>0.16999999999999904</v>
      </c>
      <c r="D377" s="3">
        <f t="shared" si="46"/>
        <v>0.16999999999999904</v>
      </c>
      <c r="E377" s="3">
        <f t="shared" si="47"/>
        <v>0</v>
      </c>
      <c r="F377" s="3">
        <f t="shared" si="48"/>
        <v>0.15297937895035643</v>
      </c>
      <c r="G377" s="3">
        <f t="shared" si="48"/>
        <v>8.0645570975185182E-2</v>
      </c>
      <c r="H377" s="3">
        <f t="shared" si="49"/>
        <v>1.8969346623812549</v>
      </c>
      <c r="I377" s="3">
        <f t="shared" si="50"/>
        <v>65.480754088598985</v>
      </c>
    </row>
    <row r="378" spans="1:9" ht="15.75" customHeight="1">
      <c r="A378" s="14">
        <v>763</v>
      </c>
      <c r="B378">
        <v>8.19</v>
      </c>
      <c r="C378" s="3">
        <f t="shared" si="51"/>
        <v>7.0000000000000284E-2</v>
      </c>
      <c r="D378" s="3">
        <f t="shared" si="46"/>
        <v>7.0000000000000284E-2</v>
      </c>
      <c r="E378" s="3">
        <f t="shared" si="47"/>
        <v>0</v>
      </c>
      <c r="F378" s="3">
        <f t="shared" si="48"/>
        <v>0.14705228045390242</v>
      </c>
      <c r="G378" s="3">
        <f t="shared" si="48"/>
        <v>7.4885173048386239E-2</v>
      </c>
      <c r="H378" s="3">
        <f t="shared" si="49"/>
        <v>1.9637035539583543</v>
      </c>
      <c r="I378" s="3">
        <f t="shared" si="50"/>
        <v>66.258433686311534</v>
      </c>
    </row>
    <row r="379" spans="1:9" ht="15.75" customHeight="1">
      <c r="A379" s="14">
        <v>791</v>
      </c>
      <c r="B379">
        <v>8.1999999999999993</v>
      </c>
      <c r="C379" s="3">
        <f t="shared" si="51"/>
        <v>9.9999999999997868E-3</v>
      </c>
      <c r="D379" s="3">
        <f t="shared" si="46"/>
        <v>9.9999999999997868E-3</v>
      </c>
      <c r="E379" s="3">
        <f t="shared" si="47"/>
        <v>0</v>
      </c>
      <c r="F379" s="3">
        <f t="shared" si="48"/>
        <v>0.13726283185005222</v>
      </c>
      <c r="G379" s="3">
        <f t="shared" si="48"/>
        <v>6.9536232116358648E-2</v>
      </c>
      <c r="H379" s="3">
        <f t="shared" si="49"/>
        <v>1.9739756911240616</v>
      </c>
      <c r="I379" s="3">
        <f t="shared" si="50"/>
        <v>66.374977341457878</v>
      </c>
    </row>
    <row r="380" spans="1:9" ht="15.75" customHeight="1">
      <c r="A380" s="14">
        <v>822</v>
      </c>
      <c r="B380">
        <v>8.48</v>
      </c>
      <c r="C380" s="3">
        <f t="shared" si="51"/>
        <v>0.28000000000000114</v>
      </c>
      <c r="D380" s="3">
        <f t="shared" si="46"/>
        <v>0.28000000000000114</v>
      </c>
      <c r="E380" s="3">
        <f t="shared" si="47"/>
        <v>0</v>
      </c>
      <c r="F380" s="3">
        <f t="shared" si="48"/>
        <v>0.14745834386076284</v>
      </c>
      <c r="G380" s="3">
        <f t="shared" si="48"/>
        <v>6.45693583937616E-2</v>
      </c>
      <c r="H380" s="3">
        <f t="shared" si="49"/>
        <v>2.2837201348900131</v>
      </c>
      <c r="I380" s="3">
        <f t="shared" si="50"/>
        <v>69.546734833615943</v>
      </c>
    </row>
    <row r="381" spans="1:9" ht="15.75" customHeight="1">
      <c r="A381" s="14">
        <v>852</v>
      </c>
      <c r="B381">
        <v>8.4600000000000009</v>
      </c>
      <c r="C381" s="3">
        <f t="shared" si="51"/>
        <v>-1.9999999999999574E-2</v>
      </c>
      <c r="D381" s="3">
        <f t="shared" si="46"/>
        <v>0</v>
      </c>
      <c r="E381" s="3">
        <f t="shared" si="47"/>
        <v>1.9999999999999574E-2</v>
      </c>
      <c r="F381" s="3">
        <f t="shared" si="48"/>
        <v>0.13692560501356549</v>
      </c>
      <c r="G381" s="3">
        <f t="shared" si="48"/>
        <v>6.1385832794207174E-2</v>
      </c>
      <c r="H381" s="3">
        <f t="shared" si="49"/>
        <v>2.2305733877163725</v>
      </c>
      <c r="I381" s="3">
        <f t="shared" si="50"/>
        <v>69.045742659730138</v>
      </c>
    </row>
    <row r="382" spans="1:9" ht="15.75" customHeight="1">
      <c r="A382" s="14">
        <v>883</v>
      </c>
      <c r="B382">
        <v>8.41</v>
      </c>
      <c r="C382" s="3">
        <f t="shared" si="51"/>
        <v>-5.0000000000000711E-2</v>
      </c>
      <c r="D382" s="3">
        <f t="shared" si="46"/>
        <v>0</v>
      </c>
      <c r="E382" s="3">
        <f t="shared" si="47"/>
        <v>5.0000000000000711E-2</v>
      </c>
      <c r="F382" s="3">
        <f t="shared" si="48"/>
        <v>0.12714520465545368</v>
      </c>
      <c r="G382" s="3">
        <f t="shared" si="48"/>
        <v>6.0572559023192425E-2</v>
      </c>
      <c r="H382" s="3">
        <f t="shared" si="49"/>
        <v>2.0990561849429454</v>
      </c>
      <c r="I382" s="3">
        <f t="shared" si="50"/>
        <v>67.732111316387432</v>
      </c>
    </row>
    <row r="383" spans="1:9" ht="15.75" customHeight="1">
      <c r="A383" s="14">
        <v>913</v>
      </c>
      <c r="B383">
        <v>8.6</v>
      </c>
      <c r="C383" s="3">
        <f t="shared" si="51"/>
        <v>0.1899999999999995</v>
      </c>
      <c r="D383" s="3">
        <f t="shared" si="46"/>
        <v>0.1899999999999995</v>
      </c>
      <c r="E383" s="3">
        <f t="shared" si="47"/>
        <v>0</v>
      </c>
      <c r="F383" s="3">
        <f t="shared" si="48"/>
        <v>0.1316348328943498</v>
      </c>
      <c r="G383" s="3">
        <f t="shared" si="48"/>
        <v>5.6245947664392962E-2</v>
      </c>
      <c r="H383" s="3">
        <f t="shared" si="49"/>
        <v>2.3403434089116164</v>
      </c>
      <c r="I383" s="3">
        <f t="shared" si="50"/>
        <v>70.062958277519442</v>
      </c>
    </row>
    <row r="384" spans="1:9" ht="15.75" customHeight="1">
      <c r="A384" s="14">
        <v>944</v>
      </c>
      <c r="B384">
        <v>8.83</v>
      </c>
      <c r="C384" s="3">
        <f t="shared" si="51"/>
        <v>0.23000000000000043</v>
      </c>
      <c r="D384" s="3">
        <f t="shared" si="46"/>
        <v>0.23000000000000043</v>
      </c>
      <c r="E384" s="3">
        <f t="shared" si="47"/>
        <v>0</v>
      </c>
      <c r="F384" s="3">
        <f t="shared" si="48"/>
        <v>0.13866091625903912</v>
      </c>
      <c r="G384" s="3">
        <f t="shared" si="48"/>
        <v>5.2228379974079184E-2</v>
      </c>
      <c r="H384" s="3">
        <f t="shared" si="49"/>
        <v>2.65489598428778</v>
      </c>
      <c r="I384" s="3">
        <f t="shared" si="50"/>
        <v>72.63944023854711</v>
      </c>
    </row>
    <row r="385" spans="1:9" ht="15.75" customHeight="1">
      <c r="A385" s="14">
        <v>975</v>
      </c>
      <c r="B385">
        <v>8.85</v>
      </c>
      <c r="C385" s="3">
        <f t="shared" si="51"/>
        <v>1.9999999999999574E-2</v>
      </c>
      <c r="D385" s="3">
        <f t="shared" si="46"/>
        <v>1.9999999999999574E-2</v>
      </c>
      <c r="E385" s="3">
        <f t="shared" si="47"/>
        <v>0</v>
      </c>
      <c r="F385" s="3">
        <f t="shared" si="48"/>
        <v>0.13018513652625058</v>
      </c>
      <c r="G385" s="3">
        <f t="shared" si="48"/>
        <v>4.8497781404502102E-2</v>
      </c>
      <c r="H385" s="3">
        <f t="shared" si="49"/>
        <v>2.6843524127510987</v>
      </c>
      <c r="I385" s="3">
        <f t="shared" si="50"/>
        <v>72.858188143481584</v>
      </c>
    </row>
    <row r="386" spans="1:9" ht="15.75" customHeight="1">
      <c r="A386" s="14">
        <v>1005</v>
      </c>
      <c r="B386">
        <v>8.57</v>
      </c>
      <c r="C386" s="3">
        <f t="shared" si="51"/>
        <v>-0.27999999999999936</v>
      </c>
      <c r="D386" s="3">
        <f t="shared" si="46"/>
        <v>0</v>
      </c>
      <c r="E386" s="3">
        <f t="shared" si="47"/>
        <v>0.27999999999999936</v>
      </c>
      <c r="F386" s="3">
        <f t="shared" si="48"/>
        <v>0.12088619820294697</v>
      </c>
      <c r="G386" s="3">
        <f t="shared" si="48"/>
        <v>6.5033654161323326E-2</v>
      </c>
      <c r="H386" s="3">
        <f t="shared" si="49"/>
        <v>1.8588252461267991</v>
      </c>
      <c r="I386" s="3">
        <f t="shared" si="50"/>
        <v>65.020597136714713</v>
      </c>
    </row>
    <row r="387" spans="1:9" ht="15.75" customHeight="1">
      <c r="A387" s="14">
        <v>1036</v>
      </c>
      <c r="B387">
        <v>8.24</v>
      </c>
      <c r="C387" s="3">
        <f t="shared" si="51"/>
        <v>-0.33000000000000007</v>
      </c>
      <c r="D387" s="3">
        <f t="shared" si="46"/>
        <v>0</v>
      </c>
      <c r="E387" s="3">
        <f t="shared" si="47"/>
        <v>0.33000000000000007</v>
      </c>
      <c r="F387" s="3">
        <f t="shared" si="48"/>
        <v>0.11225146975987932</v>
      </c>
      <c r="G387" s="3">
        <f t="shared" si="48"/>
        <v>8.3959821721228803E-2</v>
      </c>
      <c r="H387" s="3">
        <f t="shared" si="49"/>
        <v>1.3369665092023071</v>
      </c>
      <c r="I387" s="3">
        <f t="shared" si="50"/>
        <v>57.209485199625867</v>
      </c>
    </row>
    <row r="388" spans="1:9" ht="15.75" customHeight="1">
      <c r="A388" s="14">
        <v>1066</v>
      </c>
      <c r="B388">
        <v>8.0500000000000007</v>
      </c>
      <c r="C388" s="3">
        <f t="shared" si="51"/>
        <v>-0.1899999999999995</v>
      </c>
      <c r="D388" s="3">
        <f t="shared" si="46"/>
        <v>0</v>
      </c>
      <c r="E388" s="3">
        <f t="shared" si="47"/>
        <v>0.1899999999999995</v>
      </c>
      <c r="F388" s="3">
        <f t="shared" si="48"/>
        <v>0.10423350763417365</v>
      </c>
      <c r="G388" s="3">
        <f t="shared" si="48"/>
        <v>9.1534120169712421E-2</v>
      </c>
      <c r="H388" s="3">
        <f t="shared" si="49"/>
        <v>1.13873938418718</v>
      </c>
      <c r="I388" s="3">
        <f t="shared" si="50"/>
        <v>53.243485045745942</v>
      </c>
    </row>
    <row r="389" spans="1:9" ht="15.75" customHeight="1">
      <c r="A389" s="14">
        <v>1097</v>
      </c>
      <c r="B389">
        <v>8.4600000000000009</v>
      </c>
      <c r="C389" s="3">
        <f t="shared" si="51"/>
        <v>0.41000000000000014</v>
      </c>
      <c r="D389" s="3">
        <f t="shared" si="46"/>
        <v>0.41000000000000014</v>
      </c>
      <c r="E389" s="3">
        <f t="shared" si="47"/>
        <v>0</v>
      </c>
      <c r="F389" s="3">
        <f t="shared" si="48"/>
        <v>0.12607397137458981</v>
      </c>
      <c r="G389" s="3">
        <f t="shared" si="48"/>
        <v>8.4995968729018684E-2</v>
      </c>
      <c r="H389" s="3">
        <f t="shared" si="49"/>
        <v>1.4832935403858345</v>
      </c>
      <c r="I389" s="3">
        <f t="shared" si="50"/>
        <v>59.730898351846562</v>
      </c>
    </row>
    <row r="390" spans="1:9" ht="15.75" customHeight="1">
      <c r="A390" s="14">
        <v>1128</v>
      </c>
      <c r="B390">
        <v>8.41</v>
      </c>
      <c r="C390" s="3">
        <f t="shared" si="51"/>
        <v>-5.0000000000000711E-2</v>
      </c>
      <c r="D390" s="3">
        <f t="shared" si="46"/>
        <v>0</v>
      </c>
      <c r="E390" s="3">
        <f t="shared" si="47"/>
        <v>5.0000000000000711E-2</v>
      </c>
      <c r="F390" s="3">
        <f t="shared" si="48"/>
        <v>0.11706868770497625</v>
      </c>
      <c r="G390" s="3">
        <f t="shared" si="48"/>
        <v>8.2496256676945962E-2</v>
      </c>
      <c r="H390" s="3">
        <f t="shared" si="49"/>
        <v>1.4190787851552511</v>
      </c>
      <c r="I390" s="3">
        <f t="shared" si="50"/>
        <v>58.661949906860009</v>
      </c>
    </row>
    <row r="391" spans="1:9" ht="15.75" customHeight="1">
      <c r="A391" s="14">
        <v>1156</v>
      </c>
      <c r="B391">
        <v>8.08</v>
      </c>
      <c r="C391" s="3">
        <f t="shared" si="51"/>
        <v>-0.33000000000000007</v>
      </c>
      <c r="D391" s="3">
        <f t="shared" si="46"/>
        <v>0</v>
      </c>
      <c r="E391" s="3">
        <f t="shared" si="47"/>
        <v>0.33000000000000007</v>
      </c>
      <c r="F391" s="3">
        <f t="shared" si="48"/>
        <v>0.10870663858319222</v>
      </c>
      <c r="G391" s="3">
        <f t="shared" si="48"/>
        <v>0.10017509548573554</v>
      </c>
      <c r="H391" s="3">
        <f t="shared" si="49"/>
        <v>1.0851663086128183</v>
      </c>
      <c r="I391" s="3">
        <f t="shared" si="50"/>
        <v>52.042194626419892</v>
      </c>
    </row>
    <row r="392" spans="1:9" ht="15.75" customHeight="1">
      <c r="A392" s="14">
        <v>1187</v>
      </c>
      <c r="B392">
        <v>7.75</v>
      </c>
      <c r="C392" s="3">
        <f t="shared" si="51"/>
        <v>-0.33000000000000007</v>
      </c>
      <c r="D392" s="3">
        <f t="shared" si="46"/>
        <v>0</v>
      </c>
      <c r="E392" s="3">
        <f t="shared" si="47"/>
        <v>0.33000000000000007</v>
      </c>
      <c r="F392" s="3">
        <f t="shared" si="48"/>
        <v>0.10094187868439278</v>
      </c>
      <c r="G392" s="3">
        <f t="shared" si="48"/>
        <v>0.11659116009389729</v>
      </c>
      <c r="H392" s="3">
        <f t="shared" si="49"/>
        <v>0.86577643281959549</v>
      </c>
      <c r="I392" s="3">
        <f t="shared" si="50"/>
        <v>46.40301043524375</v>
      </c>
    </row>
    <row r="393" spans="1:9" ht="15.75" customHeight="1">
      <c r="A393" s="14">
        <v>1217</v>
      </c>
      <c r="B393">
        <v>7.6</v>
      </c>
      <c r="C393" s="3">
        <f t="shared" si="51"/>
        <v>-0.15000000000000036</v>
      </c>
      <c r="D393" s="3">
        <f t="shared" si="46"/>
        <v>0</v>
      </c>
      <c r="E393" s="3">
        <f t="shared" si="47"/>
        <v>0.15000000000000036</v>
      </c>
      <c r="F393" s="3">
        <f t="shared" si="48"/>
        <v>9.373174449265044E-2</v>
      </c>
      <c r="G393" s="3">
        <f t="shared" si="48"/>
        <v>0.11897750580147608</v>
      </c>
      <c r="H393" s="3">
        <f t="shared" si="49"/>
        <v>0.78781063581085398</v>
      </c>
      <c r="I393" s="3">
        <f t="shared" si="50"/>
        <v>44.065664451847603</v>
      </c>
    </row>
    <row r="394" spans="1:9" ht="15.75" customHeight="1">
      <c r="A394" s="14">
        <v>1248</v>
      </c>
      <c r="B394">
        <v>7.18</v>
      </c>
      <c r="C394" s="3">
        <f t="shared" si="51"/>
        <v>-0.41999999999999993</v>
      </c>
      <c r="D394" s="3">
        <f t="shared" si="46"/>
        <v>0</v>
      </c>
      <c r="E394" s="3">
        <f t="shared" si="47"/>
        <v>0.41999999999999993</v>
      </c>
      <c r="F394" s="3">
        <f t="shared" si="48"/>
        <v>8.7036619886032549E-2</v>
      </c>
      <c r="G394" s="3">
        <f t="shared" si="48"/>
        <v>0.14047911252994208</v>
      </c>
      <c r="H394" s="3">
        <f t="shared" si="49"/>
        <v>0.61956983012318889</v>
      </c>
      <c r="I394" s="3">
        <f t="shared" si="50"/>
        <v>38.255209414222215</v>
      </c>
    </row>
    <row r="395" spans="1:9" ht="15.75" customHeight="1">
      <c r="A395" s="14">
        <v>1278</v>
      </c>
      <c r="B395">
        <v>6.85</v>
      </c>
      <c r="C395" s="3">
        <f t="shared" si="51"/>
        <v>-0.33000000000000007</v>
      </c>
      <c r="D395" s="3">
        <f t="shared" si="46"/>
        <v>0</v>
      </c>
      <c r="E395" s="3">
        <f t="shared" si="47"/>
        <v>0.33000000000000007</v>
      </c>
      <c r="F395" s="3">
        <f t="shared" si="48"/>
        <v>8.0819718465601653E-2</v>
      </c>
      <c r="G395" s="3">
        <f t="shared" si="48"/>
        <v>0.15401631877780339</v>
      </c>
      <c r="H395" s="3">
        <f t="shared" si="49"/>
        <v>0.52474776119145417</v>
      </c>
      <c r="I395" s="3">
        <f t="shared" si="50"/>
        <v>34.415381648529902</v>
      </c>
    </row>
    <row r="396" spans="1:9" ht="15.75" customHeight="1">
      <c r="A396" s="14">
        <v>1309</v>
      </c>
      <c r="B396">
        <v>6.63</v>
      </c>
      <c r="C396" s="3">
        <f t="shared" si="51"/>
        <v>-0.21999999999999975</v>
      </c>
      <c r="D396" s="3">
        <f t="shared" si="46"/>
        <v>0</v>
      </c>
      <c r="E396" s="3">
        <f t="shared" si="47"/>
        <v>0.21999999999999975</v>
      </c>
      <c r="F396" s="3">
        <f t="shared" si="48"/>
        <v>7.5046881432344392E-2</v>
      </c>
      <c r="G396" s="3">
        <f t="shared" si="48"/>
        <v>0.15872943886510313</v>
      </c>
      <c r="H396" s="3">
        <f t="shared" si="49"/>
        <v>0.47279749723126846</v>
      </c>
      <c r="I396" s="3">
        <f t="shared" si="50"/>
        <v>32.10200303300941</v>
      </c>
    </row>
    <row r="397" spans="1:9" ht="15.75" customHeight="1">
      <c r="A397" s="14">
        <v>1340</v>
      </c>
      <c r="B397">
        <v>6.47</v>
      </c>
      <c r="C397" s="3">
        <f t="shared" si="51"/>
        <v>-0.16000000000000014</v>
      </c>
      <c r="D397" s="3">
        <f t="shared" si="46"/>
        <v>0</v>
      </c>
      <c r="E397" s="3">
        <f t="shared" si="47"/>
        <v>0.16000000000000014</v>
      </c>
      <c r="F397" s="3">
        <f t="shared" si="48"/>
        <v>6.9686389901462656E-2</v>
      </c>
      <c r="G397" s="3">
        <f t="shared" si="48"/>
        <v>0.15882019323188148</v>
      </c>
      <c r="H397" s="3">
        <f t="shared" si="49"/>
        <v>0.43877537536879063</v>
      </c>
      <c r="I397" s="3">
        <f t="shared" si="50"/>
        <v>30.496447387162334</v>
      </c>
    </row>
    <row r="398" spans="1:9" ht="15.75" customHeight="1">
      <c r="A398" s="14">
        <v>1370</v>
      </c>
      <c r="B398">
        <v>6.26</v>
      </c>
      <c r="C398" s="3">
        <f t="shared" si="51"/>
        <v>-0.20999999999999996</v>
      </c>
      <c r="D398" s="3">
        <f t="shared" si="46"/>
        <v>0</v>
      </c>
      <c r="E398" s="3">
        <f t="shared" si="47"/>
        <v>0.20999999999999996</v>
      </c>
      <c r="F398" s="3">
        <f t="shared" si="48"/>
        <v>6.4708790622786755E-2</v>
      </c>
      <c r="G398" s="3">
        <f t="shared" si="48"/>
        <v>0.16247589371531854</v>
      </c>
      <c r="H398" s="3">
        <f t="shared" si="49"/>
        <v>0.3982670237602508</v>
      </c>
      <c r="I398" s="3">
        <f t="shared" si="50"/>
        <v>28.482901834387988</v>
      </c>
    </row>
    <row r="399" spans="1:9" ht="15.75" customHeight="1">
      <c r="A399" s="14">
        <v>1401</v>
      </c>
      <c r="B399">
        <v>6.28</v>
      </c>
      <c r="C399" s="3">
        <f t="shared" si="51"/>
        <v>2.0000000000000462E-2</v>
      </c>
      <c r="D399" s="3">
        <f t="shared" si="46"/>
        <v>2.0000000000000462E-2</v>
      </c>
      <c r="E399" s="3">
        <f t="shared" si="47"/>
        <v>0</v>
      </c>
      <c r="F399" s="3">
        <f t="shared" si="48"/>
        <v>6.1515305578302024E-2</v>
      </c>
      <c r="G399" s="3">
        <f t="shared" si="48"/>
        <v>0.15087047273565293</v>
      </c>
      <c r="H399" s="3">
        <f t="shared" si="49"/>
        <v>0.40773588405257938</v>
      </c>
      <c r="I399" s="3">
        <f t="shared" si="50"/>
        <v>28.96394761770172</v>
      </c>
    </row>
    <row r="400" spans="1:9" ht="15.75" customHeight="1">
      <c r="A400" s="14">
        <v>1431</v>
      </c>
      <c r="B400">
        <v>6.57</v>
      </c>
      <c r="C400" s="3">
        <f t="shared" si="51"/>
        <v>0.29000000000000004</v>
      </c>
      <c r="D400" s="3">
        <f t="shared" si="46"/>
        <v>0.29000000000000004</v>
      </c>
      <c r="E400" s="3">
        <f t="shared" si="47"/>
        <v>0</v>
      </c>
      <c r="F400" s="3">
        <f t="shared" si="48"/>
        <v>7.7835640894137609E-2</v>
      </c>
      <c r="G400" s="3">
        <f t="shared" si="48"/>
        <v>0.14009401039739203</v>
      </c>
      <c r="H400" s="3">
        <f t="shared" si="49"/>
        <v>0.55559577938662952</v>
      </c>
      <c r="I400" s="3">
        <f t="shared" si="50"/>
        <v>35.715947982688704</v>
      </c>
    </row>
    <row r="401" spans="1:9" ht="15.75" customHeight="1">
      <c r="A401" s="14">
        <v>1462</v>
      </c>
      <c r="B401">
        <v>6.68</v>
      </c>
      <c r="C401" s="3">
        <f t="shared" si="51"/>
        <v>0.10999999999999943</v>
      </c>
      <c r="D401" s="3">
        <f t="shared" si="46"/>
        <v>0.10999999999999943</v>
      </c>
      <c r="E401" s="3">
        <f t="shared" si="47"/>
        <v>0</v>
      </c>
      <c r="F401" s="3">
        <f t="shared" si="48"/>
        <v>8.0133095115984876E-2</v>
      </c>
      <c r="G401" s="3">
        <f t="shared" si="48"/>
        <v>0.1300872953690069</v>
      </c>
      <c r="H401" s="3">
        <f t="shared" si="49"/>
        <v>0.61599478172467614</v>
      </c>
      <c r="I401" s="3">
        <f t="shared" si="50"/>
        <v>38.11861205809425</v>
      </c>
    </row>
    <row r="402" spans="1:9" ht="15.75" customHeight="1">
      <c r="A402" s="14">
        <v>1493</v>
      </c>
      <c r="B402">
        <v>6.5</v>
      </c>
      <c r="C402" s="3">
        <f t="shared" si="51"/>
        <v>-0.17999999999999972</v>
      </c>
      <c r="D402" s="3">
        <f t="shared" si="46"/>
        <v>0</v>
      </c>
      <c r="E402" s="3">
        <f t="shared" si="47"/>
        <v>0.17999999999999972</v>
      </c>
      <c r="F402" s="3">
        <f t="shared" si="48"/>
        <v>7.4409302607700248E-2</v>
      </c>
      <c r="G402" s="3">
        <f t="shared" si="48"/>
        <v>0.13365248855693496</v>
      </c>
      <c r="H402" s="3">
        <f t="shared" si="49"/>
        <v>0.55673712783883145</v>
      </c>
      <c r="I402" s="3">
        <f t="shared" si="50"/>
        <v>35.763078934960063</v>
      </c>
    </row>
    <row r="403" spans="1:9" ht="15.75" customHeight="1">
      <c r="A403" s="14">
        <v>1522</v>
      </c>
      <c r="B403">
        <v>6.48</v>
      </c>
      <c r="C403" s="3">
        <f t="shared" si="51"/>
        <v>-1.9999999999999574E-2</v>
      </c>
      <c r="D403" s="3">
        <f t="shared" si="46"/>
        <v>0</v>
      </c>
      <c r="E403" s="3">
        <f t="shared" si="47"/>
        <v>1.9999999999999574E-2</v>
      </c>
      <c r="F403" s="3">
        <f t="shared" si="48"/>
        <v>6.9094352421435939E-2</v>
      </c>
      <c r="G403" s="3">
        <f t="shared" si="48"/>
        <v>0.12553445366001101</v>
      </c>
      <c r="H403" s="3">
        <f t="shared" si="49"/>
        <v>0.55040150657417442</v>
      </c>
      <c r="I403" s="3">
        <f t="shared" si="50"/>
        <v>35.500578672060399</v>
      </c>
    </row>
    <row r="404" spans="1:9" ht="15.75" customHeight="1">
      <c r="A404" s="14">
        <v>1553</v>
      </c>
      <c r="B404">
        <v>6.64</v>
      </c>
      <c r="C404" s="3">
        <f t="shared" si="51"/>
        <v>0.15999999999999925</v>
      </c>
      <c r="D404" s="3">
        <f t="shared" si="46"/>
        <v>0.15999999999999925</v>
      </c>
      <c r="E404" s="3">
        <f t="shared" si="47"/>
        <v>0</v>
      </c>
      <c r="F404" s="3">
        <f t="shared" si="48"/>
        <v>7.5587612962761883E-2</v>
      </c>
      <c r="G404" s="3">
        <f t="shared" si="48"/>
        <v>0.11656770697001022</v>
      </c>
      <c r="H404" s="3">
        <f t="shared" si="49"/>
        <v>0.64844385231158896</v>
      </c>
      <c r="I404" s="3">
        <f t="shared" si="50"/>
        <v>39.33672665904183</v>
      </c>
    </row>
    <row r="405" spans="1:9" ht="15.75" customHeight="1">
      <c r="A405" s="14">
        <v>1583</v>
      </c>
      <c r="B405">
        <v>6.5</v>
      </c>
      <c r="C405" s="3">
        <f t="shared" si="51"/>
        <v>-0.13999999999999968</v>
      </c>
      <c r="D405" s="3">
        <f t="shared" si="46"/>
        <v>0</v>
      </c>
      <c r="E405" s="3">
        <f t="shared" si="47"/>
        <v>0.13999999999999968</v>
      </c>
      <c r="F405" s="3">
        <f t="shared" si="48"/>
        <v>7.0188497751136031E-2</v>
      </c>
      <c r="G405" s="3">
        <f t="shared" si="48"/>
        <v>0.11824144218643803</v>
      </c>
      <c r="H405" s="3">
        <f t="shared" si="49"/>
        <v>0.5936031940515899</v>
      </c>
      <c r="I405" s="3">
        <f t="shared" si="50"/>
        <v>37.249121755485952</v>
      </c>
    </row>
    <row r="406" spans="1:9" ht="15.75" customHeight="1">
      <c r="A406" s="14">
        <v>1614</v>
      </c>
      <c r="B406">
        <v>6.51</v>
      </c>
      <c r="C406" s="3">
        <f t="shared" si="51"/>
        <v>9.9999999999997868E-3</v>
      </c>
      <c r="D406" s="3">
        <f t="shared" si="46"/>
        <v>9.9999999999997868E-3</v>
      </c>
      <c r="E406" s="3">
        <f t="shared" si="47"/>
        <v>0</v>
      </c>
      <c r="F406" s="3">
        <f t="shared" si="48"/>
        <v>6.5889319340340577E-2</v>
      </c>
      <c r="G406" s="3">
        <f t="shared" si="48"/>
        <v>0.10979562488740675</v>
      </c>
      <c r="H406" s="3">
        <f t="shared" si="49"/>
        <v>0.60010878764895026</v>
      </c>
      <c r="I406" s="3">
        <f t="shared" si="50"/>
        <v>37.504249228622371</v>
      </c>
    </row>
    <row r="407" spans="1:9" ht="15.75" customHeight="1">
      <c r="A407" s="14">
        <v>1644</v>
      </c>
      <c r="B407">
        <v>6.78</v>
      </c>
      <c r="C407" s="3">
        <f t="shared" si="51"/>
        <v>0.27000000000000046</v>
      </c>
      <c r="D407" s="3">
        <f t="shared" si="46"/>
        <v>0.27000000000000046</v>
      </c>
      <c r="E407" s="3">
        <f t="shared" si="47"/>
        <v>0</v>
      </c>
      <c r="F407" s="3">
        <f t="shared" si="48"/>
        <v>8.0468653673173421E-2</v>
      </c>
      <c r="G407" s="3">
        <f t="shared" si="48"/>
        <v>0.10195308025259199</v>
      </c>
      <c r="H407" s="3">
        <f t="shared" si="49"/>
        <v>0.78927143224912655</v>
      </c>
      <c r="I407" s="3">
        <f t="shared" si="50"/>
        <v>44.111330345055968</v>
      </c>
    </row>
    <row r="408" spans="1:9" ht="15.75" customHeight="1">
      <c r="A408" s="14">
        <v>1675</v>
      </c>
      <c r="B408">
        <v>7.01</v>
      </c>
      <c r="C408" s="3">
        <f t="shared" si="51"/>
        <v>0.22999999999999954</v>
      </c>
      <c r="D408" s="3">
        <f t="shared" si="46"/>
        <v>0.22999999999999954</v>
      </c>
      <c r="E408" s="3">
        <f t="shared" si="47"/>
        <v>0</v>
      </c>
      <c r="F408" s="3">
        <f t="shared" si="48"/>
        <v>9.1149464125089577E-2</v>
      </c>
      <c r="G408" s="3">
        <f t="shared" si="48"/>
        <v>9.4670717377406843E-2</v>
      </c>
      <c r="H408" s="3">
        <f t="shared" si="49"/>
        <v>0.96280525436096875</v>
      </c>
      <c r="I408" s="3">
        <f t="shared" si="50"/>
        <v>49.052510544375409</v>
      </c>
    </row>
    <row r="409" spans="1:9" ht="15.75" customHeight="1">
      <c r="A409" s="14">
        <v>1706</v>
      </c>
      <c r="B409">
        <v>7.32</v>
      </c>
      <c r="C409" s="3">
        <f t="shared" si="51"/>
        <v>0.3100000000000005</v>
      </c>
      <c r="D409" s="3">
        <f t="shared" si="46"/>
        <v>0.3100000000000005</v>
      </c>
      <c r="E409" s="3">
        <f t="shared" si="47"/>
        <v>0</v>
      </c>
      <c r="F409" s="3">
        <f t="shared" si="48"/>
        <v>0.10678164525901179</v>
      </c>
      <c r="G409" s="3">
        <f t="shared" si="48"/>
        <v>8.7908523279020642E-2</v>
      </c>
      <c r="H409" s="3">
        <f t="shared" si="49"/>
        <v>1.2146904677273225</v>
      </c>
      <c r="I409" s="3">
        <f t="shared" si="50"/>
        <v>54.846963285746078</v>
      </c>
    </row>
    <row r="410" spans="1:9" ht="15.75" customHeight="1">
      <c r="A410" s="14">
        <v>1736</v>
      </c>
      <c r="B410">
        <v>7.75</v>
      </c>
      <c r="C410" s="3">
        <f t="shared" si="51"/>
        <v>0.42999999999999972</v>
      </c>
      <c r="D410" s="3">
        <f t="shared" si="46"/>
        <v>0.42999999999999972</v>
      </c>
      <c r="E410" s="3">
        <f t="shared" si="47"/>
        <v>0</v>
      </c>
      <c r="F410" s="3">
        <f t="shared" si="48"/>
        <v>0.12986867059765378</v>
      </c>
      <c r="G410" s="3">
        <f t="shared" si="48"/>
        <v>8.1629343044804875E-2</v>
      </c>
      <c r="H410" s="3">
        <f t="shared" si="49"/>
        <v>1.5909557244185</v>
      </c>
      <c r="I410" s="3">
        <f t="shared" si="50"/>
        <v>61.404203453749311</v>
      </c>
    </row>
    <row r="411" spans="1:9" ht="15.75" customHeight="1">
      <c r="A411" s="14">
        <v>1767</v>
      </c>
      <c r="B411">
        <v>8.17</v>
      </c>
      <c r="C411" s="3">
        <f t="shared" si="51"/>
        <v>0.41999999999999993</v>
      </c>
      <c r="D411" s="3">
        <f t="shared" si="46"/>
        <v>0.41999999999999993</v>
      </c>
      <c r="E411" s="3">
        <f t="shared" si="47"/>
        <v>0</v>
      </c>
      <c r="F411" s="3">
        <f t="shared" si="48"/>
        <v>0.15059233698353564</v>
      </c>
      <c r="G411" s="3">
        <f t="shared" si="48"/>
        <v>7.5798675684461664E-2</v>
      </c>
      <c r="H411" s="3">
        <f t="shared" si="49"/>
        <v>1.9867410033709374</v>
      </c>
      <c r="I411" s="3">
        <f t="shared" si="50"/>
        <v>66.518690476631022</v>
      </c>
    </row>
    <row r="412" spans="1:9" ht="15.75" customHeight="1">
      <c r="A412" s="14">
        <v>1797</v>
      </c>
      <c r="B412">
        <v>8.25</v>
      </c>
      <c r="C412" s="3">
        <f t="shared" si="51"/>
        <v>8.0000000000000071E-2</v>
      </c>
      <c r="D412" s="3">
        <f t="shared" si="46"/>
        <v>8.0000000000000071E-2</v>
      </c>
      <c r="E412" s="3">
        <f t="shared" si="47"/>
        <v>0</v>
      </c>
      <c r="F412" s="3">
        <f t="shared" si="48"/>
        <v>0.14555002719899737</v>
      </c>
      <c r="G412" s="3">
        <f t="shared" si="48"/>
        <v>7.0384484564142966E-2</v>
      </c>
      <c r="H412" s="3">
        <f t="shared" si="49"/>
        <v>2.067927727258617</v>
      </c>
      <c r="I412" s="3">
        <f t="shared" si="50"/>
        <v>67.404708034189525</v>
      </c>
    </row>
    <row r="413" spans="1:9" ht="15.75" customHeight="1">
      <c r="A413" s="14">
        <v>1828</v>
      </c>
      <c r="B413">
        <v>8.43</v>
      </c>
      <c r="C413" s="3">
        <f t="shared" si="51"/>
        <v>0.17999999999999972</v>
      </c>
      <c r="D413" s="3">
        <f t="shared" si="46"/>
        <v>0.17999999999999972</v>
      </c>
      <c r="E413" s="3">
        <f t="shared" si="47"/>
        <v>0</v>
      </c>
      <c r="F413" s="3">
        <f t="shared" si="48"/>
        <v>0.14801073954192612</v>
      </c>
      <c r="G413" s="3">
        <f t="shared" si="48"/>
        <v>6.5357021380989894E-2</v>
      </c>
      <c r="H413" s="3">
        <f t="shared" si="49"/>
        <v>2.2646494043710712</v>
      </c>
      <c r="I413" s="3">
        <f t="shared" si="50"/>
        <v>69.368839463708099</v>
      </c>
    </row>
    <row r="414" spans="1:9" ht="15.75" customHeight="1">
      <c r="A414" s="14">
        <v>1859</v>
      </c>
      <c r="B414">
        <v>8.8000000000000007</v>
      </c>
      <c r="C414" s="3">
        <f t="shared" si="51"/>
        <v>0.37000000000000099</v>
      </c>
      <c r="D414" s="3">
        <f t="shared" si="46"/>
        <v>0.37000000000000099</v>
      </c>
      <c r="E414" s="3">
        <f t="shared" si="47"/>
        <v>0</v>
      </c>
      <c r="F414" s="3">
        <f t="shared" si="48"/>
        <v>0.16386711528893147</v>
      </c>
      <c r="G414" s="3">
        <f t="shared" si="48"/>
        <v>6.0688662710919182E-2</v>
      </c>
      <c r="H414" s="3">
        <f t="shared" si="49"/>
        <v>2.700127304987531</v>
      </c>
      <c r="I414" s="3">
        <f t="shared" si="50"/>
        <v>72.973902853232516</v>
      </c>
    </row>
    <row r="415" spans="1:9" ht="15.75" customHeight="1">
      <c r="A415" s="14">
        <v>1887</v>
      </c>
      <c r="B415">
        <v>9.0500000000000007</v>
      </c>
      <c r="C415" s="3">
        <f t="shared" si="51"/>
        <v>0.25</v>
      </c>
      <c r="D415" s="3">
        <f t="shared" si="46"/>
        <v>0.25</v>
      </c>
      <c r="E415" s="3">
        <f t="shared" si="47"/>
        <v>0</v>
      </c>
      <c r="F415" s="3">
        <f t="shared" si="48"/>
        <v>0.17001946419686492</v>
      </c>
      <c r="G415" s="3">
        <f t="shared" si="48"/>
        <v>5.635375823156781E-2</v>
      </c>
      <c r="H415" s="3">
        <f t="shared" si="49"/>
        <v>3.017003116246908</v>
      </c>
      <c r="I415" s="3">
        <f t="shared" si="50"/>
        <v>75.105819660545805</v>
      </c>
    </row>
    <row r="416" spans="1:9" ht="15.75" customHeight="1">
      <c r="A416" s="14">
        <v>1918</v>
      </c>
      <c r="B416">
        <v>8.94</v>
      </c>
      <c r="C416" s="3">
        <f t="shared" si="51"/>
        <v>-0.11000000000000121</v>
      </c>
      <c r="D416" s="3">
        <f t="shared" si="46"/>
        <v>0</v>
      </c>
      <c r="E416" s="3">
        <f t="shared" si="47"/>
        <v>0.11000000000000121</v>
      </c>
      <c r="F416" s="3">
        <f t="shared" si="48"/>
        <v>0.15787521675423172</v>
      </c>
      <c r="G416" s="3">
        <f t="shared" si="48"/>
        <v>6.0185632643598767E-2</v>
      </c>
      <c r="H416" s="3">
        <f t="shared" si="49"/>
        <v>2.6231379453817709</v>
      </c>
      <c r="I416" s="3">
        <f t="shared" si="50"/>
        <v>72.399615607386721</v>
      </c>
    </row>
    <row r="417" spans="1:9" ht="15.75" customHeight="1">
      <c r="A417" s="14">
        <v>1948</v>
      </c>
      <c r="B417">
        <v>8.5</v>
      </c>
      <c r="C417" s="3">
        <f t="shared" si="51"/>
        <v>-0.4399999999999995</v>
      </c>
      <c r="D417" s="3">
        <f t="shared" si="46"/>
        <v>0</v>
      </c>
      <c r="E417" s="3">
        <f t="shared" si="47"/>
        <v>0.4399999999999995</v>
      </c>
      <c r="F417" s="3">
        <f t="shared" si="48"/>
        <v>0.14659841555750089</v>
      </c>
      <c r="G417" s="3">
        <f t="shared" si="48"/>
        <v>8.73152303119131E-2</v>
      </c>
      <c r="H417" s="3">
        <f t="shared" si="49"/>
        <v>1.6789558366142145</v>
      </c>
      <c r="I417" s="3">
        <f t="shared" si="50"/>
        <v>62.672023691743824</v>
      </c>
    </row>
    <row r="418" spans="1:9" ht="15.75" customHeight="1">
      <c r="A418" s="14">
        <v>1979</v>
      </c>
      <c r="B418">
        <v>8.6</v>
      </c>
      <c r="C418" s="3">
        <f t="shared" si="51"/>
        <v>9.9999999999999645E-2</v>
      </c>
      <c r="D418" s="3">
        <f t="shared" si="46"/>
        <v>9.9999999999999645E-2</v>
      </c>
      <c r="E418" s="3">
        <f t="shared" si="47"/>
        <v>0</v>
      </c>
      <c r="F418" s="3">
        <f t="shared" si="48"/>
        <v>0.14326995730339367</v>
      </c>
      <c r="G418" s="3">
        <f t="shared" si="48"/>
        <v>8.1078428146776446E-2</v>
      </c>
      <c r="H418" s="3">
        <f t="shared" si="49"/>
        <v>1.7670539572379447</v>
      </c>
      <c r="I418" s="3">
        <f t="shared" si="50"/>
        <v>63.860480660876107</v>
      </c>
    </row>
    <row r="419" spans="1:9" ht="15.75" customHeight="1">
      <c r="A419" s="14">
        <v>2009</v>
      </c>
      <c r="B419">
        <v>8.8699999999999992</v>
      </c>
      <c r="C419" s="3">
        <f t="shared" si="51"/>
        <v>0.26999999999999957</v>
      </c>
      <c r="D419" s="3">
        <f t="shared" si="46"/>
        <v>0.26999999999999957</v>
      </c>
      <c r="E419" s="3">
        <f t="shared" si="47"/>
        <v>0</v>
      </c>
      <c r="F419" s="3">
        <f t="shared" si="48"/>
        <v>0.1523221032102941</v>
      </c>
      <c r="G419" s="3">
        <f t="shared" si="48"/>
        <v>7.5287111850578126E-2</v>
      </c>
      <c r="H419" s="3">
        <f t="shared" si="49"/>
        <v>2.0232161848977133</v>
      </c>
      <c r="I419" s="3">
        <f t="shared" si="50"/>
        <v>66.922643342694528</v>
      </c>
    </row>
    <row r="420" spans="1:9" ht="15.75" customHeight="1">
      <c r="A420" s="14">
        <v>2040</v>
      </c>
      <c r="B420">
        <v>9.1999999999999993</v>
      </c>
      <c r="C420" s="3">
        <f t="shared" si="51"/>
        <v>0.33000000000000007</v>
      </c>
      <c r="D420" s="3">
        <f t="shared" si="46"/>
        <v>0.33000000000000007</v>
      </c>
      <c r="E420" s="3">
        <f t="shared" si="47"/>
        <v>0</v>
      </c>
      <c r="F420" s="3">
        <f t="shared" si="48"/>
        <v>0.16501338155241596</v>
      </c>
      <c r="G420" s="3">
        <f t="shared" si="48"/>
        <v>6.9909461004108261E-2</v>
      </c>
      <c r="H420" s="3">
        <f t="shared" si="49"/>
        <v>2.3603869802789479</v>
      </c>
      <c r="I420" s="3">
        <f t="shared" si="50"/>
        <v>70.241522602346549</v>
      </c>
    </row>
    <row r="421" spans="1:9" ht="15.75" customHeight="1">
      <c r="A421" s="14">
        <v>2071</v>
      </c>
      <c r="B421">
        <v>9.23</v>
      </c>
      <c r="C421" s="3">
        <f t="shared" si="51"/>
        <v>3.0000000000001137E-2</v>
      </c>
      <c r="D421" s="3">
        <f t="shared" si="46"/>
        <v>3.0000000000001137E-2</v>
      </c>
      <c r="E421" s="3">
        <f t="shared" si="47"/>
        <v>0</v>
      </c>
      <c r="F421" s="3">
        <f t="shared" si="48"/>
        <v>0.15536956858438633</v>
      </c>
      <c r="G421" s="3">
        <f t="shared" si="48"/>
        <v>6.4915928075243393E-2</v>
      </c>
      <c r="H421" s="3">
        <f t="shared" si="49"/>
        <v>2.3933967084980905</v>
      </c>
      <c r="I421" s="3">
        <f t="shared" si="50"/>
        <v>70.531002240448402</v>
      </c>
    </row>
    <row r="422" spans="1:9" ht="15.75" customHeight="1">
      <c r="A422" s="14">
        <v>2101</v>
      </c>
      <c r="B422">
        <v>9.36</v>
      </c>
      <c r="C422" s="3">
        <f t="shared" si="51"/>
        <v>0.12999999999999901</v>
      </c>
      <c r="D422" s="3">
        <f t="shared" ref="D422:D485" si="52">IF(C422&gt;0,C422,0)</f>
        <v>0.12999999999999901</v>
      </c>
      <c r="E422" s="3">
        <f t="shared" ref="E422:E485" si="53">IF(C422&lt;0,-C422,0)</f>
        <v>0</v>
      </c>
      <c r="F422" s="3">
        <f t="shared" ref="F422:G465" si="54">((F421*13)+D422)/14</f>
        <v>0.15355745654264435</v>
      </c>
      <c r="G422" s="3">
        <f t="shared" si="54"/>
        <v>6.0279076069868869E-2</v>
      </c>
      <c r="H422" s="3">
        <f t="shared" ref="H422:H485" si="55">F422/G422</f>
        <v>2.547442106854084</v>
      </c>
      <c r="I422" s="3">
        <f t="shared" ref="I422:I485" si="56">IF(G422=0,100,100-(100/(1+H422)))</f>
        <v>71.810674568363495</v>
      </c>
    </row>
    <row r="423" spans="1:9" ht="15.75" customHeight="1">
      <c r="A423" s="14">
        <v>2132</v>
      </c>
      <c r="B423">
        <v>9.31</v>
      </c>
      <c r="C423" s="3">
        <f t="shared" si="51"/>
        <v>-4.9999999999998934E-2</v>
      </c>
      <c r="D423" s="3">
        <f t="shared" si="52"/>
        <v>0</v>
      </c>
      <c r="E423" s="3">
        <f t="shared" si="53"/>
        <v>4.9999999999998934E-2</v>
      </c>
      <c r="F423" s="3">
        <f t="shared" si="54"/>
        <v>0.14258906678959832</v>
      </c>
      <c r="G423" s="3">
        <f t="shared" si="54"/>
        <v>5.9544856350592444E-2</v>
      </c>
      <c r="H423" s="3">
        <f t="shared" si="55"/>
        <v>2.3946496058375262</v>
      </c>
      <c r="I423" s="3">
        <f t="shared" si="56"/>
        <v>70.541878658687651</v>
      </c>
    </row>
    <row r="424" spans="1:9" ht="15.75" customHeight="1">
      <c r="A424" s="14">
        <v>2162</v>
      </c>
      <c r="B424">
        <v>9.5399999999999991</v>
      </c>
      <c r="C424" s="3">
        <f t="shared" si="51"/>
        <v>0.22999999999999865</v>
      </c>
      <c r="D424" s="3">
        <f t="shared" si="52"/>
        <v>0.22999999999999865</v>
      </c>
      <c r="E424" s="3">
        <f t="shared" si="53"/>
        <v>0</v>
      </c>
      <c r="F424" s="3">
        <f t="shared" si="54"/>
        <v>0.14883270487605552</v>
      </c>
      <c r="G424" s="3">
        <f t="shared" si="54"/>
        <v>5.5291652325550125E-2</v>
      </c>
      <c r="H424" s="3">
        <f t="shared" si="55"/>
        <v>2.6917753153721602</v>
      </c>
      <c r="I424" s="3">
        <f t="shared" si="56"/>
        <v>72.912761081745515</v>
      </c>
    </row>
    <row r="425" spans="1:9" ht="15.75" customHeight="1">
      <c r="A425" s="14">
        <v>2193</v>
      </c>
      <c r="B425">
        <v>9.8699999999999992</v>
      </c>
      <c r="C425" s="3">
        <f t="shared" si="51"/>
        <v>0.33000000000000007</v>
      </c>
      <c r="D425" s="3">
        <f t="shared" si="52"/>
        <v>0.33000000000000007</v>
      </c>
      <c r="E425" s="3">
        <f t="shared" si="53"/>
        <v>0</v>
      </c>
      <c r="F425" s="3">
        <f t="shared" si="54"/>
        <v>0.16177322595633728</v>
      </c>
      <c r="G425" s="3">
        <f t="shared" si="54"/>
        <v>5.1342248588010835E-2</v>
      </c>
      <c r="H425" s="3">
        <f t="shared" si="55"/>
        <v>3.1508792545193218</v>
      </c>
      <c r="I425" s="3">
        <f t="shared" si="56"/>
        <v>75.908718642893859</v>
      </c>
    </row>
    <row r="426" spans="1:9" ht="15.75" customHeight="1">
      <c r="A426" s="14">
        <v>2224</v>
      </c>
      <c r="B426">
        <v>9.8000000000000007</v>
      </c>
      <c r="C426" s="3">
        <f t="shared" si="51"/>
        <v>-6.9999999999998508E-2</v>
      </c>
      <c r="D426" s="3">
        <f t="shared" si="52"/>
        <v>0</v>
      </c>
      <c r="E426" s="3">
        <f t="shared" si="53"/>
        <v>6.9999999999998508E-2</v>
      </c>
      <c r="F426" s="3">
        <f t="shared" si="54"/>
        <v>0.15021799553088463</v>
      </c>
      <c r="G426" s="3">
        <f t="shared" si="54"/>
        <v>5.2674945117438525E-2</v>
      </c>
      <c r="H426" s="3">
        <f t="shared" si="55"/>
        <v>2.8517921603140612</v>
      </c>
      <c r="I426" s="3">
        <f t="shared" si="56"/>
        <v>74.038059210379004</v>
      </c>
    </row>
    <row r="427" spans="1:9" ht="15.75" customHeight="1">
      <c r="A427" s="14">
        <v>2252</v>
      </c>
      <c r="B427">
        <v>9.56</v>
      </c>
      <c r="C427" s="3">
        <f t="shared" ref="C427:C490" si="57">B427-B426</f>
        <v>-0.24000000000000021</v>
      </c>
      <c r="D427" s="3">
        <f t="shared" si="52"/>
        <v>0</v>
      </c>
      <c r="E427" s="3">
        <f t="shared" si="53"/>
        <v>0.24000000000000021</v>
      </c>
      <c r="F427" s="3">
        <f t="shared" si="54"/>
        <v>0.13948813870725002</v>
      </c>
      <c r="G427" s="3">
        <f t="shared" si="54"/>
        <v>6.605530618047864E-2</v>
      </c>
      <c r="H427" s="3">
        <f t="shared" si="55"/>
        <v>2.1116871114961695</v>
      </c>
      <c r="I427" s="3">
        <f t="shared" si="56"/>
        <v>67.86309277994286</v>
      </c>
    </row>
    <row r="428" spans="1:9" ht="15.75" customHeight="1">
      <c r="A428" s="14">
        <v>2283</v>
      </c>
      <c r="B428">
        <v>9.43</v>
      </c>
      <c r="C428" s="3">
        <f t="shared" si="57"/>
        <v>-0.13000000000000078</v>
      </c>
      <c r="D428" s="3">
        <f t="shared" si="52"/>
        <v>0</v>
      </c>
      <c r="E428" s="3">
        <f t="shared" si="53"/>
        <v>0.13000000000000078</v>
      </c>
      <c r="F428" s="3">
        <f t="shared" si="54"/>
        <v>0.12952470022816073</v>
      </c>
      <c r="G428" s="3">
        <f t="shared" si="54"/>
        <v>7.0622784310444511E-2</v>
      </c>
      <c r="H428" s="3">
        <f t="shared" si="55"/>
        <v>1.8340355947847433</v>
      </c>
      <c r="I428" s="3">
        <f t="shared" si="56"/>
        <v>64.714628078764335</v>
      </c>
    </row>
    <row r="429" spans="1:9" ht="15.75" customHeight="1">
      <c r="A429" s="14">
        <v>2313</v>
      </c>
      <c r="B429">
        <v>9.18</v>
      </c>
      <c r="C429" s="3">
        <f t="shared" si="57"/>
        <v>-0.25</v>
      </c>
      <c r="D429" s="3">
        <f t="shared" si="52"/>
        <v>0</v>
      </c>
      <c r="E429" s="3">
        <f t="shared" si="53"/>
        <v>0.25</v>
      </c>
      <c r="F429" s="3">
        <f t="shared" si="54"/>
        <v>0.12027293592614925</v>
      </c>
      <c r="G429" s="3">
        <f t="shared" si="54"/>
        <v>8.3435442573984178E-2</v>
      </c>
      <c r="H429" s="3">
        <f t="shared" si="55"/>
        <v>1.4415089345214462</v>
      </c>
      <c r="I429" s="3">
        <f t="shared" si="56"/>
        <v>59.041722687940627</v>
      </c>
    </row>
    <row r="430" spans="1:9" ht="15.75" customHeight="1">
      <c r="A430" s="14">
        <v>2344</v>
      </c>
      <c r="B430">
        <v>9.3000000000000007</v>
      </c>
      <c r="C430" s="3">
        <f t="shared" si="57"/>
        <v>0.12000000000000099</v>
      </c>
      <c r="D430" s="3">
        <f t="shared" si="52"/>
        <v>0.12000000000000099</v>
      </c>
      <c r="E430" s="3">
        <f t="shared" si="53"/>
        <v>0</v>
      </c>
      <c r="F430" s="3">
        <f t="shared" si="54"/>
        <v>0.12025344050285294</v>
      </c>
      <c r="G430" s="3">
        <f t="shared" si="54"/>
        <v>7.7475768104413881E-2</v>
      </c>
      <c r="H430" s="3">
        <f t="shared" si="55"/>
        <v>1.5521426046501108</v>
      </c>
      <c r="I430" s="3">
        <f t="shared" si="56"/>
        <v>60.817236537724888</v>
      </c>
    </row>
    <row r="431" spans="1:9" ht="15.75" customHeight="1">
      <c r="A431" s="14">
        <v>2374</v>
      </c>
      <c r="B431">
        <v>9.06</v>
      </c>
      <c r="C431" s="3">
        <f t="shared" si="57"/>
        <v>-0.24000000000000021</v>
      </c>
      <c r="D431" s="3">
        <f t="shared" si="52"/>
        <v>0</v>
      </c>
      <c r="E431" s="3">
        <f t="shared" si="53"/>
        <v>0.24000000000000021</v>
      </c>
      <c r="F431" s="3">
        <f t="shared" si="54"/>
        <v>0.11166390903836344</v>
      </c>
      <c r="G431" s="3">
        <f t="shared" si="54"/>
        <v>8.9084641811241469E-2</v>
      </c>
      <c r="H431" s="3">
        <f t="shared" si="55"/>
        <v>1.2534585846454256</v>
      </c>
      <c r="I431" s="3">
        <f t="shared" si="56"/>
        <v>55.623768423623069</v>
      </c>
    </row>
    <row r="432" spans="1:9" ht="15.75" customHeight="1">
      <c r="A432" s="14">
        <v>2405</v>
      </c>
      <c r="B432">
        <v>9.73</v>
      </c>
      <c r="C432" s="3">
        <f t="shared" si="57"/>
        <v>0.66999999999999993</v>
      </c>
      <c r="D432" s="3">
        <f t="shared" si="52"/>
        <v>0.66999999999999993</v>
      </c>
      <c r="E432" s="3">
        <f t="shared" si="53"/>
        <v>0</v>
      </c>
      <c r="F432" s="3">
        <f t="shared" si="54"/>
        <v>0.15154505839276602</v>
      </c>
      <c r="G432" s="3">
        <f t="shared" si="54"/>
        <v>8.2721453110438506E-2</v>
      </c>
      <c r="H432" s="3">
        <f t="shared" si="55"/>
        <v>1.8319922183964001</v>
      </c>
      <c r="I432" s="3">
        <f t="shared" si="56"/>
        <v>64.689168511690184</v>
      </c>
    </row>
    <row r="433" spans="1:9" ht="15.75" customHeight="1">
      <c r="A433" s="14">
        <v>2436</v>
      </c>
      <c r="B433">
        <v>10.029999999999999</v>
      </c>
      <c r="C433" s="3">
        <f t="shared" si="57"/>
        <v>0.29999999999999893</v>
      </c>
      <c r="D433" s="3">
        <f t="shared" si="52"/>
        <v>0.29999999999999893</v>
      </c>
      <c r="E433" s="3">
        <f t="shared" si="53"/>
        <v>0</v>
      </c>
      <c r="F433" s="3">
        <f t="shared" si="54"/>
        <v>0.16214898279328269</v>
      </c>
      <c r="G433" s="3">
        <f t="shared" si="54"/>
        <v>7.6812777888264336E-2</v>
      </c>
      <c r="H433" s="3">
        <f t="shared" si="55"/>
        <v>2.1109636606184536</v>
      </c>
      <c r="I433" s="3">
        <f t="shared" si="56"/>
        <v>67.855619380613348</v>
      </c>
    </row>
    <row r="434" spans="1:9" ht="15.75" customHeight="1">
      <c r="A434" s="14">
        <v>2466</v>
      </c>
      <c r="B434">
        <v>9.73</v>
      </c>
      <c r="C434" s="3">
        <f t="shared" si="57"/>
        <v>-0.29999999999999893</v>
      </c>
      <c r="D434" s="3">
        <f t="shared" si="52"/>
        <v>0</v>
      </c>
      <c r="E434" s="3">
        <f t="shared" si="53"/>
        <v>0.29999999999999893</v>
      </c>
      <c r="F434" s="3">
        <f t="shared" si="54"/>
        <v>0.15056691259376251</v>
      </c>
      <c r="G434" s="3">
        <f t="shared" si="54"/>
        <v>9.275472232481681E-2</v>
      </c>
      <c r="H434" s="3">
        <f t="shared" si="55"/>
        <v>1.6232802904254706</v>
      </c>
      <c r="I434" s="3">
        <f t="shared" si="56"/>
        <v>61.879788307416831</v>
      </c>
    </row>
    <row r="435" spans="1:9" ht="15.75" customHeight="1">
      <c r="A435" s="14">
        <v>2497</v>
      </c>
      <c r="B435">
        <v>9.93</v>
      </c>
      <c r="C435" s="3">
        <f t="shared" si="57"/>
        <v>0.19999999999999929</v>
      </c>
      <c r="D435" s="3">
        <f t="shared" si="52"/>
        <v>0.19999999999999929</v>
      </c>
      <c r="E435" s="3">
        <f t="shared" si="53"/>
        <v>0</v>
      </c>
      <c r="F435" s="3">
        <f t="shared" si="54"/>
        <v>0.15409784740849369</v>
      </c>
      <c r="G435" s="3">
        <f t="shared" si="54"/>
        <v>8.6129385015901325E-2</v>
      </c>
      <c r="H435" s="3">
        <f t="shared" si="55"/>
        <v>1.7891437095486511</v>
      </c>
      <c r="I435" s="3">
        <f t="shared" si="56"/>
        <v>64.14670220912268</v>
      </c>
    </row>
    <row r="436" spans="1:9" ht="15.75" customHeight="1">
      <c r="A436" s="14">
        <v>2527</v>
      </c>
      <c r="B436">
        <v>9.84</v>
      </c>
      <c r="C436" s="3">
        <f t="shared" si="57"/>
        <v>-8.9999999999999858E-2</v>
      </c>
      <c r="D436" s="3">
        <f t="shared" si="52"/>
        <v>0</v>
      </c>
      <c r="E436" s="3">
        <f t="shared" si="53"/>
        <v>8.9999999999999858E-2</v>
      </c>
      <c r="F436" s="3">
        <f t="shared" si="54"/>
        <v>0.14309085830788698</v>
      </c>
      <c r="G436" s="3">
        <f t="shared" si="54"/>
        <v>8.6405857514765497E-2</v>
      </c>
      <c r="H436" s="3">
        <f t="shared" si="55"/>
        <v>1.6560319221811419</v>
      </c>
      <c r="I436" s="3">
        <f t="shared" si="56"/>
        <v>62.349850103503393</v>
      </c>
    </row>
    <row r="437" spans="1:9" ht="15.75" customHeight="1">
      <c r="A437" s="14">
        <v>2558</v>
      </c>
      <c r="B437">
        <v>9.56</v>
      </c>
      <c r="C437" s="3">
        <f t="shared" si="57"/>
        <v>-0.27999999999999936</v>
      </c>
      <c r="D437" s="3">
        <f t="shared" si="52"/>
        <v>0</v>
      </c>
      <c r="E437" s="3">
        <f t="shared" si="53"/>
        <v>0.27999999999999936</v>
      </c>
      <c r="F437" s="3">
        <f t="shared" si="54"/>
        <v>0.13287008271446649</v>
      </c>
      <c r="G437" s="3">
        <f t="shared" si="54"/>
        <v>0.10023401054942506</v>
      </c>
      <c r="H437" s="3">
        <f t="shared" si="55"/>
        <v>1.325598786142042</v>
      </c>
      <c r="I437" s="3">
        <f t="shared" si="56"/>
        <v>57.000321553361765</v>
      </c>
    </row>
    <row r="438" spans="1:9" ht="15.75" customHeight="1">
      <c r="A438" s="14">
        <v>2589</v>
      </c>
      <c r="B438">
        <v>9.26</v>
      </c>
      <c r="C438" s="3">
        <f t="shared" si="57"/>
        <v>-0.30000000000000071</v>
      </c>
      <c r="D438" s="3">
        <f t="shared" si="52"/>
        <v>0</v>
      </c>
      <c r="E438" s="3">
        <f t="shared" si="53"/>
        <v>0.30000000000000071</v>
      </c>
      <c r="F438" s="3">
        <f t="shared" si="54"/>
        <v>0.12337936252057602</v>
      </c>
      <c r="G438" s="3">
        <f t="shared" si="54"/>
        <v>0.11450300979589476</v>
      </c>
      <c r="H438" s="3">
        <f t="shared" si="55"/>
        <v>1.0775206934778714</v>
      </c>
      <c r="I438" s="3">
        <f t="shared" si="56"/>
        <v>51.86570207751091</v>
      </c>
    </row>
    <row r="439" spans="1:9" ht="15.75" customHeight="1">
      <c r="A439" s="14">
        <v>2617</v>
      </c>
      <c r="B439">
        <v>8.35</v>
      </c>
      <c r="C439" s="3">
        <f t="shared" si="57"/>
        <v>-0.91000000000000014</v>
      </c>
      <c r="D439" s="3">
        <f t="shared" si="52"/>
        <v>0</v>
      </c>
      <c r="E439" s="3">
        <f t="shared" si="53"/>
        <v>0.91000000000000014</v>
      </c>
      <c r="F439" s="3">
        <f t="shared" si="54"/>
        <v>0.11456655091196345</v>
      </c>
      <c r="G439" s="3">
        <f t="shared" si="54"/>
        <v>0.17132422338190229</v>
      </c>
      <c r="H439" s="3">
        <f t="shared" si="55"/>
        <v>0.66871192322045925</v>
      </c>
      <c r="I439" s="3">
        <f t="shared" si="56"/>
        <v>40.073538992272987</v>
      </c>
    </row>
    <row r="440" spans="1:9" ht="15.75" customHeight="1">
      <c r="A440" s="14">
        <v>2648</v>
      </c>
      <c r="B440">
        <v>8.39</v>
      </c>
      <c r="C440" s="3">
        <f t="shared" si="57"/>
        <v>4.0000000000000924E-2</v>
      </c>
      <c r="D440" s="3">
        <f t="shared" si="52"/>
        <v>4.0000000000000924E-2</v>
      </c>
      <c r="E440" s="3">
        <f t="shared" si="53"/>
        <v>0</v>
      </c>
      <c r="F440" s="3">
        <f t="shared" si="54"/>
        <v>0.10924036870396613</v>
      </c>
      <c r="G440" s="3">
        <f t="shared" si="54"/>
        <v>0.15908677885462355</v>
      </c>
      <c r="H440" s="3">
        <f t="shared" si="55"/>
        <v>0.68667157315311544</v>
      </c>
      <c r="I440" s="3">
        <f t="shared" si="56"/>
        <v>40.711634919501883</v>
      </c>
    </row>
    <row r="441" spans="1:9" ht="15.75" customHeight="1">
      <c r="A441" s="14">
        <v>2678</v>
      </c>
      <c r="B441">
        <v>8.1</v>
      </c>
      <c r="C441" s="3">
        <f t="shared" si="57"/>
        <v>-0.29000000000000092</v>
      </c>
      <c r="D441" s="3">
        <f t="shared" si="52"/>
        <v>0</v>
      </c>
      <c r="E441" s="3">
        <f t="shared" si="53"/>
        <v>0.29000000000000092</v>
      </c>
      <c r="F441" s="3">
        <f t="shared" si="54"/>
        <v>0.10143748522511141</v>
      </c>
      <c r="G441" s="3">
        <f t="shared" si="54"/>
        <v>0.1684377232221505</v>
      </c>
      <c r="H441" s="3">
        <f t="shared" si="55"/>
        <v>0.60222545926559878</v>
      </c>
      <c r="I441" s="3">
        <f t="shared" si="56"/>
        <v>37.586811255741544</v>
      </c>
    </row>
    <row r="442" spans="1:9" ht="15.75" customHeight="1">
      <c r="A442" s="14">
        <v>2709</v>
      </c>
      <c r="B442">
        <v>7.84</v>
      </c>
      <c r="C442" s="3">
        <f t="shared" si="57"/>
        <v>-0.25999999999999979</v>
      </c>
      <c r="D442" s="3">
        <f t="shared" si="52"/>
        <v>0</v>
      </c>
      <c r="E442" s="3">
        <f t="shared" si="53"/>
        <v>0.25999999999999979</v>
      </c>
      <c r="F442" s="3">
        <f t="shared" si="54"/>
        <v>9.4191950566174881E-2</v>
      </c>
      <c r="G442" s="3">
        <f t="shared" si="54"/>
        <v>0.17497788584913973</v>
      </c>
      <c r="H442" s="3">
        <f t="shared" si="55"/>
        <v>0.53830774162732842</v>
      </c>
      <c r="I442" s="3">
        <f t="shared" si="56"/>
        <v>34.993501434106363</v>
      </c>
    </row>
    <row r="443" spans="1:9" ht="15.75" customHeight="1">
      <c r="A443" s="14">
        <v>2739</v>
      </c>
      <c r="B443">
        <v>8.14</v>
      </c>
      <c r="C443" s="3">
        <f t="shared" si="57"/>
        <v>0.30000000000000071</v>
      </c>
      <c r="D443" s="3">
        <f t="shared" si="52"/>
        <v>0.30000000000000071</v>
      </c>
      <c r="E443" s="3">
        <f t="shared" si="53"/>
        <v>0</v>
      </c>
      <c r="F443" s="3">
        <f t="shared" si="54"/>
        <v>0.10889252552573388</v>
      </c>
      <c r="G443" s="3">
        <f t="shared" si="54"/>
        <v>0.16247946543134403</v>
      </c>
      <c r="H443" s="3">
        <f t="shared" si="55"/>
        <v>0.67019253932581768</v>
      </c>
      <c r="I443" s="3">
        <f t="shared" si="56"/>
        <v>40.126663456199161</v>
      </c>
    </row>
    <row r="444" spans="1:9" ht="15.75" customHeight="1">
      <c r="A444" s="14">
        <v>2770</v>
      </c>
      <c r="B444">
        <v>7.53</v>
      </c>
      <c r="C444" s="3">
        <f t="shared" si="57"/>
        <v>-0.61000000000000032</v>
      </c>
      <c r="D444" s="3">
        <f t="shared" si="52"/>
        <v>0</v>
      </c>
      <c r="E444" s="3">
        <f t="shared" si="53"/>
        <v>0.61000000000000032</v>
      </c>
      <c r="F444" s="3">
        <f t="shared" si="54"/>
        <v>0.10111448798818146</v>
      </c>
      <c r="G444" s="3">
        <f t="shared" si="54"/>
        <v>0.19444521790053376</v>
      </c>
      <c r="H444" s="3">
        <f t="shared" si="55"/>
        <v>0.52001529829293835</v>
      </c>
      <c r="I444" s="3">
        <f t="shared" si="56"/>
        <v>34.211188458230936</v>
      </c>
    </row>
    <row r="445" spans="1:9" ht="15.75" customHeight="1">
      <c r="A445" s="14">
        <v>2801</v>
      </c>
      <c r="B445">
        <v>7.45</v>
      </c>
      <c r="C445" s="3">
        <f t="shared" si="57"/>
        <v>-8.0000000000000071E-2</v>
      </c>
      <c r="D445" s="3">
        <f t="shared" si="52"/>
        <v>0</v>
      </c>
      <c r="E445" s="3">
        <f t="shared" si="53"/>
        <v>8.0000000000000071E-2</v>
      </c>
      <c r="F445" s="3">
        <f t="shared" si="54"/>
        <v>9.3892024560454201E-2</v>
      </c>
      <c r="G445" s="3">
        <f t="shared" si="54"/>
        <v>0.18627055947906707</v>
      </c>
      <c r="H445" s="3">
        <f t="shared" si="55"/>
        <v>0.50406261098392047</v>
      </c>
      <c r="I445" s="3">
        <f t="shared" si="56"/>
        <v>33.513406111077728</v>
      </c>
    </row>
    <row r="446" spans="1:9" ht="15.75" customHeight="1">
      <c r="A446" s="14">
        <v>2831</v>
      </c>
      <c r="B446">
        <v>6.64</v>
      </c>
      <c r="C446" s="3">
        <f t="shared" si="57"/>
        <v>-0.8100000000000005</v>
      </c>
      <c r="D446" s="3">
        <f t="shared" si="52"/>
        <v>0</v>
      </c>
      <c r="E446" s="3">
        <f t="shared" si="53"/>
        <v>0.8100000000000005</v>
      </c>
      <c r="F446" s="3">
        <f t="shared" si="54"/>
        <v>8.7185451377564616E-2</v>
      </c>
      <c r="G446" s="3">
        <f t="shared" si="54"/>
        <v>0.23082266237341947</v>
      </c>
      <c r="H446" s="3">
        <f t="shared" si="55"/>
        <v>0.37771616738619035</v>
      </c>
      <c r="I446" s="3">
        <f t="shared" si="56"/>
        <v>27.416109088913089</v>
      </c>
    </row>
    <row r="447" spans="1:9" ht="15.75" customHeight="1">
      <c r="A447" s="14">
        <v>2862</v>
      </c>
      <c r="B447">
        <v>6.25</v>
      </c>
      <c r="C447" s="3">
        <f t="shared" si="57"/>
        <v>-0.38999999999999968</v>
      </c>
      <c r="D447" s="3">
        <f t="shared" si="52"/>
        <v>0</v>
      </c>
      <c r="E447" s="3">
        <f t="shared" si="53"/>
        <v>0.38999999999999968</v>
      </c>
      <c r="F447" s="3">
        <f t="shared" si="54"/>
        <v>8.0957919136309994E-2</v>
      </c>
      <c r="G447" s="3">
        <f t="shared" si="54"/>
        <v>0.24219247220388948</v>
      </c>
      <c r="H447" s="3">
        <f t="shared" si="55"/>
        <v>0.33427099694558488</v>
      </c>
      <c r="I447" s="3">
        <f t="shared" si="56"/>
        <v>25.052706512455003</v>
      </c>
    </row>
    <row r="448" spans="1:9" ht="15.75" customHeight="1">
      <c r="A448" s="14">
        <v>2892</v>
      </c>
      <c r="B448">
        <v>6.57</v>
      </c>
      <c r="C448" s="3">
        <f t="shared" si="57"/>
        <v>0.32000000000000028</v>
      </c>
      <c r="D448" s="3">
        <f t="shared" si="52"/>
        <v>0.32000000000000028</v>
      </c>
      <c r="E448" s="3">
        <f t="shared" si="53"/>
        <v>0</v>
      </c>
      <c r="F448" s="3">
        <f t="shared" si="54"/>
        <v>9.8032353483716445E-2</v>
      </c>
      <c r="G448" s="3">
        <f t="shared" si="54"/>
        <v>0.22489300990361166</v>
      </c>
      <c r="H448" s="3">
        <f t="shared" si="55"/>
        <v>0.43590662744801523</v>
      </c>
      <c r="I448" s="3">
        <f t="shared" si="56"/>
        <v>30.357588656216194</v>
      </c>
    </row>
    <row r="449" spans="1:9" ht="15.75" customHeight="1">
      <c r="A449" s="14">
        <v>2923</v>
      </c>
      <c r="B449">
        <v>6.85</v>
      </c>
      <c r="C449" s="3">
        <f t="shared" si="57"/>
        <v>0.27999999999999936</v>
      </c>
      <c r="D449" s="3">
        <f t="shared" si="52"/>
        <v>0.27999999999999936</v>
      </c>
      <c r="E449" s="3">
        <f t="shared" si="53"/>
        <v>0</v>
      </c>
      <c r="F449" s="3">
        <f t="shared" si="54"/>
        <v>0.1110300425205938</v>
      </c>
      <c r="G449" s="3">
        <f t="shared" si="54"/>
        <v>0.20882922348192512</v>
      </c>
      <c r="H449" s="3">
        <f t="shared" si="55"/>
        <v>0.53167866388299734</v>
      </c>
      <c r="I449" s="3">
        <f t="shared" si="56"/>
        <v>34.712154475999895</v>
      </c>
    </row>
    <row r="450" spans="1:9" ht="15.75" customHeight="1">
      <c r="A450" s="14">
        <v>2954</v>
      </c>
      <c r="B450">
        <v>6.6</v>
      </c>
      <c r="C450" s="3">
        <f t="shared" si="57"/>
        <v>-0.25</v>
      </c>
      <c r="D450" s="3">
        <f t="shared" si="52"/>
        <v>0</v>
      </c>
      <c r="E450" s="3">
        <f t="shared" si="53"/>
        <v>0.25</v>
      </c>
      <c r="F450" s="3">
        <f t="shared" si="54"/>
        <v>0.10309932519769424</v>
      </c>
      <c r="G450" s="3">
        <f t="shared" si="54"/>
        <v>0.21176999323321619</v>
      </c>
      <c r="H450" s="3">
        <f t="shared" si="55"/>
        <v>0.48684576895723808</v>
      </c>
      <c r="I450" s="3">
        <f t="shared" si="56"/>
        <v>32.743528557012013</v>
      </c>
    </row>
    <row r="451" spans="1:9" ht="15.75" customHeight="1">
      <c r="A451" s="14">
        <v>2983</v>
      </c>
      <c r="B451">
        <v>6.87</v>
      </c>
      <c r="C451" s="3">
        <f t="shared" si="57"/>
        <v>0.27000000000000046</v>
      </c>
      <c r="D451" s="3">
        <f t="shared" si="52"/>
        <v>0.27000000000000046</v>
      </c>
      <c r="E451" s="3">
        <f t="shared" si="53"/>
        <v>0</v>
      </c>
      <c r="F451" s="3">
        <f t="shared" si="54"/>
        <v>0.11502080196928754</v>
      </c>
      <c r="G451" s="3">
        <f t="shared" si="54"/>
        <v>0.19664356514512932</v>
      </c>
      <c r="H451" s="3">
        <f t="shared" si="55"/>
        <v>0.58492024330619952</v>
      </c>
      <c r="I451" s="3">
        <f t="shared" si="56"/>
        <v>36.905342447140136</v>
      </c>
    </row>
    <row r="452" spans="1:9" ht="15.75" customHeight="1">
      <c r="A452" s="14">
        <v>3014</v>
      </c>
      <c r="B452">
        <v>7.24</v>
      </c>
      <c r="C452" s="3">
        <f t="shared" si="57"/>
        <v>0.37000000000000011</v>
      </c>
      <c r="D452" s="3">
        <f t="shared" si="52"/>
        <v>0.37000000000000011</v>
      </c>
      <c r="E452" s="3">
        <f t="shared" si="53"/>
        <v>0</v>
      </c>
      <c r="F452" s="3">
        <f t="shared" si="54"/>
        <v>0.13323360182862415</v>
      </c>
      <c r="G452" s="3">
        <f t="shared" si="54"/>
        <v>0.18259759620619151</v>
      </c>
      <c r="H452" s="3">
        <f t="shared" si="55"/>
        <v>0.72965693194654702</v>
      </c>
      <c r="I452" s="3">
        <f t="shared" si="56"/>
        <v>42.185066788093913</v>
      </c>
    </row>
    <row r="453" spans="1:9" ht="15.75" customHeight="1">
      <c r="A453" s="14">
        <v>3044</v>
      </c>
      <c r="B453">
        <v>7.63</v>
      </c>
      <c r="C453" s="3">
        <f t="shared" si="57"/>
        <v>0.38999999999999968</v>
      </c>
      <c r="D453" s="3">
        <f t="shared" si="52"/>
        <v>0.38999999999999968</v>
      </c>
      <c r="E453" s="3">
        <f t="shared" si="53"/>
        <v>0</v>
      </c>
      <c r="F453" s="3">
        <f t="shared" si="54"/>
        <v>0.15157405884086525</v>
      </c>
      <c r="G453" s="3">
        <f t="shared" si="54"/>
        <v>0.16955491076289211</v>
      </c>
      <c r="H453" s="3">
        <f t="shared" si="55"/>
        <v>0.89395263256531965</v>
      </c>
      <c r="I453" s="3">
        <f t="shared" si="56"/>
        <v>47.200369069129216</v>
      </c>
    </row>
    <row r="454" spans="1:9" ht="15.75" customHeight="1">
      <c r="A454" s="14">
        <v>3075</v>
      </c>
      <c r="B454">
        <v>7.64</v>
      </c>
      <c r="C454" s="3">
        <f t="shared" si="57"/>
        <v>9.9999999999997868E-3</v>
      </c>
      <c r="D454" s="3">
        <f t="shared" si="52"/>
        <v>9.9999999999997868E-3</v>
      </c>
      <c r="E454" s="3">
        <f t="shared" si="53"/>
        <v>0</v>
      </c>
      <c r="F454" s="3">
        <f t="shared" si="54"/>
        <v>0.14146162606651771</v>
      </c>
      <c r="G454" s="3">
        <f t="shared" si="54"/>
        <v>0.15744384570839981</v>
      </c>
      <c r="H454" s="3">
        <f t="shared" si="55"/>
        <v>0.89848939747392476</v>
      </c>
      <c r="I454" s="3">
        <f t="shared" si="56"/>
        <v>47.32654281184972</v>
      </c>
    </row>
    <row r="455" spans="1:9" ht="15.75" customHeight="1">
      <c r="A455" s="14">
        <v>3105</v>
      </c>
      <c r="B455">
        <v>7.92</v>
      </c>
      <c r="C455" s="3">
        <f t="shared" si="57"/>
        <v>0.28000000000000025</v>
      </c>
      <c r="D455" s="3">
        <f t="shared" si="52"/>
        <v>0.28000000000000025</v>
      </c>
      <c r="E455" s="3">
        <f t="shared" si="53"/>
        <v>0</v>
      </c>
      <c r="F455" s="3">
        <f t="shared" si="54"/>
        <v>0.15135722420462358</v>
      </c>
      <c r="G455" s="3">
        <f t="shared" si="54"/>
        <v>0.14619785672922839</v>
      </c>
      <c r="H455" s="3">
        <f t="shared" si="55"/>
        <v>1.0352903085641727</v>
      </c>
      <c r="I455" s="3">
        <f t="shared" si="56"/>
        <v>50.866960069914271</v>
      </c>
    </row>
    <row r="456" spans="1:9" ht="15.75" customHeight="1">
      <c r="A456" s="14">
        <v>3136</v>
      </c>
      <c r="B456">
        <v>8.26</v>
      </c>
      <c r="C456" s="3">
        <f t="shared" si="57"/>
        <v>0.33999999999999986</v>
      </c>
      <c r="D456" s="3">
        <f t="shared" si="52"/>
        <v>0.33999999999999986</v>
      </c>
      <c r="E456" s="3">
        <f t="shared" si="53"/>
        <v>0</v>
      </c>
      <c r="F456" s="3">
        <f t="shared" si="54"/>
        <v>0.16483170819000761</v>
      </c>
      <c r="G456" s="3">
        <f t="shared" si="54"/>
        <v>0.13575515267714064</v>
      </c>
      <c r="H456" s="3">
        <f t="shared" si="55"/>
        <v>1.2141838076821896</v>
      </c>
      <c r="I456" s="3">
        <f t="shared" si="56"/>
        <v>54.836631153634841</v>
      </c>
    </row>
    <row r="457" spans="1:9" ht="15.75" customHeight="1">
      <c r="A457" s="14">
        <v>3167</v>
      </c>
      <c r="B457">
        <v>8.17</v>
      </c>
      <c r="C457" s="3">
        <f t="shared" si="57"/>
        <v>-8.9999999999999858E-2</v>
      </c>
      <c r="D457" s="3">
        <f t="shared" si="52"/>
        <v>0</v>
      </c>
      <c r="E457" s="3">
        <f t="shared" si="53"/>
        <v>8.9999999999999858E-2</v>
      </c>
      <c r="F457" s="3">
        <f t="shared" si="54"/>
        <v>0.15305801474786421</v>
      </c>
      <c r="G457" s="3">
        <f t="shared" si="54"/>
        <v>0.13248692748591631</v>
      </c>
      <c r="H457" s="3">
        <f t="shared" si="55"/>
        <v>1.1552688076650781</v>
      </c>
      <c r="I457" s="3">
        <f t="shared" si="56"/>
        <v>53.602075228687823</v>
      </c>
    </row>
    <row r="458" spans="1:9" ht="15.75" customHeight="1">
      <c r="A458" s="14">
        <v>3197</v>
      </c>
      <c r="B458">
        <v>8.27</v>
      </c>
      <c r="C458" s="3">
        <f t="shared" si="57"/>
        <v>9.9999999999999645E-2</v>
      </c>
      <c r="D458" s="3">
        <f t="shared" si="52"/>
        <v>9.9999999999999645E-2</v>
      </c>
      <c r="E458" s="3">
        <f t="shared" si="53"/>
        <v>0</v>
      </c>
      <c r="F458" s="3">
        <f t="shared" si="54"/>
        <v>0.14926815655158818</v>
      </c>
      <c r="G458" s="3">
        <f t="shared" si="54"/>
        <v>0.12302357552263657</v>
      </c>
      <c r="H458" s="3">
        <f t="shared" si="55"/>
        <v>1.2133296883744251</v>
      </c>
      <c r="I458" s="3">
        <f t="shared" si="56"/>
        <v>54.819202703848077</v>
      </c>
    </row>
    <row r="459" spans="1:9" ht="15.75" customHeight="1">
      <c r="A459" s="14">
        <v>3228</v>
      </c>
      <c r="B459">
        <v>8.83</v>
      </c>
      <c r="C459" s="3">
        <f t="shared" si="57"/>
        <v>0.5600000000000005</v>
      </c>
      <c r="D459" s="3">
        <f t="shared" si="52"/>
        <v>0.5600000000000005</v>
      </c>
      <c r="E459" s="3">
        <f t="shared" si="53"/>
        <v>0</v>
      </c>
      <c r="F459" s="3">
        <f t="shared" si="54"/>
        <v>0.17860614536933192</v>
      </c>
      <c r="G459" s="3">
        <f t="shared" si="54"/>
        <v>0.11423617727101967</v>
      </c>
      <c r="H459" s="3">
        <f t="shared" si="55"/>
        <v>1.5634814612677181</v>
      </c>
      <c r="I459" s="3">
        <f t="shared" si="56"/>
        <v>60.990550736986016</v>
      </c>
    </row>
    <row r="460" spans="1:9" ht="15.75" customHeight="1">
      <c r="A460" s="14">
        <v>3258</v>
      </c>
      <c r="B460">
        <v>9.0299999999999994</v>
      </c>
      <c r="C460" s="3">
        <f t="shared" si="57"/>
        <v>0.19999999999999929</v>
      </c>
      <c r="D460" s="3">
        <f t="shared" si="52"/>
        <v>0.19999999999999929</v>
      </c>
      <c r="E460" s="3">
        <f t="shared" si="53"/>
        <v>0</v>
      </c>
      <c r="F460" s="3">
        <f t="shared" si="54"/>
        <v>0.18013427784295102</v>
      </c>
      <c r="G460" s="3">
        <f t="shared" si="54"/>
        <v>0.1060764503230897</v>
      </c>
      <c r="H460" s="3">
        <f t="shared" si="55"/>
        <v>1.6981552200728303</v>
      </c>
      <c r="I460" s="3">
        <f t="shared" si="56"/>
        <v>62.93764003788457</v>
      </c>
    </row>
    <row r="461" spans="1:9" ht="15.75" customHeight="1">
      <c r="A461" s="14">
        <v>3289</v>
      </c>
      <c r="B461">
        <v>9.06</v>
      </c>
      <c r="C461" s="3">
        <f t="shared" si="57"/>
        <v>3.0000000000001137E-2</v>
      </c>
      <c r="D461" s="3">
        <f t="shared" si="52"/>
        <v>3.0000000000001137E-2</v>
      </c>
      <c r="E461" s="3">
        <f t="shared" si="53"/>
        <v>0</v>
      </c>
      <c r="F461" s="3">
        <f t="shared" si="54"/>
        <v>0.16941040085416889</v>
      </c>
      <c r="G461" s="3">
        <f t="shared" si="54"/>
        <v>9.8499561014297576E-2</v>
      </c>
      <c r="H461" s="3">
        <f t="shared" si="55"/>
        <v>1.7199102118798109</v>
      </c>
      <c r="I461" s="3">
        <f t="shared" si="56"/>
        <v>63.234080462205029</v>
      </c>
    </row>
    <row r="462" spans="1:9" ht="15.75" customHeight="1">
      <c r="A462" s="14">
        <v>3320</v>
      </c>
      <c r="B462">
        <v>8.8000000000000007</v>
      </c>
      <c r="C462" s="3">
        <f t="shared" si="57"/>
        <v>-0.25999999999999979</v>
      </c>
      <c r="D462" s="3">
        <f t="shared" si="52"/>
        <v>0</v>
      </c>
      <c r="E462" s="3">
        <f t="shared" si="53"/>
        <v>0.25999999999999979</v>
      </c>
      <c r="F462" s="3">
        <f t="shared" si="54"/>
        <v>0.15730965793601398</v>
      </c>
      <c r="G462" s="3">
        <f t="shared" si="54"/>
        <v>0.11003530665613345</v>
      </c>
      <c r="H462" s="3">
        <f t="shared" si="55"/>
        <v>1.4296289319901252</v>
      </c>
      <c r="I462" s="3">
        <f t="shared" si="56"/>
        <v>58.841451596442205</v>
      </c>
    </row>
    <row r="463" spans="1:9" ht="15.75" customHeight="1">
      <c r="A463" s="14">
        <v>3348</v>
      </c>
      <c r="B463">
        <v>8.92</v>
      </c>
      <c r="C463" s="3">
        <f t="shared" si="57"/>
        <v>0.11999999999999922</v>
      </c>
      <c r="D463" s="3">
        <f t="shared" si="52"/>
        <v>0.11999999999999922</v>
      </c>
      <c r="E463" s="3">
        <f t="shared" si="53"/>
        <v>0</v>
      </c>
      <c r="F463" s="3">
        <f t="shared" si="54"/>
        <v>0.15464468236915579</v>
      </c>
      <c r="G463" s="3">
        <f t="shared" si="54"/>
        <v>0.10217564189498106</v>
      </c>
      <c r="H463" s="3">
        <f t="shared" si="55"/>
        <v>1.5135180900366045</v>
      </c>
      <c r="I463" s="3">
        <f t="shared" si="56"/>
        <v>60.21512620243616</v>
      </c>
    </row>
    <row r="464" spans="1:9" ht="15.75" customHeight="1">
      <c r="A464" s="14">
        <v>3379</v>
      </c>
      <c r="B464">
        <v>9.32</v>
      </c>
      <c r="C464" s="3">
        <f t="shared" si="57"/>
        <v>0.40000000000000036</v>
      </c>
      <c r="D464" s="3">
        <f t="shared" si="52"/>
        <v>0.40000000000000036</v>
      </c>
      <c r="E464" s="3">
        <f t="shared" si="53"/>
        <v>0</v>
      </c>
      <c r="F464" s="3">
        <f t="shared" si="54"/>
        <v>0.17217006219993042</v>
      </c>
      <c r="G464" s="3">
        <f t="shared" si="54"/>
        <v>9.4877381759625262E-2</v>
      </c>
      <c r="H464" s="3">
        <f t="shared" si="55"/>
        <v>1.8146586573829422</v>
      </c>
      <c r="I464" s="3">
        <f t="shared" si="56"/>
        <v>64.471713208386134</v>
      </c>
    </row>
    <row r="465" spans="1:9" ht="15.75" customHeight="1">
      <c r="A465" s="14">
        <v>3409</v>
      </c>
      <c r="B465">
        <v>9.6300000000000008</v>
      </c>
      <c r="C465" s="3">
        <f t="shared" si="57"/>
        <v>0.3100000000000005</v>
      </c>
      <c r="D465" s="3">
        <f t="shared" si="52"/>
        <v>0.3100000000000005</v>
      </c>
      <c r="E465" s="3">
        <f t="shared" si="53"/>
        <v>0</v>
      </c>
      <c r="F465" s="3">
        <f t="shared" si="54"/>
        <v>0.18201505775707827</v>
      </c>
      <c r="G465" s="3">
        <f t="shared" si="54"/>
        <v>8.8100425919652031E-2</v>
      </c>
      <c r="H465" s="3">
        <f t="shared" si="55"/>
        <v>2.0659952078220005</v>
      </c>
      <c r="I465" s="3">
        <f t="shared" si="56"/>
        <v>67.384162980790421</v>
      </c>
    </row>
    <row r="466" spans="1:9" ht="15.75" customHeight="1">
      <c r="A466" s="14">
        <v>3440</v>
      </c>
      <c r="B466">
        <v>9.8000000000000007</v>
      </c>
      <c r="C466" s="3">
        <f t="shared" si="57"/>
        <v>0.16999999999999993</v>
      </c>
      <c r="D466" s="3">
        <f t="shared" si="52"/>
        <v>0.16999999999999993</v>
      </c>
      <c r="E466" s="3">
        <f t="shared" si="53"/>
        <v>0</v>
      </c>
      <c r="F466" s="3">
        <f t="shared" ref="F466:G529" si="58">((F465*13)+D466)/14</f>
        <v>0.18115683934585838</v>
      </c>
      <c r="G466" s="3">
        <f t="shared" si="58"/>
        <v>8.1807538353962594E-2</v>
      </c>
      <c r="H466" s="3">
        <f t="shared" si="55"/>
        <v>2.2144272152773254</v>
      </c>
      <c r="I466" s="3">
        <f t="shared" si="56"/>
        <v>68.890258418443466</v>
      </c>
    </row>
    <row r="467" spans="1:9" ht="15.75" customHeight="1">
      <c r="A467" s="14">
        <v>3470</v>
      </c>
      <c r="B467">
        <v>9.94</v>
      </c>
      <c r="C467" s="3">
        <f t="shared" si="57"/>
        <v>0.13999999999999879</v>
      </c>
      <c r="D467" s="3">
        <f t="shared" si="52"/>
        <v>0.13999999999999879</v>
      </c>
      <c r="E467" s="3">
        <f t="shared" si="53"/>
        <v>0</v>
      </c>
      <c r="F467" s="3">
        <f t="shared" si="58"/>
        <v>0.17821706510686841</v>
      </c>
      <c r="G467" s="3">
        <f t="shared" si="58"/>
        <v>7.5964142757250983E-2</v>
      </c>
      <c r="H467" s="3">
        <f t="shared" si="55"/>
        <v>2.3460682716630421</v>
      </c>
      <c r="I467" s="3">
        <f t="shared" si="56"/>
        <v>70.114178229155314</v>
      </c>
    </row>
    <row r="468" spans="1:9" ht="15.75" customHeight="1">
      <c r="A468" s="14">
        <v>3501</v>
      </c>
      <c r="B468">
        <v>10.18</v>
      </c>
      <c r="C468" s="3">
        <f t="shared" si="57"/>
        <v>0.24000000000000021</v>
      </c>
      <c r="D468" s="3">
        <f t="shared" si="52"/>
        <v>0.24000000000000021</v>
      </c>
      <c r="E468" s="3">
        <f t="shared" si="53"/>
        <v>0</v>
      </c>
      <c r="F468" s="3">
        <f t="shared" si="58"/>
        <v>0.18263013188494925</v>
      </c>
      <c r="G468" s="3">
        <f t="shared" si="58"/>
        <v>7.0538132560304487E-2</v>
      </c>
      <c r="H468" s="3">
        <f t="shared" si="55"/>
        <v>2.5890979142212904</v>
      </c>
      <c r="I468" s="3">
        <f t="shared" si="56"/>
        <v>72.137845667635816</v>
      </c>
    </row>
    <row r="469" spans="1:9" ht="15.75" customHeight="1">
      <c r="A469" s="14">
        <v>3532</v>
      </c>
      <c r="B469">
        <v>10.19</v>
      </c>
      <c r="C469" s="3">
        <f t="shared" si="57"/>
        <v>9.9999999999997868E-3</v>
      </c>
      <c r="D469" s="3">
        <f t="shared" si="52"/>
        <v>9.9999999999997868E-3</v>
      </c>
      <c r="E469" s="3">
        <f t="shared" si="53"/>
        <v>0</v>
      </c>
      <c r="F469" s="3">
        <f t="shared" si="58"/>
        <v>0.17029940817888142</v>
      </c>
      <c r="G469" s="3">
        <f t="shared" si="58"/>
        <v>6.5499694520282731E-2</v>
      </c>
      <c r="H469" s="3">
        <f t="shared" si="55"/>
        <v>2.6000030904899298</v>
      </c>
      <c r="I469" s="3">
        <f t="shared" si="56"/>
        <v>72.222246068574663</v>
      </c>
    </row>
    <row r="470" spans="1:9" ht="15.75" customHeight="1">
      <c r="A470" s="14">
        <v>3562</v>
      </c>
      <c r="B470">
        <v>10.23</v>
      </c>
      <c r="C470" s="3">
        <f t="shared" si="57"/>
        <v>4.0000000000000924E-2</v>
      </c>
      <c r="D470" s="3">
        <f t="shared" si="52"/>
        <v>4.0000000000000924E-2</v>
      </c>
      <c r="E470" s="3">
        <f t="shared" si="53"/>
        <v>0</v>
      </c>
      <c r="F470" s="3">
        <f t="shared" si="58"/>
        <v>0.16099230759467567</v>
      </c>
      <c r="G470" s="3">
        <f t="shared" si="58"/>
        <v>6.0821144911691105E-2</v>
      </c>
      <c r="H470" s="3">
        <f t="shared" si="55"/>
        <v>2.6469792344163774</v>
      </c>
      <c r="I470" s="3">
        <f t="shared" si="56"/>
        <v>72.580046780550731</v>
      </c>
    </row>
    <row r="471" spans="1:9" ht="15.75" customHeight="1">
      <c r="A471" s="14">
        <v>3593</v>
      </c>
      <c r="B471">
        <v>10.18</v>
      </c>
      <c r="C471" s="3">
        <f t="shared" si="57"/>
        <v>-5.0000000000000711E-2</v>
      </c>
      <c r="D471" s="3">
        <f t="shared" si="52"/>
        <v>0</v>
      </c>
      <c r="E471" s="3">
        <f t="shared" si="53"/>
        <v>5.0000000000000711E-2</v>
      </c>
      <c r="F471" s="3">
        <f t="shared" si="58"/>
        <v>0.14949285705219886</v>
      </c>
      <c r="G471" s="3">
        <f t="shared" si="58"/>
        <v>6.0048205989427506E-2</v>
      </c>
      <c r="H471" s="3">
        <f t="shared" si="55"/>
        <v>2.4895474325830746</v>
      </c>
      <c r="I471" s="3">
        <f t="shared" si="56"/>
        <v>71.342988759440132</v>
      </c>
    </row>
    <row r="472" spans="1:9" ht="15.75" customHeight="1">
      <c r="A472" s="14">
        <v>3623</v>
      </c>
      <c r="B472">
        <v>10.3</v>
      </c>
      <c r="C472" s="3">
        <f t="shared" si="57"/>
        <v>0.12000000000000099</v>
      </c>
      <c r="D472" s="3">
        <f t="shared" si="52"/>
        <v>0.12000000000000099</v>
      </c>
      <c r="E472" s="3">
        <f t="shared" si="53"/>
        <v>0</v>
      </c>
      <c r="F472" s="3">
        <f t="shared" si="58"/>
        <v>0.14738622440561328</v>
      </c>
      <c r="G472" s="3">
        <f t="shared" si="58"/>
        <v>5.5759048418754113E-2</v>
      </c>
      <c r="H472" s="3">
        <f t="shared" si="55"/>
        <v>2.6432700805568463</v>
      </c>
      <c r="I472" s="3">
        <f t="shared" si="56"/>
        <v>72.552130973305239</v>
      </c>
    </row>
    <row r="473" spans="1:9" ht="15.75" customHeight="1">
      <c r="A473" s="14">
        <v>3654</v>
      </c>
      <c r="B473">
        <v>10.08</v>
      </c>
      <c r="C473" s="3">
        <f t="shared" si="57"/>
        <v>-0.22000000000000064</v>
      </c>
      <c r="D473" s="3">
        <f t="shared" si="52"/>
        <v>0</v>
      </c>
      <c r="E473" s="3">
        <f t="shared" si="53"/>
        <v>0.22000000000000064</v>
      </c>
      <c r="F473" s="3">
        <f t="shared" si="58"/>
        <v>0.13685863694806946</v>
      </c>
      <c r="G473" s="3">
        <f t="shared" si="58"/>
        <v>6.7490544960271723E-2</v>
      </c>
      <c r="H473" s="3">
        <f t="shared" si="55"/>
        <v>2.0278194083131384</v>
      </c>
      <c r="I473" s="3">
        <f t="shared" si="56"/>
        <v>66.97293117104627</v>
      </c>
    </row>
    <row r="474" spans="1:9" ht="15.75" customHeight="1">
      <c r="A474" s="14">
        <v>3685</v>
      </c>
      <c r="B474">
        <v>9.7200000000000006</v>
      </c>
      <c r="C474" s="3">
        <f t="shared" si="57"/>
        <v>-0.35999999999999943</v>
      </c>
      <c r="D474" s="3">
        <f t="shared" si="52"/>
        <v>0</v>
      </c>
      <c r="E474" s="3">
        <f t="shared" si="53"/>
        <v>0.35999999999999943</v>
      </c>
      <c r="F474" s="3">
        <f t="shared" si="58"/>
        <v>0.12708302002320734</v>
      </c>
      <c r="G474" s="3">
        <f t="shared" si="58"/>
        <v>8.8384077463109403E-2</v>
      </c>
      <c r="H474" s="3">
        <f t="shared" si="55"/>
        <v>1.4378497085773223</v>
      </c>
      <c r="I474" s="3">
        <f t="shared" si="56"/>
        <v>58.98024408635186</v>
      </c>
    </row>
    <row r="475" spans="1:9" ht="15.75" customHeight="1">
      <c r="A475" s="14">
        <v>3713</v>
      </c>
      <c r="B475">
        <v>9.9600000000000009</v>
      </c>
      <c r="C475" s="3">
        <f t="shared" si="57"/>
        <v>0.24000000000000021</v>
      </c>
      <c r="D475" s="3">
        <f t="shared" si="52"/>
        <v>0.24000000000000021</v>
      </c>
      <c r="E475" s="3">
        <f t="shared" si="53"/>
        <v>0</v>
      </c>
      <c r="F475" s="3">
        <f t="shared" si="58"/>
        <v>0.13514851859297825</v>
      </c>
      <c r="G475" s="3">
        <f t="shared" si="58"/>
        <v>8.2070929072887294E-2</v>
      </c>
      <c r="H475" s="3">
        <f t="shared" si="55"/>
        <v>1.6467282644376144</v>
      </c>
      <c r="I475" s="3">
        <f t="shared" si="56"/>
        <v>62.217504024256783</v>
      </c>
    </row>
    <row r="476" spans="1:9" ht="15.75" customHeight="1">
      <c r="A476" s="14">
        <v>3744</v>
      </c>
      <c r="B476">
        <v>9.7200000000000006</v>
      </c>
      <c r="C476" s="3">
        <f t="shared" si="57"/>
        <v>-0.24000000000000021</v>
      </c>
      <c r="D476" s="3">
        <f t="shared" si="52"/>
        <v>0</v>
      </c>
      <c r="E476" s="3">
        <f t="shared" si="53"/>
        <v>0.24000000000000021</v>
      </c>
      <c r="F476" s="3">
        <f t="shared" si="58"/>
        <v>0.12549505297919408</v>
      </c>
      <c r="G476" s="3">
        <f t="shared" si="58"/>
        <v>9.3351576996252503E-2</v>
      </c>
      <c r="H476" s="3">
        <f t="shared" si="55"/>
        <v>1.3443270806687277</v>
      </c>
      <c r="I476" s="3">
        <f t="shared" si="56"/>
        <v>57.343836180284768</v>
      </c>
    </row>
    <row r="477" spans="1:9" ht="15.75" customHeight="1">
      <c r="A477" s="14">
        <v>3774</v>
      </c>
      <c r="B477">
        <v>9.56</v>
      </c>
      <c r="C477" s="3">
        <f t="shared" si="57"/>
        <v>-0.16000000000000014</v>
      </c>
      <c r="D477" s="3">
        <f t="shared" si="52"/>
        <v>0</v>
      </c>
      <c r="E477" s="3">
        <f t="shared" si="53"/>
        <v>0.16000000000000014</v>
      </c>
      <c r="F477" s="3">
        <f t="shared" si="58"/>
        <v>0.11653112062353736</v>
      </c>
      <c r="G477" s="3">
        <f t="shared" si="58"/>
        <v>9.8112178639377337E-2</v>
      </c>
      <c r="H477" s="3">
        <f t="shared" si="55"/>
        <v>1.1877334928201011</v>
      </c>
      <c r="I477" s="3">
        <f t="shared" si="56"/>
        <v>54.290593288355765</v>
      </c>
    </row>
    <row r="478" spans="1:9" ht="15.75" customHeight="1">
      <c r="A478" s="14">
        <v>3805</v>
      </c>
      <c r="B478">
        <v>9.1</v>
      </c>
      <c r="C478" s="3">
        <f t="shared" si="57"/>
        <v>-0.46000000000000085</v>
      </c>
      <c r="D478" s="3">
        <f t="shared" si="52"/>
        <v>0</v>
      </c>
      <c r="E478" s="3">
        <f t="shared" si="53"/>
        <v>0.46000000000000085</v>
      </c>
      <c r="F478" s="3">
        <f t="shared" si="58"/>
        <v>0.10820746915042755</v>
      </c>
      <c r="G478" s="3">
        <f t="shared" si="58"/>
        <v>0.12396130873656473</v>
      </c>
      <c r="H478" s="3">
        <f t="shared" si="55"/>
        <v>0.87291325215340931</v>
      </c>
      <c r="I478" s="3">
        <f t="shared" si="56"/>
        <v>46.607244150243723</v>
      </c>
    </row>
    <row r="479" spans="1:9" ht="15.75" customHeight="1">
      <c r="A479" s="14">
        <v>3835</v>
      </c>
      <c r="B479">
        <v>8.64</v>
      </c>
      <c r="C479" s="3">
        <f t="shared" si="57"/>
        <v>-0.45999999999999908</v>
      </c>
      <c r="D479" s="3">
        <f t="shared" si="52"/>
        <v>0</v>
      </c>
      <c r="E479" s="3">
        <f t="shared" si="53"/>
        <v>0.45999999999999908</v>
      </c>
      <c r="F479" s="3">
        <f t="shared" si="58"/>
        <v>0.1004783642111113</v>
      </c>
      <c r="G479" s="3">
        <f t="shared" si="58"/>
        <v>0.14796407239823864</v>
      </c>
      <c r="H479" s="3">
        <f t="shared" si="55"/>
        <v>0.67907271395368396</v>
      </c>
      <c r="I479" s="3">
        <f t="shared" si="56"/>
        <v>40.443317809309335</v>
      </c>
    </row>
    <row r="480" spans="1:9" ht="15.75" customHeight="1">
      <c r="A480" s="14">
        <v>3866</v>
      </c>
      <c r="B480">
        <v>8.85</v>
      </c>
      <c r="C480" s="3">
        <f t="shared" si="57"/>
        <v>0.20999999999999908</v>
      </c>
      <c r="D480" s="3">
        <f t="shared" si="52"/>
        <v>0.20999999999999908</v>
      </c>
      <c r="E480" s="3">
        <f t="shared" si="53"/>
        <v>0</v>
      </c>
      <c r="F480" s="3">
        <f t="shared" si="58"/>
        <v>0.10830133819603185</v>
      </c>
      <c r="G480" s="3">
        <f t="shared" si="58"/>
        <v>0.13739521008407873</v>
      </c>
      <c r="H480" s="3">
        <f t="shared" si="55"/>
        <v>0.7882468255607824</v>
      </c>
      <c r="I480" s="3">
        <f t="shared" si="56"/>
        <v>44.079307973248795</v>
      </c>
    </row>
    <row r="481" spans="1:9" ht="15.75" customHeight="1">
      <c r="A481" s="14">
        <v>3897</v>
      </c>
      <c r="B481">
        <v>8.91</v>
      </c>
      <c r="C481" s="3">
        <f t="shared" si="57"/>
        <v>6.0000000000000497E-2</v>
      </c>
      <c r="D481" s="3">
        <f t="shared" si="52"/>
        <v>6.0000000000000497E-2</v>
      </c>
      <c r="E481" s="3">
        <f t="shared" si="53"/>
        <v>0</v>
      </c>
      <c r="F481" s="3">
        <f t="shared" si="58"/>
        <v>0.10485124261060105</v>
      </c>
      <c r="G481" s="3">
        <f t="shared" si="58"/>
        <v>0.12758126650664453</v>
      </c>
      <c r="H481" s="3">
        <f t="shared" si="55"/>
        <v>0.82183885990142858</v>
      </c>
      <c r="I481" s="3">
        <f t="shared" si="56"/>
        <v>45.110403449506755</v>
      </c>
    </row>
    <row r="482" spans="1:9" ht="15.75" customHeight="1">
      <c r="A482" s="14">
        <v>3927</v>
      </c>
      <c r="B482">
        <v>9.32</v>
      </c>
      <c r="C482" s="3">
        <f t="shared" si="57"/>
        <v>0.41000000000000014</v>
      </c>
      <c r="D482" s="3">
        <f t="shared" si="52"/>
        <v>0.41000000000000014</v>
      </c>
      <c r="E482" s="3">
        <f t="shared" si="53"/>
        <v>0</v>
      </c>
      <c r="F482" s="3">
        <f t="shared" si="58"/>
        <v>0.12664758242412957</v>
      </c>
      <c r="G482" s="3">
        <f t="shared" si="58"/>
        <v>0.11846831889902706</v>
      </c>
      <c r="H482" s="3">
        <f t="shared" si="55"/>
        <v>1.0690417792800273</v>
      </c>
      <c r="I482" s="3">
        <f t="shared" si="56"/>
        <v>51.66844816695901</v>
      </c>
    </row>
    <row r="483" spans="1:9" ht="15.75" customHeight="1">
      <c r="A483" s="14">
        <v>3958</v>
      </c>
      <c r="B483">
        <v>9.31</v>
      </c>
      <c r="C483" s="3">
        <f t="shared" si="57"/>
        <v>-9.9999999999997868E-3</v>
      </c>
      <c r="D483" s="3">
        <f t="shared" si="52"/>
        <v>0</v>
      </c>
      <c r="E483" s="3">
        <f t="shared" si="53"/>
        <v>9.9999999999997868E-3</v>
      </c>
      <c r="F483" s="3">
        <f t="shared" si="58"/>
        <v>0.11760132653669175</v>
      </c>
      <c r="G483" s="3">
        <f t="shared" si="58"/>
        <v>0.11072058183481083</v>
      </c>
      <c r="H483" s="3">
        <f t="shared" si="55"/>
        <v>1.0621451277427951</v>
      </c>
      <c r="I483" s="3">
        <f t="shared" si="56"/>
        <v>51.506807811601952</v>
      </c>
    </row>
    <row r="484" spans="1:9" ht="15.75" customHeight="1">
      <c r="A484" s="14">
        <v>3988</v>
      </c>
      <c r="B484">
        <v>9.0500000000000007</v>
      </c>
      <c r="C484" s="3">
        <f t="shared" si="57"/>
        <v>-0.25999999999999979</v>
      </c>
      <c r="D484" s="3">
        <f t="shared" si="52"/>
        <v>0</v>
      </c>
      <c r="E484" s="3">
        <f t="shared" si="53"/>
        <v>0.25999999999999979</v>
      </c>
      <c r="F484" s="3">
        <f t="shared" si="58"/>
        <v>0.10920123178407092</v>
      </c>
      <c r="G484" s="3">
        <f t="shared" si="58"/>
        <v>0.12138339741803861</v>
      </c>
      <c r="H484" s="3">
        <f t="shared" si="55"/>
        <v>0.89963894656850885</v>
      </c>
      <c r="I484" s="3">
        <f t="shared" si="56"/>
        <v>47.358417671611164</v>
      </c>
    </row>
    <row r="485" spans="1:9" ht="15.75" customHeight="1">
      <c r="A485" s="14">
        <v>4019</v>
      </c>
      <c r="B485">
        <v>9.27</v>
      </c>
      <c r="C485" s="3">
        <f t="shared" si="57"/>
        <v>0.21999999999999886</v>
      </c>
      <c r="D485" s="3">
        <f t="shared" si="52"/>
        <v>0.21999999999999886</v>
      </c>
      <c r="E485" s="3">
        <f t="shared" si="53"/>
        <v>0</v>
      </c>
      <c r="F485" s="3">
        <f t="shared" si="58"/>
        <v>0.11711542951378005</v>
      </c>
      <c r="G485" s="3">
        <f t="shared" si="58"/>
        <v>0.11271315474532158</v>
      </c>
      <c r="H485" s="3">
        <f t="shared" si="55"/>
        <v>1.0390573290083622</v>
      </c>
      <c r="I485" s="3">
        <f t="shared" si="56"/>
        <v>50.957730036637983</v>
      </c>
    </row>
    <row r="486" spans="1:9" ht="15.75" customHeight="1">
      <c r="A486" s="14">
        <v>4050</v>
      </c>
      <c r="B486">
        <v>9.43</v>
      </c>
      <c r="C486" s="3">
        <f t="shared" si="57"/>
        <v>0.16000000000000014</v>
      </c>
      <c r="D486" s="3">
        <f t="shared" ref="D486:D549" si="59">IF(C486&gt;0,C486,0)</f>
        <v>0.16000000000000014</v>
      </c>
      <c r="E486" s="3">
        <f t="shared" ref="E486:E549" si="60">IF(C486&lt;0,-C486,0)</f>
        <v>0</v>
      </c>
      <c r="F486" s="3">
        <f t="shared" si="58"/>
        <v>0.12017861311993863</v>
      </c>
      <c r="G486" s="3">
        <f t="shared" si="58"/>
        <v>0.10466221512065575</v>
      </c>
      <c r="H486" s="3">
        <f t="shared" ref="H486:H549" si="61">F486/G486</f>
        <v>1.1482521460241923</v>
      </c>
      <c r="I486" s="3">
        <f t="shared" ref="I486:I549" si="62">IF(G486=0,100,100-(100/(1+H486)))</f>
        <v>53.450529452479891</v>
      </c>
    </row>
    <row r="487" spans="1:9" ht="15.75" customHeight="1">
      <c r="A487" s="14">
        <v>4078</v>
      </c>
      <c r="B487">
        <v>9.32</v>
      </c>
      <c r="C487" s="3">
        <f t="shared" si="57"/>
        <v>-0.10999999999999943</v>
      </c>
      <c r="D487" s="3">
        <f t="shared" si="59"/>
        <v>0</v>
      </c>
      <c r="E487" s="3">
        <f t="shared" si="60"/>
        <v>0.10999999999999943</v>
      </c>
      <c r="F487" s="3">
        <f t="shared" si="58"/>
        <v>0.11159442646851445</v>
      </c>
      <c r="G487" s="3">
        <f t="shared" si="58"/>
        <v>0.1050434854691803</v>
      </c>
      <c r="H487" s="3">
        <f t="shared" si="61"/>
        <v>1.0623640863597981</v>
      </c>
      <c r="I487" s="3">
        <f t="shared" si="62"/>
        <v>51.511956273197974</v>
      </c>
    </row>
    <row r="488" spans="1:9" ht="15.75" customHeight="1">
      <c r="A488" s="14">
        <v>4109</v>
      </c>
      <c r="B488">
        <v>9.2799999999999994</v>
      </c>
      <c r="C488" s="3">
        <f t="shared" si="57"/>
        <v>-4.0000000000000924E-2</v>
      </c>
      <c r="D488" s="3">
        <f t="shared" si="59"/>
        <v>0</v>
      </c>
      <c r="E488" s="3">
        <f t="shared" si="60"/>
        <v>4.0000000000000924E-2</v>
      </c>
      <c r="F488" s="3">
        <f t="shared" si="58"/>
        <v>0.1036233960064777</v>
      </c>
      <c r="G488" s="3">
        <f t="shared" si="58"/>
        <v>0.10039752222138176</v>
      </c>
      <c r="H488" s="3">
        <f t="shared" si="61"/>
        <v>1.0321310099464678</v>
      </c>
      <c r="I488" s="3">
        <f t="shared" si="62"/>
        <v>50.790574273735288</v>
      </c>
    </row>
    <row r="489" spans="1:9" ht="15.75" customHeight="1">
      <c r="A489" s="14">
        <v>4139</v>
      </c>
      <c r="B489">
        <v>9.48</v>
      </c>
      <c r="C489" s="3">
        <f t="shared" si="57"/>
        <v>0.20000000000000107</v>
      </c>
      <c r="D489" s="3">
        <f t="shared" si="59"/>
        <v>0.20000000000000107</v>
      </c>
      <c r="E489" s="3">
        <f t="shared" si="60"/>
        <v>0</v>
      </c>
      <c r="F489" s="3">
        <f t="shared" si="58"/>
        <v>0.11050743914887222</v>
      </c>
      <c r="G489" s="3">
        <f t="shared" si="58"/>
        <v>9.3226270634140213E-2</v>
      </c>
      <c r="H489" s="3">
        <f t="shared" si="61"/>
        <v>1.1853680126554746</v>
      </c>
      <c r="I489" s="3">
        <f t="shared" si="62"/>
        <v>54.241116635322001</v>
      </c>
    </row>
    <row r="490" spans="1:9" ht="15.75" customHeight="1">
      <c r="A490" s="14">
        <v>4170</v>
      </c>
      <c r="B490">
        <v>9.67</v>
      </c>
      <c r="C490" s="3">
        <f t="shared" si="57"/>
        <v>0.1899999999999995</v>
      </c>
      <c r="D490" s="3">
        <f t="shared" si="59"/>
        <v>0.1899999999999995</v>
      </c>
      <c r="E490" s="3">
        <f t="shared" si="60"/>
        <v>0</v>
      </c>
      <c r="F490" s="3">
        <f t="shared" si="58"/>
        <v>0.11618547920966703</v>
      </c>
      <c r="G490" s="3">
        <f t="shared" si="58"/>
        <v>8.6567251303130185E-2</v>
      </c>
      <c r="H490" s="3">
        <f t="shared" si="61"/>
        <v>1.3421412538885347</v>
      </c>
      <c r="I490" s="3">
        <f t="shared" si="62"/>
        <v>57.304026888226652</v>
      </c>
    </row>
    <row r="491" spans="1:9" ht="15.75" customHeight="1">
      <c r="A491" s="14">
        <v>4200</v>
      </c>
      <c r="B491">
        <v>9.6300000000000008</v>
      </c>
      <c r="C491" s="3">
        <f t="shared" ref="C491:C554" si="63">B491-B490</f>
        <v>-3.9999999999999147E-2</v>
      </c>
      <c r="D491" s="3">
        <f t="shared" si="59"/>
        <v>0</v>
      </c>
      <c r="E491" s="3">
        <f t="shared" si="60"/>
        <v>3.9999999999999147E-2</v>
      </c>
      <c r="F491" s="3">
        <f t="shared" si="58"/>
        <v>0.10788651640897652</v>
      </c>
      <c r="G491" s="3">
        <f t="shared" si="58"/>
        <v>8.3241019067192251E-2</v>
      </c>
      <c r="H491" s="3">
        <f t="shared" si="61"/>
        <v>1.2960739502947507</v>
      </c>
      <c r="I491" s="3">
        <f t="shared" si="62"/>
        <v>56.44739578742103</v>
      </c>
    </row>
    <row r="492" spans="1:9" ht="15.75" customHeight="1">
      <c r="A492" s="14">
        <v>4231</v>
      </c>
      <c r="B492">
        <v>9.17</v>
      </c>
      <c r="C492" s="3">
        <f t="shared" si="63"/>
        <v>-0.46000000000000085</v>
      </c>
      <c r="D492" s="3">
        <f t="shared" si="59"/>
        <v>0</v>
      </c>
      <c r="E492" s="3">
        <f t="shared" si="60"/>
        <v>0.46000000000000085</v>
      </c>
      <c r="F492" s="3">
        <f t="shared" si="58"/>
        <v>0.1001803366654782</v>
      </c>
      <c r="G492" s="3">
        <f t="shared" si="58"/>
        <v>0.11015237484810715</v>
      </c>
      <c r="H492" s="3">
        <f t="shared" si="61"/>
        <v>0.90947051122247946</v>
      </c>
      <c r="I492" s="3">
        <f t="shared" si="62"/>
        <v>47.629460935755382</v>
      </c>
    </row>
    <row r="493" spans="1:9" ht="15.75" customHeight="1">
      <c r="A493" s="14">
        <v>4262</v>
      </c>
      <c r="B493">
        <v>8.67</v>
      </c>
      <c r="C493" s="3">
        <f t="shared" si="63"/>
        <v>-0.5</v>
      </c>
      <c r="D493" s="3">
        <f t="shared" si="59"/>
        <v>0</v>
      </c>
      <c r="E493" s="3">
        <f t="shared" si="60"/>
        <v>0.5</v>
      </c>
      <c r="F493" s="3">
        <f t="shared" si="58"/>
        <v>9.3024598332229758E-2</v>
      </c>
      <c r="G493" s="3">
        <f t="shared" si="58"/>
        <v>0.13799863378752805</v>
      </c>
      <c r="H493" s="3">
        <f t="shared" si="61"/>
        <v>0.67409796589331938</v>
      </c>
      <c r="I493" s="3">
        <f t="shared" si="62"/>
        <v>40.266339224276656</v>
      </c>
    </row>
    <row r="494" spans="1:9" ht="15.75" customHeight="1">
      <c r="A494" s="14">
        <v>4292</v>
      </c>
      <c r="B494">
        <v>8.7200000000000006</v>
      </c>
      <c r="C494" s="3">
        <f t="shared" si="63"/>
        <v>5.0000000000000711E-2</v>
      </c>
      <c r="D494" s="3">
        <f t="shared" si="59"/>
        <v>5.0000000000000711E-2</v>
      </c>
      <c r="E494" s="3">
        <f t="shared" si="60"/>
        <v>0</v>
      </c>
      <c r="F494" s="3">
        <f t="shared" si="58"/>
        <v>8.9951412737070538E-2</v>
      </c>
      <c r="G494" s="3">
        <f t="shared" si="58"/>
        <v>0.12814158851699034</v>
      </c>
      <c r="H494" s="3">
        <f t="shared" si="61"/>
        <v>0.70196892186289583</v>
      </c>
      <c r="I494" s="3">
        <f t="shared" si="62"/>
        <v>41.244520557669958</v>
      </c>
    </row>
    <row r="495" spans="1:9" ht="15.75" customHeight="1">
      <c r="A495" s="14">
        <v>4323</v>
      </c>
      <c r="B495">
        <v>9.07</v>
      </c>
      <c r="C495" s="3">
        <f t="shared" si="63"/>
        <v>0.34999999999999964</v>
      </c>
      <c r="D495" s="3">
        <f t="shared" si="59"/>
        <v>0.34999999999999964</v>
      </c>
      <c r="E495" s="3">
        <f t="shared" si="60"/>
        <v>0</v>
      </c>
      <c r="F495" s="3">
        <f t="shared" si="58"/>
        <v>0.10852631182727976</v>
      </c>
      <c r="G495" s="3">
        <f t="shared" si="58"/>
        <v>0.1189886179086339</v>
      </c>
      <c r="H495" s="3">
        <f t="shared" si="61"/>
        <v>0.91207305147969964</v>
      </c>
      <c r="I495" s="3">
        <f t="shared" si="62"/>
        <v>47.700742959264652</v>
      </c>
    </row>
    <row r="496" spans="1:9" ht="15.75" customHeight="1">
      <c r="A496" s="14">
        <v>4353</v>
      </c>
      <c r="B496">
        <v>9.11</v>
      </c>
      <c r="C496" s="3">
        <f t="shared" si="63"/>
        <v>3.9999999999999147E-2</v>
      </c>
      <c r="D496" s="3">
        <f t="shared" si="59"/>
        <v>3.9999999999999147E-2</v>
      </c>
      <c r="E496" s="3">
        <f t="shared" si="60"/>
        <v>0</v>
      </c>
      <c r="F496" s="3">
        <f t="shared" si="58"/>
        <v>0.10363157526818829</v>
      </c>
      <c r="G496" s="3">
        <f t="shared" si="58"/>
        <v>0.11048943091516004</v>
      </c>
      <c r="H496" s="3">
        <f t="shared" si="61"/>
        <v>0.93793202127869046</v>
      </c>
      <c r="I496" s="3">
        <f t="shared" si="62"/>
        <v>48.398602787925562</v>
      </c>
    </row>
    <row r="497" spans="1:9" ht="15.75" customHeight="1">
      <c r="A497" s="14">
        <v>4384</v>
      </c>
      <c r="B497">
        <v>9.1199999999999992</v>
      </c>
      <c r="C497" s="3">
        <f t="shared" si="63"/>
        <v>9.9999999999997868E-3</v>
      </c>
      <c r="D497" s="3">
        <f t="shared" si="59"/>
        <v>9.9999999999997868E-3</v>
      </c>
      <c r="E497" s="3">
        <f t="shared" si="60"/>
        <v>0</v>
      </c>
      <c r="F497" s="3">
        <f t="shared" si="58"/>
        <v>9.6943605606174835E-2</v>
      </c>
      <c r="G497" s="3">
        <f t="shared" si="58"/>
        <v>0.10259732870693432</v>
      </c>
      <c r="H497" s="3">
        <f t="shared" si="61"/>
        <v>0.94489405160918816</v>
      </c>
      <c r="I497" s="3">
        <f t="shared" si="62"/>
        <v>48.583317473123593</v>
      </c>
    </row>
    <row r="498" spans="1:9" ht="15.75" customHeight="1">
      <c r="A498" s="14">
        <v>4415</v>
      </c>
      <c r="B498">
        <v>9.0399999999999991</v>
      </c>
      <c r="C498" s="3">
        <f t="shared" si="63"/>
        <v>-8.0000000000000071E-2</v>
      </c>
      <c r="D498" s="3">
        <f t="shared" si="59"/>
        <v>0</v>
      </c>
      <c r="E498" s="3">
        <f t="shared" si="60"/>
        <v>8.0000000000000071E-2</v>
      </c>
      <c r="F498" s="3">
        <f t="shared" si="58"/>
        <v>9.0019062348590917E-2</v>
      </c>
      <c r="G498" s="3">
        <f t="shared" si="58"/>
        <v>0.10098323379929616</v>
      </c>
      <c r="H498" s="3">
        <f t="shared" si="61"/>
        <v>0.89142582349366528</v>
      </c>
      <c r="I498" s="3">
        <f t="shared" si="62"/>
        <v>47.129832553893479</v>
      </c>
    </row>
    <row r="499" spans="1:9" ht="15.75" customHeight="1">
      <c r="A499" s="14">
        <v>4444</v>
      </c>
      <c r="B499">
        <v>9.3000000000000007</v>
      </c>
      <c r="C499" s="3">
        <f t="shared" si="63"/>
        <v>0.26000000000000156</v>
      </c>
      <c r="D499" s="3">
        <f t="shared" si="59"/>
        <v>0.26000000000000156</v>
      </c>
      <c r="E499" s="3">
        <f t="shared" si="60"/>
        <v>0</v>
      </c>
      <c r="F499" s="3">
        <f t="shared" si="58"/>
        <v>0.10216055789512025</v>
      </c>
      <c r="G499" s="3">
        <f t="shared" si="58"/>
        <v>9.3770145670775004E-2</v>
      </c>
      <c r="H499" s="3">
        <f t="shared" si="61"/>
        <v>1.0894785026121621</v>
      </c>
      <c r="I499" s="3">
        <f t="shared" si="62"/>
        <v>52.14116829869991</v>
      </c>
    </row>
    <row r="500" spans="1:9" ht="15.75" customHeight="1">
      <c r="A500" s="14">
        <v>4475</v>
      </c>
      <c r="B500">
        <v>9.59</v>
      </c>
      <c r="C500" s="3">
        <f t="shared" si="63"/>
        <v>0.28999999999999915</v>
      </c>
      <c r="D500" s="3">
        <f t="shared" si="59"/>
        <v>0.28999999999999915</v>
      </c>
      <c r="E500" s="3">
        <f t="shared" si="60"/>
        <v>0</v>
      </c>
      <c r="F500" s="3">
        <f t="shared" si="58"/>
        <v>0.1155776609026116</v>
      </c>
      <c r="G500" s="3">
        <f t="shared" si="58"/>
        <v>8.7072278122862515E-2</v>
      </c>
      <c r="H500" s="3">
        <f t="shared" si="61"/>
        <v>1.3273760994231347</v>
      </c>
      <c r="I500" s="3">
        <f t="shared" si="62"/>
        <v>57.033158489173246</v>
      </c>
    </row>
    <row r="501" spans="1:9" ht="15.75" customHeight="1">
      <c r="A501" s="14">
        <v>4505</v>
      </c>
      <c r="B501">
        <v>9.58</v>
      </c>
      <c r="C501" s="3">
        <f t="shared" si="63"/>
        <v>-9.9999999999997868E-3</v>
      </c>
      <c r="D501" s="3">
        <f t="shared" si="59"/>
        <v>0</v>
      </c>
      <c r="E501" s="3">
        <f t="shared" si="60"/>
        <v>9.9999999999997868E-3</v>
      </c>
      <c r="F501" s="3">
        <f t="shared" si="58"/>
        <v>0.1073221136952822</v>
      </c>
      <c r="G501" s="3">
        <f t="shared" si="58"/>
        <v>8.1567115399800896E-2</v>
      </c>
      <c r="H501" s="3">
        <f t="shared" si="61"/>
        <v>1.315752226485432</v>
      </c>
      <c r="I501" s="3">
        <f t="shared" si="62"/>
        <v>56.817487269884708</v>
      </c>
    </row>
    <row r="502" spans="1:9" ht="15.75" customHeight="1">
      <c r="A502" s="14">
        <v>4536</v>
      </c>
      <c r="B502">
        <v>9.58</v>
      </c>
      <c r="C502" s="3">
        <f t="shared" si="63"/>
        <v>0</v>
      </c>
      <c r="D502" s="3">
        <f t="shared" si="59"/>
        <v>0</v>
      </c>
      <c r="E502" s="3">
        <f t="shared" si="60"/>
        <v>0</v>
      </c>
      <c r="F502" s="3">
        <f t="shared" si="58"/>
        <v>9.9656248431333472E-2</v>
      </c>
      <c r="G502" s="3">
        <f t="shared" si="58"/>
        <v>7.5740892871243679E-2</v>
      </c>
      <c r="H502" s="3">
        <f t="shared" si="61"/>
        <v>1.3157522264854322</v>
      </c>
      <c r="I502" s="3">
        <f t="shared" si="62"/>
        <v>56.817487269884708</v>
      </c>
    </row>
    <row r="503" spans="1:9" ht="15.75" customHeight="1">
      <c r="A503" s="14">
        <v>4566</v>
      </c>
      <c r="B503">
        <v>9.59</v>
      </c>
      <c r="C503" s="3">
        <f t="shared" si="63"/>
        <v>9.9999999999997868E-3</v>
      </c>
      <c r="D503" s="3">
        <f t="shared" si="59"/>
        <v>9.9999999999997868E-3</v>
      </c>
      <c r="E503" s="3">
        <f t="shared" si="60"/>
        <v>0</v>
      </c>
      <c r="F503" s="3">
        <f t="shared" si="58"/>
        <v>9.3252230686238211E-2</v>
      </c>
      <c r="G503" s="3">
        <f t="shared" si="58"/>
        <v>7.033082909472628E-2</v>
      </c>
      <c r="H503" s="3">
        <f t="shared" si="61"/>
        <v>1.3259083091518777</v>
      </c>
      <c r="I503" s="3">
        <f t="shared" si="62"/>
        <v>57.006043786625391</v>
      </c>
    </row>
    <row r="504" spans="1:9" ht="15.75" customHeight="1">
      <c r="A504" s="14">
        <v>4597</v>
      </c>
      <c r="B504">
        <v>9.81</v>
      </c>
      <c r="C504" s="3">
        <f t="shared" si="63"/>
        <v>0.22000000000000064</v>
      </c>
      <c r="D504" s="3">
        <f t="shared" si="59"/>
        <v>0.22000000000000064</v>
      </c>
      <c r="E504" s="3">
        <f t="shared" si="60"/>
        <v>0</v>
      </c>
      <c r="F504" s="3">
        <f t="shared" si="58"/>
        <v>0.10230564278007838</v>
      </c>
      <c r="G504" s="3">
        <f t="shared" si="58"/>
        <v>6.5307198445102979E-2</v>
      </c>
      <c r="H504" s="3">
        <f t="shared" si="61"/>
        <v>1.5665293446338258</v>
      </c>
      <c r="I504" s="3">
        <f t="shared" si="62"/>
        <v>61.036876430389185</v>
      </c>
    </row>
    <row r="505" spans="1:9" ht="15.75" customHeight="1">
      <c r="A505" s="14">
        <v>4628</v>
      </c>
      <c r="B505">
        <v>9.86</v>
      </c>
      <c r="C505" s="3">
        <f t="shared" si="63"/>
        <v>4.9999999999998934E-2</v>
      </c>
      <c r="D505" s="3">
        <f t="shared" si="59"/>
        <v>4.9999999999998934E-2</v>
      </c>
      <c r="E505" s="3">
        <f t="shared" si="60"/>
        <v>0</v>
      </c>
      <c r="F505" s="3">
        <f t="shared" si="58"/>
        <v>9.856952543864414E-2</v>
      </c>
      <c r="G505" s="3">
        <f t="shared" si="58"/>
        <v>6.064239855616705E-2</v>
      </c>
      <c r="H505" s="3">
        <f t="shared" si="61"/>
        <v>1.6254226050664693</v>
      </c>
      <c r="I505" s="3">
        <f t="shared" si="62"/>
        <v>61.910893961595853</v>
      </c>
    </row>
    <row r="506" spans="1:9" ht="15.75" customHeight="1">
      <c r="A506" s="14">
        <v>4658</v>
      </c>
      <c r="B506">
        <v>9.84</v>
      </c>
      <c r="C506" s="3">
        <f t="shared" si="63"/>
        <v>-1.9999999999999574E-2</v>
      </c>
      <c r="D506" s="3">
        <f t="shared" si="59"/>
        <v>0</v>
      </c>
      <c r="E506" s="3">
        <f t="shared" si="60"/>
        <v>1.9999999999999574E-2</v>
      </c>
      <c r="F506" s="3">
        <f t="shared" si="58"/>
        <v>9.1528845050169561E-2</v>
      </c>
      <c r="G506" s="3">
        <f t="shared" si="58"/>
        <v>5.7739370087869377E-2</v>
      </c>
      <c r="H506" s="3">
        <f t="shared" si="61"/>
        <v>1.5852068512503414</v>
      </c>
      <c r="I506" s="3">
        <f t="shared" si="62"/>
        <v>61.318375761059599</v>
      </c>
    </row>
    <row r="507" spans="1:9" ht="15.75" customHeight="1">
      <c r="A507" s="14">
        <v>4689</v>
      </c>
      <c r="B507">
        <v>9.73</v>
      </c>
      <c r="C507" s="3">
        <f t="shared" si="63"/>
        <v>-0.10999999999999943</v>
      </c>
      <c r="D507" s="3">
        <f t="shared" si="59"/>
        <v>0</v>
      </c>
      <c r="E507" s="3">
        <f t="shared" si="60"/>
        <v>0.10999999999999943</v>
      </c>
      <c r="F507" s="3">
        <f t="shared" si="58"/>
        <v>8.4991070403728886E-2</v>
      </c>
      <c r="G507" s="3">
        <f t="shared" si="58"/>
        <v>6.1472272224450099E-2</v>
      </c>
      <c r="H507" s="3">
        <f t="shared" si="61"/>
        <v>1.3825919772967881</v>
      </c>
      <c r="I507" s="3">
        <f t="shared" si="62"/>
        <v>58.028902576320782</v>
      </c>
    </row>
    <row r="508" spans="1:9" ht="15.75" customHeight="1">
      <c r="A508" s="14">
        <v>4719</v>
      </c>
      <c r="B508">
        <v>9.3800000000000008</v>
      </c>
      <c r="C508" s="3">
        <f t="shared" si="63"/>
        <v>-0.34999999999999964</v>
      </c>
      <c r="D508" s="3">
        <f t="shared" si="59"/>
        <v>0</v>
      </c>
      <c r="E508" s="3">
        <f t="shared" si="60"/>
        <v>0.34999999999999964</v>
      </c>
      <c r="F508" s="3">
        <f t="shared" si="58"/>
        <v>7.89202796606054E-2</v>
      </c>
      <c r="G508" s="3">
        <f t="shared" si="58"/>
        <v>8.2081395636989352E-2</v>
      </c>
      <c r="H508" s="3">
        <f t="shared" si="61"/>
        <v>0.96148803328875876</v>
      </c>
      <c r="I508" s="3">
        <f t="shared" si="62"/>
        <v>49.018297179038363</v>
      </c>
    </row>
    <row r="509" spans="1:9" ht="15.75" customHeight="1">
      <c r="A509" s="14">
        <v>4750</v>
      </c>
      <c r="B509">
        <v>9.3000000000000007</v>
      </c>
      <c r="C509" s="3">
        <f t="shared" si="63"/>
        <v>-8.0000000000000071E-2</v>
      </c>
      <c r="D509" s="3">
        <f t="shared" si="59"/>
        <v>0</v>
      </c>
      <c r="E509" s="3">
        <f t="shared" si="60"/>
        <v>8.0000000000000071E-2</v>
      </c>
      <c r="F509" s="3">
        <f t="shared" si="58"/>
        <v>7.3283116827705025E-2</v>
      </c>
      <c r="G509" s="3">
        <f t="shared" si="58"/>
        <v>8.1932724520061548E-2</v>
      </c>
      <c r="H509" s="3">
        <f t="shared" si="61"/>
        <v>0.89443036658400599</v>
      </c>
      <c r="I509" s="3">
        <f t="shared" si="62"/>
        <v>47.213683984427604</v>
      </c>
    </row>
    <row r="510" spans="1:9" ht="15.75" customHeight="1">
      <c r="A510" s="14">
        <v>4781</v>
      </c>
      <c r="B510">
        <v>8.9700000000000006</v>
      </c>
      <c r="C510" s="3">
        <f t="shared" si="63"/>
        <v>-0.33000000000000007</v>
      </c>
      <c r="D510" s="3">
        <f t="shared" si="59"/>
        <v>0</v>
      </c>
      <c r="E510" s="3">
        <f t="shared" si="60"/>
        <v>0.33000000000000007</v>
      </c>
      <c r="F510" s="3">
        <f t="shared" si="58"/>
        <v>6.804860848286895E-2</v>
      </c>
      <c r="G510" s="3">
        <f t="shared" si="58"/>
        <v>9.9651815625771439E-2</v>
      </c>
      <c r="H510" s="3">
        <f t="shared" si="61"/>
        <v>0.68286370956266418</v>
      </c>
      <c r="I510" s="3">
        <f t="shared" si="62"/>
        <v>40.577481449173568</v>
      </c>
    </row>
    <row r="511" spans="1:9" ht="15.75" customHeight="1">
      <c r="A511" s="14">
        <v>4809</v>
      </c>
      <c r="B511">
        <v>8.8000000000000007</v>
      </c>
      <c r="C511" s="3">
        <f t="shared" si="63"/>
        <v>-0.16999999999999993</v>
      </c>
      <c r="D511" s="3">
        <f t="shared" si="59"/>
        <v>0</v>
      </c>
      <c r="E511" s="3">
        <f t="shared" si="60"/>
        <v>0.16999999999999993</v>
      </c>
      <c r="F511" s="3">
        <f t="shared" si="58"/>
        <v>6.3187993591235461E-2</v>
      </c>
      <c r="G511" s="3">
        <f t="shared" si="58"/>
        <v>0.10467668593821633</v>
      </c>
      <c r="H511" s="3">
        <f t="shared" si="61"/>
        <v>0.60364916050677342</v>
      </c>
      <c r="I511" s="3">
        <f t="shared" si="62"/>
        <v>37.642220965339618</v>
      </c>
    </row>
    <row r="512" spans="1:9" ht="15.75" customHeight="1">
      <c r="A512" s="14">
        <v>4840</v>
      </c>
      <c r="B512">
        <v>8.7899999999999991</v>
      </c>
      <c r="C512" s="3">
        <f t="shared" si="63"/>
        <v>-1.0000000000001563E-2</v>
      </c>
      <c r="D512" s="3">
        <f t="shared" si="59"/>
        <v>0</v>
      </c>
      <c r="E512" s="3">
        <f t="shared" si="60"/>
        <v>1.0000000000001563E-2</v>
      </c>
      <c r="F512" s="3">
        <f t="shared" si="58"/>
        <v>5.8674565477575782E-2</v>
      </c>
      <c r="G512" s="3">
        <f t="shared" si="58"/>
        <v>9.7914065514058138E-2</v>
      </c>
      <c r="H512" s="3">
        <f t="shared" si="61"/>
        <v>0.59924552381242413</v>
      </c>
      <c r="I512" s="3">
        <f t="shared" si="62"/>
        <v>37.47051437004427</v>
      </c>
    </row>
    <row r="513" spans="1:9" ht="15.75" customHeight="1">
      <c r="A513" s="14">
        <v>4870</v>
      </c>
      <c r="B513">
        <v>8.5500000000000007</v>
      </c>
      <c r="C513" s="3">
        <f t="shared" si="63"/>
        <v>-0.23999999999999844</v>
      </c>
      <c r="D513" s="3">
        <f t="shared" si="59"/>
        <v>0</v>
      </c>
      <c r="E513" s="3">
        <f t="shared" si="60"/>
        <v>0.23999999999999844</v>
      </c>
      <c r="F513" s="3">
        <f t="shared" si="58"/>
        <v>5.4483525086320372E-2</v>
      </c>
      <c r="G513" s="3">
        <f t="shared" si="58"/>
        <v>0.10806306083448244</v>
      </c>
      <c r="H513" s="3">
        <f t="shared" si="61"/>
        <v>0.50418269356419076</v>
      </c>
      <c r="I513" s="3">
        <f t="shared" si="62"/>
        <v>33.518713898344345</v>
      </c>
    </row>
    <row r="514" spans="1:9" ht="15.75" customHeight="1">
      <c r="A514" s="14">
        <v>4901</v>
      </c>
      <c r="B514">
        <v>8.1199999999999992</v>
      </c>
      <c r="C514" s="3">
        <f t="shared" si="63"/>
        <v>-0.43000000000000149</v>
      </c>
      <c r="D514" s="3">
        <f t="shared" si="59"/>
        <v>0</v>
      </c>
      <c r="E514" s="3">
        <f t="shared" si="60"/>
        <v>0.43000000000000149</v>
      </c>
      <c r="F514" s="3">
        <f t="shared" si="58"/>
        <v>5.0591844723011772E-2</v>
      </c>
      <c r="G514" s="3">
        <f t="shared" si="58"/>
        <v>0.13105855648916237</v>
      </c>
      <c r="H514" s="3">
        <f t="shared" si="61"/>
        <v>0.3860247364100593</v>
      </c>
      <c r="I514" s="3">
        <f t="shared" si="62"/>
        <v>27.851215513649592</v>
      </c>
    </row>
    <row r="515" spans="1:9" ht="15.75" customHeight="1">
      <c r="A515" s="14">
        <v>4931</v>
      </c>
      <c r="B515">
        <v>8.23</v>
      </c>
      <c r="C515" s="3">
        <f t="shared" si="63"/>
        <v>0.11000000000000121</v>
      </c>
      <c r="D515" s="3">
        <f t="shared" si="59"/>
        <v>0.11000000000000121</v>
      </c>
      <c r="E515" s="3">
        <f t="shared" si="60"/>
        <v>0</v>
      </c>
      <c r="F515" s="3">
        <f t="shared" si="58"/>
        <v>5.4835284385653875E-2</v>
      </c>
      <c r="G515" s="3">
        <f t="shared" si="58"/>
        <v>0.12169723102565078</v>
      </c>
      <c r="H515" s="3">
        <f t="shared" si="61"/>
        <v>0.45058777363714997</v>
      </c>
      <c r="I515" s="3">
        <f t="shared" si="62"/>
        <v>31.062427370896899</v>
      </c>
    </row>
    <row r="516" spans="1:9" ht="15.75" customHeight="1">
      <c r="A516" s="14">
        <v>4962</v>
      </c>
      <c r="B516">
        <v>8.4499999999999993</v>
      </c>
      <c r="C516" s="3">
        <f t="shared" si="63"/>
        <v>0.21999999999999886</v>
      </c>
      <c r="D516" s="3">
        <f t="shared" si="59"/>
        <v>0.21999999999999886</v>
      </c>
      <c r="E516" s="3">
        <f t="shared" si="60"/>
        <v>0</v>
      </c>
      <c r="F516" s="3">
        <f t="shared" si="58"/>
        <v>6.6632764072392797E-2</v>
      </c>
      <c r="G516" s="3">
        <f t="shared" si="58"/>
        <v>0.11300457166667573</v>
      </c>
      <c r="H516" s="3">
        <f t="shared" si="61"/>
        <v>0.5896466230493429</v>
      </c>
      <c r="I516" s="3">
        <f t="shared" si="62"/>
        <v>37.092937166013165</v>
      </c>
    </row>
    <row r="517" spans="1:9" ht="15.75" customHeight="1">
      <c r="A517" s="14">
        <v>4993</v>
      </c>
      <c r="B517">
        <v>8.5299999999999994</v>
      </c>
      <c r="C517" s="3">
        <f t="shared" si="63"/>
        <v>8.0000000000000071E-2</v>
      </c>
      <c r="D517" s="3">
        <f t="shared" si="59"/>
        <v>8.0000000000000071E-2</v>
      </c>
      <c r="E517" s="3">
        <f t="shared" si="60"/>
        <v>0</v>
      </c>
      <c r="F517" s="3">
        <f t="shared" si="58"/>
        <v>6.7587566638650468E-2</v>
      </c>
      <c r="G517" s="3">
        <f t="shared" si="58"/>
        <v>0.10493281654762746</v>
      </c>
      <c r="H517" s="3">
        <f t="shared" si="61"/>
        <v>0.64410323540656578</v>
      </c>
      <c r="I517" s="3">
        <f t="shared" si="62"/>
        <v>39.176568814870507</v>
      </c>
    </row>
    <row r="518" spans="1:9" ht="15.75" customHeight="1">
      <c r="A518" s="14">
        <v>5023</v>
      </c>
      <c r="B518">
        <v>8.26</v>
      </c>
      <c r="C518" s="3">
        <f t="shared" si="63"/>
        <v>-0.26999999999999957</v>
      </c>
      <c r="D518" s="3">
        <f t="shared" si="59"/>
        <v>0</v>
      </c>
      <c r="E518" s="3">
        <f t="shared" si="60"/>
        <v>0.26999999999999957</v>
      </c>
      <c r="F518" s="3">
        <f t="shared" si="58"/>
        <v>6.2759883307318284E-2</v>
      </c>
      <c r="G518" s="3">
        <f t="shared" si="58"/>
        <v>0.11672332965136832</v>
      </c>
      <c r="H518" s="3">
        <f t="shared" si="61"/>
        <v>0.53768071468463774</v>
      </c>
      <c r="I518" s="3">
        <f t="shared" si="62"/>
        <v>34.966993443428237</v>
      </c>
    </row>
    <row r="519" spans="1:9" ht="15.75" customHeight="1">
      <c r="A519" s="14">
        <v>5054</v>
      </c>
      <c r="B519">
        <v>8.0500000000000007</v>
      </c>
      <c r="C519" s="3">
        <f t="shared" si="63"/>
        <v>-0.20999999999999908</v>
      </c>
      <c r="D519" s="3">
        <f t="shared" si="59"/>
        <v>0</v>
      </c>
      <c r="E519" s="3">
        <f t="shared" si="60"/>
        <v>0.20999999999999908</v>
      </c>
      <c r="F519" s="3">
        <f t="shared" si="58"/>
        <v>5.8277034499652693E-2</v>
      </c>
      <c r="G519" s="3">
        <f t="shared" si="58"/>
        <v>0.12338594896198481</v>
      </c>
      <c r="H519" s="3">
        <f t="shared" si="61"/>
        <v>0.47231500012702288</v>
      </c>
      <c r="I519" s="3">
        <f t="shared" si="62"/>
        <v>32.079751961113914</v>
      </c>
    </row>
    <row r="520" spans="1:9" ht="15.75" customHeight="1">
      <c r="A520" s="14">
        <v>5084</v>
      </c>
      <c r="B520">
        <v>8.0399999999999991</v>
      </c>
      <c r="C520" s="3">
        <f t="shared" si="63"/>
        <v>-1.0000000000001563E-2</v>
      </c>
      <c r="D520" s="3">
        <f t="shared" si="59"/>
        <v>0</v>
      </c>
      <c r="E520" s="3">
        <f t="shared" si="60"/>
        <v>1.0000000000001563E-2</v>
      </c>
      <c r="F520" s="3">
        <f t="shared" si="58"/>
        <v>5.4114389178248935E-2</v>
      </c>
      <c r="G520" s="3">
        <f t="shared" si="58"/>
        <v>0.11528695260755743</v>
      </c>
      <c r="H520" s="3">
        <f t="shared" si="61"/>
        <v>0.46938866848581756</v>
      </c>
      <c r="I520" s="3">
        <f t="shared" si="62"/>
        <v>31.944486748323385</v>
      </c>
    </row>
    <row r="521" spans="1:9" ht="15.75" customHeight="1">
      <c r="A521" s="14">
        <v>5115</v>
      </c>
      <c r="B521">
        <v>8.3699999999999992</v>
      </c>
      <c r="C521" s="3">
        <f t="shared" si="63"/>
        <v>0.33000000000000007</v>
      </c>
      <c r="D521" s="3">
        <f t="shared" si="59"/>
        <v>0.33000000000000007</v>
      </c>
      <c r="E521" s="3">
        <f t="shared" si="60"/>
        <v>0</v>
      </c>
      <c r="F521" s="3">
        <f t="shared" si="58"/>
        <v>7.3820504236945444E-2</v>
      </c>
      <c r="G521" s="3">
        <f t="shared" si="58"/>
        <v>0.10705217027844618</v>
      </c>
      <c r="H521" s="3">
        <f t="shared" si="61"/>
        <v>0.6895750365913732</v>
      </c>
      <c r="I521" s="3">
        <f t="shared" si="62"/>
        <v>40.813519474255116</v>
      </c>
    </row>
    <row r="522" spans="1:9" ht="15.75" customHeight="1">
      <c r="A522" s="14">
        <v>5146</v>
      </c>
      <c r="B522">
        <v>8.48</v>
      </c>
      <c r="C522" s="3">
        <f t="shared" si="63"/>
        <v>0.11000000000000121</v>
      </c>
      <c r="D522" s="3">
        <f t="shared" si="59"/>
        <v>0.11000000000000121</v>
      </c>
      <c r="E522" s="3">
        <f t="shared" si="60"/>
        <v>0</v>
      </c>
      <c r="F522" s="3">
        <f t="shared" si="58"/>
        <v>7.6404753934306568E-2</v>
      </c>
      <c r="G522" s="3">
        <f t="shared" si="58"/>
        <v>9.9405586687128608E-2</v>
      </c>
      <c r="H522" s="3">
        <f t="shared" si="61"/>
        <v>0.7686162969369581</v>
      </c>
      <c r="I522" s="3">
        <f t="shared" si="62"/>
        <v>43.458623459939496</v>
      </c>
    </row>
    <row r="523" spans="1:9" ht="15.75" customHeight="1">
      <c r="A523" s="14">
        <v>5174</v>
      </c>
      <c r="B523">
        <v>8.32</v>
      </c>
      <c r="C523" s="3">
        <f t="shared" si="63"/>
        <v>-0.16000000000000014</v>
      </c>
      <c r="D523" s="3">
        <f t="shared" si="59"/>
        <v>0</v>
      </c>
      <c r="E523" s="3">
        <f t="shared" si="60"/>
        <v>0.16000000000000014</v>
      </c>
      <c r="F523" s="3">
        <f t="shared" si="58"/>
        <v>7.0947271510427526E-2</v>
      </c>
      <c r="G523" s="3">
        <f t="shared" si="58"/>
        <v>0.10373375906661943</v>
      </c>
      <c r="H523" s="3">
        <f t="shared" si="61"/>
        <v>0.68393618575862158</v>
      </c>
      <c r="I523" s="3">
        <f t="shared" si="62"/>
        <v>40.61532684806015</v>
      </c>
    </row>
    <row r="524" spans="1:9" ht="15.75" customHeight="1">
      <c r="A524" s="14">
        <v>5205</v>
      </c>
      <c r="B524">
        <v>8.1199999999999992</v>
      </c>
      <c r="C524" s="3">
        <f t="shared" si="63"/>
        <v>-0.20000000000000107</v>
      </c>
      <c r="D524" s="3">
        <f t="shared" si="59"/>
        <v>0</v>
      </c>
      <c r="E524" s="3">
        <f t="shared" si="60"/>
        <v>0.20000000000000107</v>
      </c>
      <c r="F524" s="3">
        <f t="shared" si="58"/>
        <v>6.5879609259682698E-2</v>
      </c>
      <c r="G524" s="3">
        <f t="shared" si="58"/>
        <v>0.11060991913328955</v>
      </c>
      <c r="H524" s="3">
        <f t="shared" si="61"/>
        <v>0.59560308673849616</v>
      </c>
      <c r="I524" s="3">
        <f t="shared" si="62"/>
        <v>37.32777228176105</v>
      </c>
    </row>
    <row r="525" spans="1:9" ht="15.75" customHeight="1">
      <c r="A525" s="14">
        <v>5235</v>
      </c>
      <c r="B525">
        <v>8.17</v>
      </c>
      <c r="C525" s="3">
        <f t="shared" si="63"/>
        <v>5.0000000000000711E-2</v>
      </c>
      <c r="D525" s="3">
        <f t="shared" si="59"/>
        <v>5.0000000000000711E-2</v>
      </c>
      <c r="E525" s="3">
        <f t="shared" si="60"/>
        <v>0</v>
      </c>
      <c r="F525" s="3">
        <f t="shared" si="58"/>
        <v>6.4745351455419695E-2</v>
      </c>
      <c r="G525" s="3">
        <f t="shared" si="58"/>
        <v>0.10270921062376888</v>
      </c>
      <c r="H525" s="3">
        <f t="shared" si="61"/>
        <v>0.63037531943056702</v>
      </c>
      <c r="I525" s="3">
        <f t="shared" si="62"/>
        <v>38.664429712462464</v>
      </c>
    </row>
    <row r="526" spans="1:9" ht="15.75" customHeight="1">
      <c r="A526" s="14">
        <v>5266</v>
      </c>
      <c r="B526">
        <v>8.1300000000000008</v>
      </c>
      <c r="C526" s="3">
        <f t="shared" si="63"/>
        <v>-3.9999999999999147E-2</v>
      </c>
      <c r="D526" s="3">
        <f t="shared" si="59"/>
        <v>0</v>
      </c>
      <c r="E526" s="3">
        <f t="shared" si="60"/>
        <v>3.9999999999999147E-2</v>
      </c>
      <c r="F526" s="3">
        <f t="shared" si="58"/>
        <v>6.0120683494318282E-2</v>
      </c>
      <c r="G526" s="3">
        <f t="shared" si="58"/>
        <v>9.8229981293499607E-2</v>
      </c>
      <c r="H526" s="3">
        <f t="shared" si="61"/>
        <v>0.6120400584693666</v>
      </c>
      <c r="I526" s="3">
        <f t="shared" si="62"/>
        <v>37.966802081239791</v>
      </c>
    </row>
    <row r="527" spans="1:9" ht="15.75" customHeight="1">
      <c r="A527" s="14">
        <v>5296</v>
      </c>
      <c r="B527">
        <v>7.68</v>
      </c>
      <c r="C527" s="3">
        <f t="shared" si="63"/>
        <v>-0.45000000000000107</v>
      </c>
      <c r="D527" s="3">
        <f t="shared" si="59"/>
        <v>0</v>
      </c>
      <c r="E527" s="3">
        <f t="shared" si="60"/>
        <v>0.45000000000000107</v>
      </c>
      <c r="F527" s="3">
        <f t="shared" si="58"/>
        <v>5.5826348959009835E-2</v>
      </c>
      <c r="G527" s="3">
        <f t="shared" si="58"/>
        <v>0.12335641120110685</v>
      </c>
      <c r="H527" s="3">
        <f t="shared" si="61"/>
        <v>0.45256139032771175</v>
      </c>
      <c r="I527" s="3">
        <f t="shared" si="62"/>
        <v>31.156093872604558</v>
      </c>
    </row>
    <row r="528" spans="1:9" ht="15.75" customHeight="1">
      <c r="A528" s="14">
        <v>5327</v>
      </c>
      <c r="B528">
        <v>7.68</v>
      </c>
      <c r="C528" s="3">
        <f t="shared" si="63"/>
        <v>0</v>
      </c>
      <c r="D528" s="3">
        <f t="shared" si="59"/>
        <v>0</v>
      </c>
      <c r="E528" s="3">
        <f t="shared" si="60"/>
        <v>0</v>
      </c>
      <c r="F528" s="3">
        <f t="shared" si="58"/>
        <v>5.1838752604794848E-2</v>
      </c>
      <c r="G528" s="3">
        <f t="shared" si="58"/>
        <v>0.11454523897245636</v>
      </c>
      <c r="H528" s="3">
        <f t="shared" si="61"/>
        <v>0.45256139032771181</v>
      </c>
      <c r="I528" s="3">
        <f t="shared" si="62"/>
        <v>31.156093872604558</v>
      </c>
    </row>
    <row r="529" spans="1:9" ht="15.75" customHeight="1">
      <c r="A529" s="14">
        <v>5358</v>
      </c>
      <c r="B529">
        <v>7.68</v>
      </c>
      <c r="C529" s="3">
        <f t="shared" si="63"/>
        <v>0</v>
      </c>
      <c r="D529" s="3">
        <f t="shared" si="59"/>
        <v>0</v>
      </c>
      <c r="E529" s="3">
        <f t="shared" si="60"/>
        <v>0</v>
      </c>
      <c r="F529" s="3">
        <f t="shared" si="58"/>
        <v>4.8135984561595221E-2</v>
      </c>
      <c r="G529" s="3">
        <f t="shared" si="58"/>
        <v>0.10636343618870947</v>
      </c>
      <c r="H529" s="3">
        <f t="shared" si="61"/>
        <v>0.45256139032771187</v>
      </c>
      <c r="I529" s="3">
        <f t="shared" si="62"/>
        <v>31.156093872604558</v>
      </c>
    </row>
    <row r="530" spans="1:9" ht="15.75" customHeight="1">
      <c r="A530" s="14">
        <v>5388</v>
      </c>
      <c r="B530">
        <v>7.68</v>
      </c>
      <c r="C530" s="3">
        <f t="shared" si="63"/>
        <v>0</v>
      </c>
      <c r="D530" s="3">
        <f t="shared" si="59"/>
        <v>0</v>
      </c>
      <c r="E530" s="3">
        <f t="shared" si="60"/>
        <v>0</v>
      </c>
      <c r="F530" s="3">
        <f t="shared" ref="F530:G593" si="64">((F529*13)+D530)/14</f>
        <v>4.4697699950052704E-2</v>
      </c>
      <c r="G530" s="3">
        <f t="shared" si="64"/>
        <v>9.8766047889515943E-2</v>
      </c>
      <c r="H530" s="3">
        <f t="shared" si="61"/>
        <v>0.45256139032771181</v>
      </c>
      <c r="I530" s="3">
        <f t="shared" si="62"/>
        <v>31.156093872604558</v>
      </c>
    </row>
    <row r="531" spans="1:9" ht="15.75" customHeight="1">
      <c r="A531" s="14">
        <v>5419</v>
      </c>
      <c r="B531">
        <v>7.68</v>
      </c>
      <c r="C531" s="3">
        <f t="shared" si="63"/>
        <v>0</v>
      </c>
      <c r="D531" s="3">
        <f t="shared" si="59"/>
        <v>0</v>
      </c>
      <c r="E531" s="3">
        <f t="shared" si="60"/>
        <v>0</v>
      </c>
      <c r="F531" s="3">
        <f t="shared" si="64"/>
        <v>4.150500709647751E-2</v>
      </c>
      <c r="G531" s="3">
        <f t="shared" si="64"/>
        <v>9.1711330183121942E-2</v>
      </c>
      <c r="H531" s="3">
        <f t="shared" si="61"/>
        <v>0.45256139032771187</v>
      </c>
      <c r="I531" s="3">
        <f t="shared" si="62"/>
        <v>31.156093872604558</v>
      </c>
    </row>
    <row r="532" spans="1:9" ht="15.75" customHeight="1">
      <c r="A532" s="14">
        <v>5449</v>
      </c>
      <c r="B532">
        <v>7.35</v>
      </c>
      <c r="C532" s="3">
        <f t="shared" si="63"/>
        <v>-0.33000000000000007</v>
      </c>
      <c r="D532" s="3">
        <f t="shared" si="59"/>
        <v>0</v>
      </c>
      <c r="E532" s="3">
        <f t="shared" si="60"/>
        <v>0.33000000000000007</v>
      </c>
      <c r="F532" s="3">
        <f t="shared" si="64"/>
        <v>3.8540363732443406E-2</v>
      </c>
      <c r="G532" s="3">
        <f t="shared" si="64"/>
        <v>0.10873194945575608</v>
      </c>
      <c r="H532" s="3">
        <f t="shared" si="61"/>
        <v>0.35445298208440379</v>
      </c>
      <c r="I532" s="3">
        <f t="shared" si="62"/>
        <v>26.169456361558346</v>
      </c>
    </row>
    <row r="533" spans="1:9" ht="15.75" customHeight="1">
      <c r="A533" s="14">
        <v>5480</v>
      </c>
      <c r="B533">
        <v>7.48</v>
      </c>
      <c r="C533" s="3">
        <f t="shared" si="63"/>
        <v>0.13000000000000078</v>
      </c>
      <c r="D533" s="3">
        <f t="shared" si="59"/>
        <v>0.13000000000000078</v>
      </c>
      <c r="E533" s="3">
        <f t="shared" si="60"/>
        <v>0</v>
      </c>
      <c r="F533" s="3">
        <f t="shared" si="64"/>
        <v>4.5073194894411792E-2</v>
      </c>
      <c r="G533" s="3">
        <f t="shared" si="64"/>
        <v>0.10096538163748779</v>
      </c>
      <c r="H533" s="3">
        <f t="shared" si="61"/>
        <v>0.44642227032078496</v>
      </c>
      <c r="I533" s="3">
        <f t="shared" si="62"/>
        <v>30.863896351774102</v>
      </c>
    </row>
    <row r="534" spans="1:9" ht="15.75" customHeight="1">
      <c r="A534" s="14">
        <v>5511</v>
      </c>
      <c r="B534">
        <v>7.38</v>
      </c>
      <c r="C534" s="3">
        <f t="shared" si="63"/>
        <v>-0.10000000000000053</v>
      </c>
      <c r="D534" s="3">
        <f t="shared" si="59"/>
        <v>0</v>
      </c>
      <c r="E534" s="3">
        <f t="shared" si="60"/>
        <v>0.10000000000000053</v>
      </c>
      <c r="F534" s="3">
        <f t="shared" si="64"/>
        <v>4.1853680973382379E-2</v>
      </c>
      <c r="G534" s="3">
        <f t="shared" si="64"/>
        <v>0.1008964258062387</v>
      </c>
      <c r="H534" s="3">
        <f t="shared" si="61"/>
        <v>0.41481827169733554</v>
      </c>
      <c r="I534" s="3">
        <f t="shared" si="62"/>
        <v>29.319544424577202</v>
      </c>
    </row>
    <row r="535" spans="1:9" ht="15.75" customHeight="1">
      <c r="A535" s="14">
        <v>5539</v>
      </c>
      <c r="B535">
        <v>7.57</v>
      </c>
      <c r="C535" s="3">
        <f t="shared" si="63"/>
        <v>0.19000000000000039</v>
      </c>
      <c r="D535" s="3">
        <f t="shared" si="59"/>
        <v>0.19000000000000039</v>
      </c>
      <c r="E535" s="3">
        <f t="shared" si="60"/>
        <v>0</v>
      </c>
      <c r="F535" s="3">
        <f t="shared" si="64"/>
        <v>5.2435560903855094E-2</v>
      </c>
      <c r="G535" s="3">
        <f t="shared" si="64"/>
        <v>9.3689538248650228E-2</v>
      </c>
      <c r="H535" s="3">
        <f t="shared" si="61"/>
        <v>0.55967359733049515</v>
      </c>
      <c r="I535" s="3">
        <f t="shared" si="62"/>
        <v>35.884020752061247</v>
      </c>
    </row>
    <row r="536" spans="1:9" ht="15.75" customHeight="1">
      <c r="A536" s="14">
        <v>5570</v>
      </c>
      <c r="B536">
        <v>8.14</v>
      </c>
      <c r="C536" s="3">
        <f t="shared" si="63"/>
        <v>0.57000000000000028</v>
      </c>
      <c r="D536" s="3">
        <f t="shared" si="59"/>
        <v>0.57000000000000028</v>
      </c>
      <c r="E536" s="3">
        <f t="shared" si="60"/>
        <v>0</v>
      </c>
      <c r="F536" s="3">
        <f t="shared" si="64"/>
        <v>8.9404449410722606E-2</v>
      </c>
      <c r="G536" s="3">
        <f t="shared" si="64"/>
        <v>8.6997428373746646E-2</v>
      </c>
      <c r="H536" s="3">
        <f t="shared" si="61"/>
        <v>1.0276677262991643</v>
      </c>
      <c r="I536" s="3">
        <f t="shared" si="62"/>
        <v>50.682254936060509</v>
      </c>
    </row>
    <row r="537" spans="1:9" ht="15.75" customHeight="1">
      <c r="A537" s="14">
        <v>5600</v>
      </c>
      <c r="B537">
        <v>7.95</v>
      </c>
      <c r="C537" s="3">
        <f t="shared" si="63"/>
        <v>-0.19000000000000039</v>
      </c>
      <c r="D537" s="3">
        <f t="shared" si="59"/>
        <v>0</v>
      </c>
      <c r="E537" s="3">
        <f t="shared" si="60"/>
        <v>0.19000000000000039</v>
      </c>
      <c r="F537" s="3">
        <f t="shared" si="64"/>
        <v>8.301841730995671E-2</v>
      </c>
      <c r="G537" s="3">
        <f t="shared" si="64"/>
        <v>9.435475491847907E-2</v>
      </c>
      <c r="H537" s="3">
        <f t="shared" si="61"/>
        <v>0.87985409300976125</v>
      </c>
      <c r="I537" s="3">
        <f t="shared" si="62"/>
        <v>46.804382121011372</v>
      </c>
    </row>
    <row r="538" spans="1:9" ht="15.75" customHeight="1">
      <c r="A538" s="14">
        <v>5631</v>
      </c>
      <c r="B538">
        <v>8.0399999999999991</v>
      </c>
      <c r="C538" s="3">
        <f t="shared" si="63"/>
        <v>8.999999999999897E-2</v>
      </c>
      <c r="D538" s="3">
        <f t="shared" si="59"/>
        <v>8.999999999999897E-2</v>
      </c>
      <c r="E538" s="3">
        <f t="shared" si="60"/>
        <v>0</v>
      </c>
      <c r="F538" s="3">
        <f t="shared" si="64"/>
        <v>8.3517101787816878E-2</v>
      </c>
      <c r="G538" s="3">
        <f t="shared" si="64"/>
        <v>8.7615129567159139E-2</v>
      </c>
      <c r="H538" s="3">
        <f t="shared" si="61"/>
        <v>0.95322693923312618</v>
      </c>
      <c r="I538" s="3">
        <f t="shared" si="62"/>
        <v>48.802672136366354</v>
      </c>
    </row>
    <row r="539" spans="1:9" ht="15.75" customHeight="1">
      <c r="A539" s="14">
        <v>5661</v>
      </c>
      <c r="B539">
        <v>8.01</v>
      </c>
      <c r="C539" s="3">
        <f t="shared" si="63"/>
        <v>-2.9999999999999361E-2</v>
      </c>
      <c r="D539" s="3">
        <f t="shared" si="59"/>
        <v>0</v>
      </c>
      <c r="E539" s="3">
        <f t="shared" si="60"/>
        <v>2.9999999999999361E-2</v>
      </c>
      <c r="F539" s="3">
        <f t="shared" si="64"/>
        <v>7.7551594517258529E-2</v>
      </c>
      <c r="G539" s="3">
        <f t="shared" si="64"/>
        <v>8.3499763169504873E-2</v>
      </c>
      <c r="H539" s="3">
        <f t="shared" si="61"/>
        <v>0.92876424523298906</v>
      </c>
      <c r="I539" s="3">
        <f t="shared" si="62"/>
        <v>48.153331726698255</v>
      </c>
    </row>
    <row r="540" spans="1:9" ht="15.75" customHeight="1">
      <c r="A540" s="14">
        <v>5692</v>
      </c>
      <c r="B540">
        <v>8.35</v>
      </c>
      <c r="C540" s="3">
        <f t="shared" si="63"/>
        <v>0.33999999999999986</v>
      </c>
      <c r="D540" s="3">
        <f t="shared" si="59"/>
        <v>0.33999999999999986</v>
      </c>
      <c r="E540" s="3">
        <f t="shared" si="60"/>
        <v>0</v>
      </c>
      <c r="F540" s="3">
        <f t="shared" si="64"/>
        <v>9.62979091945972E-2</v>
      </c>
      <c r="G540" s="3">
        <f t="shared" si="64"/>
        <v>7.7535494371683097E-2</v>
      </c>
      <c r="H540" s="3">
        <f t="shared" si="61"/>
        <v>1.2419848480358224</v>
      </c>
      <c r="I540" s="3">
        <f t="shared" si="62"/>
        <v>55.396665553913593</v>
      </c>
    </row>
    <row r="541" spans="1:9" ht="15.75" customHeight="1">
      <c r="A541" s="14">
        <v>5723</v>
      </c>
      <c r="B541">
        <v>8.66</v>
      </c>
      <c r="C541" s="3">
        <f t="shared" si="63"/>
        <v>0.3100000000000005</v>
      </c>
      <c r="D541" s="3">
        <f t="shared" si="59"/>
        <v>0.3100000000000005</v>
      </c>
      <c r="E541" s="3">
        <f t="shared" si="60"/>
        <v>0</v>
      </c>
      <c r="F541" s="3">
        <f t="shared" si="64"/>
        <v>0.11156234425212601</v>
      </c>
      <c r="G541" s="3">
        <f t="shared" si="64"/>
        <v>7.1997244773705726E-2</v>
      </c>
      <c r="H541" s="3">
        <f t="shared" si="61"/>
        <v>1.5495362996567048</v>
      </c>
      <c r="I541" s="3">
        <f t="shared" si="62"/>
        <v>60.77718131980901</v>
      </c>
    </row>
    <row r="542" spans="1:9" ht="15.75" customHeight="1">
      <c r="A542" s="14">
        <v>5753</v>
      </c>
      <c r="B542">
        <v>9.14</v>
      </c>
      <c r="C542" s="3">
        <f t="shared" si="63"/>
        <v>0.48000000000000043</v>
      </c>
      <c r="D542" s="3">
        <f t="shared" si="59"/>
        <v>0.48000000000000043</v>
      </c>
      <c r="E542" s="3">
        <f t="shared" si="60"/>
        <v>0</v>
      </c>
      <c r="F542" s="3">
        <f t="shared" si="64"/>
        <v>0.13787931966268846</v>
      </c>
      <c r="G542" s="3">
        <f t="shared" si="64"/>
        <v>6.6854584432726752E-2</v>
      </c>
      <c r="H542" s="3">
        <f t="shared" si="61"/>
        <v>2.0623764373471083</v>
      </c>
      <c r="I542" s="3">
        <f t="shared" si="62"/>
        <v>67.345621269660597</v>
      </c>
    </row>
    <row r="543" spans="1:9" ht="15.75" customHeight="1">
      <c r="A543" s="14">
        <v>5784</v>
      </c>
      <c r="B543">
        <v>9.4600000000000009</v>
      </c>
      <c r="C543" s="3">
        <f t="shared" si="63"/>
        <v>0.32000000000000028</v>
      </c>
      <c r="D543" s="3">
        <f t="shared" si="59"/>
        <v>0.32000000000000028</v>
      </c>
      <c r="E543" s="3">
        <f t="shared" si="60"/>
        <v>0</v>
      </c>
      <c r="F543" s="3">
        <f t="shared" si="64"/>
        <v>0.15088793968678216</v>
      </c>
      <c r="G543" s="3">
        <f t="shared" si="64"/>
        <v>6.2079256973246275E-2</v>
      </c>
      <c r="H543" s="3">
        <f t="shared" si="61"/>
        <v>2.4305693567145776</v>
      </c>
      <c r="I543" s="3">
        <f t="shared" si="62"/>
        <v>70.850319698602732</v>
      </c>
    </row>
    <row r="544" spans="1:9" ht="15.75" customHeight="1">
      <c r="A544" s="14">
        <v>5814</v>
      </c>
      <c r="B544">
        <v>9.48</v>
      </c>
      <c r="C544" s="3">
        <f t="shared" si="63"/>
        <v>1.9999999999999574E-2</v>
      </c>
      <c r="D544" s="3">
        <f t="shared" si="59"/>
        <v>1.9999999999999574E-2</v>
      </c>
      <c r="E544" s="3">
        <f t="shared" si="60"/>
        <v>0</v>
      </c>
      <c r="F544" s="3">
        <f t="shared" si="64"/>
        <v>0.14153880113772627</v>
      </c>
      <c r="G544" s="3">
        <f t="shared" si="64"/>
        <v>5.7645024332300114E-2</v>
      </c>
      <c r="H544" s="3">
        <f t="shared" si="61"/>
        <v>2.4553515724412338</v>
      </c>
      <c r="I544" s="3">
        <f t="shared" si="62"/>
        <v>71.059384869091858</v>
      </c>
    </row>
    <row r="545" spans="1:9" ht="15.75" customHeight="1">
      <c r="A545" s="14">
        <v>5845</v>
      </c>
      <c r="B545">
        <v>9.33</v>
      </c>
      <c r="C545" s="3">
        <f t="shared" si="63"/>
        <v>-0.15000000000000036</v>
      </c>
      <c r="D545" s="3">
        <f t="shared" si="59"/>
        <v>0</v>
      </c>
      <c r="E545" s="3">
        <f t="shared" si="60"/>
        <v>0.15000000000000036</v>
      </c>
      <c r="F545" s="3">
        <f t="shared" si="64"/>
        <v>0.13142888677074582</v>
      </c>
      <c r="G545" s="3">
        <f t="shared" si="64"/>
        <v>6.4241808308564421E-2</v>
      </c>
      <c r="H545" s="3">
        <f t="shared" si="61"/>
        <v>2.0458466259148613</v>
      </c>
      <c r="I545" s="3">
        <f t="shared" si="62"/>
        <v>67.168405937063994</v>
      </c>
    </row>
    <row r="546" spans="1:9" ht="15.75" customHeight="1">
      <c r="A546" s="14">
        <v>5876</v>
      </c>
      <c r="B546">
        <v>9.1999999999999993</v>
      </c>
      <c r="C546" s="3">
        <f t="shared" si="63"/>
        <v>-0.13000000000000078</v>
      </c>
      <c r="D546" s="3">
        <f t="shared" si="59"/>
        <v>0</v>
      </c>
      <c r="E546" s="3">
        <f t="shared" si="60"/>
        <v>0.13000000000000078</v>
      </c>
      <c r="F546" s="3">
        <f t="shared" si="64"/>
        <v>0.12204110914426398</v>
      </c>
      <c r="G546" s="3">
        <f t="shared" si="64"/>
        <v>6.8938822000809877E-2</v>
      </c>
      <c r="H546" s="3">
        <f t="shared" si="61"/>
        <v>1.7702813248365381</v>
      </c>
      <c r="I546" s="3">
        <f t="shared" si="62"/>
        <v>63.902583068562336</v>
      </c>
    </row>
    <row r="547" spans="1:9" ht="15.75" customHeight="1">
      <c r="A547" s="14">
        <v>5905</v>
      </c>
      <c r="B547">
        <v>9.17</v>
      </c>
      <c r="C547" s="3">
        <f t="shared" si="63"/>
        <v>-2.9999999999999361E-2</v>
      </c>
      <c r="D547" s="3">
        <f t="shared" si="59"/>
        <v>0</v>
      </c>
      <c r="E547" s="3">
        <f t="shared" si="60"/>
        <v>2.9999999999999361E-2</v>
      </c>
      <c r="F547" s="3">
        <f t="shared" si="64"/>
        <v>0.11332388706253084</v>
      </c>
      <c r="G547" s="3">
        <f t="shared" si="64"/>
        <v>6.6157477572180559E-2</v>
      </c>
      <c r="H547" s="3">
        <f t="shared" si="61"/>
        <v>1.7129414726988308</v>
      </c>
      <c r="I547" s="3">
        <f t="shared" si="62"/>
        <v>63.139639757683341</v>
      </c>
    </row>
    <row r="548" spans="1:9" ht="15.75" customHeight="1">
      <c r="A548" s="14">
        <v>5936</v>
      </c>
      <c r="B548">
        <v>9.07</v>
      </c>
      <c r="C548" s="3">
        <f t="shared" si="63"/>
        <v>-9.9999999999999645E-2</v>
      </c>
      <c r="D548" s="3">
        <f t="shared" si="59"/>
        <v>0</v>
      </c>
      <c r="E548" s="3">
        <f t="shared" si="60"/>
        <v>9.9999999999999645E-2</v>
      </c>
      <c r="F548" s="3">
        <f t="shared" si="64"/>
        <v>0.1052293237009215</v>
      </c>
      <c r="G548" s="3">
        <f t="shared" si="64"/>
        <v>6.8574800602739058E-2</v>
      </c>
      <c r="H548" s="3">
        <f t="shared" si="61"/>
        <v>1.5345188433069736</v>
      </c>
      <c r="I548" s="3">
        <f t="shared" si="62"/>
        <v>60.544779430591007</v>
      </c>
    </row>
    <row r="549" spans="1:9" ht="15.75" customHeight="1">
      <c r="A549" s="14">
        <v>5966</v>
      </c>
      <c r="B549">
        <v>9.27</v>
      </c>
      <c r="C549" s="3">
        <f t="shared" si="63"/>
        <v>0.19999999999999929</v>
      </c>
      <c r="D549" s="3">
        <f t="shared" si="59"/>
        <v>0.19999999999999929</v>
      </c>
      <c r="E549" s="3">
        <f t="shared" si="60"/>
        <v>0</v>
      </c>
      <c r="F549" s="3">
        <f t="shared" si="64"/>
        <v>0.11199865772228421</v>
      </c>
      <c r="G549" s="3">
        <f t="shared" si="64"/>
        <v>6.3676600559686269E-2</v>
      </c>
      <c r="H549" s="3">
        <f t="shared" si="61"/>
        <v>1.7588667852534623</v>
      </c>
      <c r="I549" s="3">
        <f t="shared" si="62"/>
        <v>63.753233561506377</v>
      </c>
    </row>
    <row r="550" spans="1:9" ht="15.75" customHeight="1">
      <c r="A550" s="14">
        <v>5997</v>
      </c>
      <c r="B550">
        <v>9.36</v>
      </c>
      <c r="C550" s="3">
        <f t="shared" si="63"/>
        <v>8.9999999999999858E-2</v>
      </c>
      <c r="D550" s="3">
        <f t="shared" ref="D550:D613" si="65">IF(C550&gt;0,C550,0)</f>
        <v>8.9999999999999858E-2</v>
      </c>
      <c r="E550" s="3">
        <f t="shared" ref="E550:E613" si="66">IF(C550&lt;0,-C550,0)</f>
        <v>0</v>
      </c>
      <c r="F550" s="3">
        <f t="shared" si="64"/>
        <v>0.11042732502783532</v>
      </c>
      <c r="G550" s="3">
        <f t="shared" si="64"/>
        <v>5.912827194828011E-2</v>
      </c>
      <c r="H550" s="3">
        <f t="shared" ref="H550:H613" si="67">F550/G550</f>
        <v>1.8675892494275299</v>
      </c>
      <c r="I550" s="3">
        <f t="shared" ref="I550:I613" si="68">IF(G550=0,100,100-(100/(1+H550)))</f>
        <v>65.127502127453056</v>
      </c>
    </row>
    <row r="551" spans="1:9" ht="15.75" customHeight="1">
      <c r="A551" s="14">
        <v>6027</v>
      </c>
      <c r="B551">
        <v>9.23</v>
      </c>
      <c r="C551" s="3">
        <f t="shared" si="63"/>
        <v>-0.12999999999999901</v>
      </c>
      <c r="D551" s="3">
        <f t="shared" si="65"/>
        <v>0</v>
      </c>
      <c r="E551" s="3">
        <f t="shared" si="66"/>
        <v>0.12999999999999901</v>
      </c>
      <c r="F551" s="3">
        <f t="shared" si="64"/>
        <v>0.10253965895441852</v>
      </c>
      <c r="G551" s="3">
        <f t="shared" si="64"/>
        <v>6.4190538237688596E-2</v>
      </c>
      <c r="H551" s="3">
        <f t="shared" si="67"/>
        <v>1.5974263773070181</v>
      </c>
      <c r="I551" s="3">
        <f t="shared" si="68"/>
        <v>61.500352474406277</v>
      </c>
    </row>
    <row r="552" spans="1:9" ht="15.75" customHeight="1">
      <c r="A552" s="14">
        <v>6058</v>
      </c>
      <c r="B552">
        <v>9.3000000000000007</v>
      </c>
      <c r="C552" s="3">
        <f t="shared" si="63"/>
        <v>7.0000000000000284E-2</v>
      </c>
      <c r="D552" s="3">
        <f t="shared" si="65"/>
        <v>7.0000000000000284E-2</v>
      </c>
      <c r="E552" s="3">
        <f t="shared" si="66"/>
        <v>0</v>
      </c>
      <c r="F552" s="3">
        <f t="shared" si="64"/>
        <v>0.10021539760053151</v>
      </c>
      <c r="G552" s="3">
        <f t="shared" si="64"/>
        <v>5.9605499792139409E-2</v>
      </c>
      <c r="H552" s="3">
        <f t="shared" si="67"/>
        <v>1.6813112539951827</v>
      </c>
      <c r="I552" s="3">
        <f t="shared" si="68"/>
        <v>62.704814724139574</v>
      </c>
    </row>
    <row r="553" spans="1:9" ht="15.75" customHeight="1">
      <c r="A553" s="14">
        <v>6089</v>
      </c>
      <c r="B553">
        <v>9.68</v>
      </c>
      <c r="C553" s="3">
        <f t="shared" si="63"/>
        <v>0.37999999999999901</v>
      </c>
      <c r="D553" s="3">
        <f t="shared" si="65"/>
        <v>0.37999999999999901</v>
      </c>
      <c r="E553" s="3">
        <f t="shared" si="66"/>
        <v>0</v>
      </c>
      <c r="F553" s="3">
        <f t="shared" si="64"/>
        <v>0.12020001205763634</v>
      </c>
      <c r="G553" s="3">
        <f t="shared" si="64"/>
        <v>5.5347964092700881E-2</v>
      </c>
      <c r="H553" s="3">
        <f t="shared" si="67"/>
        <v>2.1717151484798327</v>
      </c>
      <c r="I553" s="3">
        <f t="shared" si="68"/>
        <v>68.47131746748164</v>
      </c>
    </row>
    <row r="554" spans="1:9" ht="15.75" customHeight="1">
      <c r="A554" s="14">
        <v>6119</v>
      </c>
      <c r="B554">
        <v>9.98</v>
      </c>
      <c r="C554" s="3">
        <f t="shared" si="63"/>
        <v>0.30000000000000071</v>
      </c>
      <c r="D554" s="3">
        <f t="shared" si="65"/>
        <v>0.30000000000000071</v>
      </c>
      <c r="E554" s="3">
        <f t="shared" si="66"/>
        <v>0</v>
      </c>
      <c r="F554" s="3">
        <f t="shared" si="64"/>
        <v>0.13304286833923379</v>
      </c>
      <c r="G554" s="3">
        <f t="shared" si="64"/>
        <v>5.139453808607939E-2</v>
      </c>
      <c r="H554" s="3">
        <f t="shared" si="67"/>
        <v>2.5886577308352048</v>
      </c>
      <c r="I554" s="3">
        <f t="shared" si="68"/>
        <v>72.134428106431159</v>
      </c>
    </row>
    <row r="555" spans="1:9" ht="15.75" customHeight="1">
      <c r="A555" s="14">
        <v>6150</v>
      </c>
      <c r="B555">
        <v>10.210000000000001</v>
      </c>
      <c r="C555" s="3">
        <f t="shared" ref="C555:C618" si="69">B555-B554</f>
        <v>0.23000000000000043</v>
      </c>
      <c r="D555" s="3">
        <f t="shared" si="65"/>
        <v>0.23000000000000043</v>
      </c>
      <c r="E555" s="3">
        <f t="shared" si="66"/>
        <v>0</v>
      </c>
      <c r="F555" s="3">
        <f t="shared" si="64"/>
        <v>0.13996837774357426</v>
      </c>
      <c r="G555" s="3">
        <f t="shared" si="64"/>
        <v>4.7723499651359434E-2</v>
      </c>
      <c r="H555" s="3">
        <f t="shared" si="67"/>
        <v>2.9329026321645122</v>
      </c>
      <c r="I555" s="3">
        <f t="shared" si="68"/>
        <v>74.573486975708832</v>
      </c>
    </row>
    <row r="556" spans="1:9" ht="15.75" customHeight="1">
      <c r="A556" s="14">
        <v>6180</v>
      </c>
      <c r="B556">
        <v>9.8000000000000007</v>
      </c>
      <c r="C556" s="3">
        <f t="shared" si="69"/>
        <v>-0.41000000000000014</v>
      </c>
      <c r="D556" s="3">
        <f t="shared" si="65"/>
        <v>0</v>
      </c>
      <c r="E556" s="3">
        <f t="shared" si="66"/>
        <v>0.41000000000000014</v>
      </c>
      <c r="F556" s="3">
        <f t="shared" si="64"/>
        <v>0.1299706364761761</v>
      </c>
      <c r="G556" s="3">
        <f t="shared" si="64"/>
        <v>7.3600392533405196E-2</v>
      </c>
      <c r="H556" s="3">
        <f t="shared" si="67"/>
        <v>1.7658959687910087</v>
      </c>
      <c r="I556" s="3">
        <f t="shared" si="68"/>
        <v>63.84535024876201</v>
      </c>
    </row>
    <row r="557" spans="1:9" ht="15.75" customHeight="1">
      <c r="A557" s="14">
        <v>6211</v>
      </c>
      <c r="B557">
        <v>9.57</v>
      </c>
      <c r="C557" s="3">
        <f t="shared" si="69"/>
        <v>-0.23000000000000043</v>
      </c>
      <c r="D557" s="3">
        <f t="shared" si="65"/>
        <v>0</v>
      </c>
      <c r="E557" s="3">
        <f t="shared" si="66"/>
        <v>0.23000000000000043</v>
      </c>
      <c r="F557" s="3">
        <f t="shared" si="64"/>
        <v>0.12068701958502066</v>
      </c>
      <c r="G557" s="3">
        <f t="shared" si="64"/>
        <v>8.4771793066733422E-2</v>
      </c>
      <c r="H557" s="3">
        <f t="shared" si="67"/>
        <v>1.4236695393480037</v>
      </c>
      <c r="I557" s="3">
        <f t="shared" si="68"/>
        <v>58.740249701326363</v>
      </c>
    </row>
    <row r="558" spans="1:9" ht="15.75" customHeight="1">
      <c r="A558" s="14">
        <v>6242</v>
      </c>
      <c r="B558">
        <v>9.0299999999999994</v>
      </c>
      <c r="C558" s="3">
        <f t="shared" si="69"/>
        <v>-0.54000000000000092</v>
      </c>
      <c r="D558" s="3">
        <f t="shared" si="65"/>
        <v>0</v>
      </c>
      <c r="E558" s="3">
        <f t="shared" si="66"/>
        <v>0.54000000000000092</v>
      </c>
      <c r="F558" s="3">
        <f t="shared" si="64"/>
        <v>0.11206651818609062</v>
      </c>
      <c r="G558" s="3">
        <f t="shared" si="64"/>
        <v>0.11728809356196682</v>
      </c>
      <c r="H558" s="3">
        <f t="shared" si="67"/>
        <v>0.95548077202638237</v>
      </c>
      <c r="I558" s="3">
        <f t="shared" si="68"/>
        <v>48.861680753641878</v>
      </c>
    </row>
    <row r="559" spans="1:9" ht="15.75" customHeight="1">
      <c r="A559" s="14">
        <v>6270</v>
      </c>
      <c r="B559">
        <v>9.31</v>
      </c>
      <c r="C559" s="3">
        <f t="shared" si="69"/>
        <v>0.28000000000000114</v>
      </c>
      <c r="D559" s="3">
        <f t="shared" si="65"/>
        <v>0.28000000000000114</v>
      </c>
      <c r="E559" s="3">
        <f t="shared" si="66"/>
        <v>0</v>
      </c>
      <c r="F559" s="3">
        <f t="shared" si="64"/>
        <v>0.12406176688708423</v>
      </c>
      <c r="G559" s="3">
        <f t="shared" si="64"/>
        <v>0.10891037259325489</v>
      </c>
      <c r="H559" s="3">
        <f t="shared" si="67"/>
        <v>1.1391180099109099</v>
      </c>
      <c r="I559" s="3">
        <f t="shared" si="68"/>
        <v>53.251760989023325</v>
      </c>
    </row>
    <row r="560" spans="1:9" ht="15.75" customHeight="1">
      <c r="A560" s="14">
        <v>6301</v>
      </c>
      <c r="B560">
        <v>9.17</v>
      </c>
      <c r="C560" s="3">
        <f t="shared" si="69"/>
        <v>-0.14000000000000057</v>
      </c>
      <c r="D560" s="3">
        <f t="shared" si="65"/>
        <v>0</v>
      </c>
      <c r="E560" s="3">
        <f t="shared" si="66"/>
        <v>0.14000000000000057</v>
      </c>
      <c r="F560" s="3">
        <f t="shared" si="64"/>
        <v>0.11520021210943535</v>
      </c>
      <c r="G560" s="3">
        <f t="shared" si="64"/>
        <v>0.1111310602651653</v>
      </c>
      <c r="H560" s="3">
        <f t="shared" si="67"/>
        <v>1.0366157925116597</v>
      </c>
      <c r="I560" s="3">
        <f t="shared" si="68"/>
        <v>50.898937164444334</v>
      </c>
    </row>
    <row r="561" spans="1:9" ht="15.75" customHeight="1">
      <c r="A561" s="14">
        <v>6331</v>
      </c>
      <c r="B561">
        <v>8.86</v>
      </c>
      <c r="C561" s="3">
        <f t="shared" si="69"/>
        <v>-0.3100000000000005</v>
      </c>
      <c r="D561" s="3">
        <f t="shared" si="65"/>
        <v>0</v>
      </c>
      <c r="E561" s="3">
        <f t="shared" si="66"/>
        <v>0.3100000000000005</v>
      </c>
      <c r="F561" s="3">
        <f t="shared" si="64"/>
        <v>0.10697162553018998</v>
      </c>
      <c r="G561" s="3">
        <f t="shared" si="64"/>
        <v>0.12533598453193923</v>
      </c>
      <c r="H561" s="3">
        <f t="shared" si="67"/>
        <v>0.85347895841461652</v>
      </c>
      <c r="I561" s="3">
        <f t="shared" si="68"/>
        <v>46.04740477575448</v>
      </c>
    </row>
    <row r="562" spans="1:9" ht="15.75" customHeight="1">
      <c r="A562" s="14">
        <v>6362</v>
      </c>
      <c r="B562">
        <v>9.0399999999999991</v>
      </c>
      <c r="C562" s="3">
        <f t="shared" si="69"/>
        <v>0.17999999999999972</v>
      </c>
      <c r="D562" s="3">
        <f t="shared" si="65"/>
        <v>0.17999999999999972</v>
      </c>
      <c r="E562" s="3">
        <f t="shared" si="66"/>
        <v>0</v>
      </c>
      <c r="F562" s="3">
        <f t="shared" si="64"/>
        <v>0.11218793799231926</v>
      </c>
      <c r="G562" s="3">
        <f t="shared" si="64"/>
        <v>0.11638341420822929</v>
      </c>
      <c r="H562" s="3">
        <f t="shared" si="67"/>
        <v>0.96395125332546416</v>
      </c>
      <c r="I562" s="3">
        <f t="shared" si="68"/>
        <v>49.082239271125083</v>
      </c>
    </row>
    <row r="563" spans="1:9" ht="15.75" customHeight="1">
      <c r="A563" s="14">
        <v>6392</v>
      </c>
      <c r="B563">
        <v>8.7899999999999991</v>
      </c>
      <c r="C563" s="3">
        <f t="shared" si="69"/>
        <v>-0.25</v>
      </c>
      <c r="D563" s="3">
        <f t="shared" si="65"/>
        <v>0</v>
      </c>
      <c r="E563" s="3">
        <f t="shared" si="66"/>
        <v>0.25</v>
      </c>
      <c r="F563" s="3">
        <f t="shared" si="64"/>
        <v>0.10417451385001074</v>
      </c>
      <c r="G563" s="3">
        <f t="shared" si="64"/>
        <v>0.12592745605049863</v>
      </c>
      <c r="H563" s="3">
        <f t="shared" si="67"/>
        <v>0.82725814621582872</v>
      </c>
      <c r="I563" s="3">
        <f t="shared" si="68"/>
        <v>45.273195138248198</v>
      </c>
    </row>
    <row r="564" spans="1:9" ht="15.75" customHeight="1">
      <c r="A564" s="14">
        <v>6423</v>
      </c>
      <c r="B564">
        <v>8.5299999999999994</v>
      </c>
      <c r="C564" s="3">
        <f t="shared" si="69"/>
        <v>-0.25999999999999979</v>
      </c>
      <c r="D564" s="3">
        <f t="shared" si="65"/>
        <v>0</v>
      </c>
      <c r="E564" s="3">
        <f t="shared" si="66"/>
        <v>0.25999999999999979</v>
      </c>
      <c r="F564" s="3">
        <f t="shared" si="64"/>
        <v>9.673347714643854E-2</v>
      </c>
      <c r="G564" s="3">
        <f t="shared" si="64"/>
        <v>0.13550406633260587</v>
      </c>
      <c r="H564" s="3">
        <f t="shared" si="67"/>
        <v>0.71387877695860635</v>
      </c>
      <c r="I564" s="3">
        <f t="shared" si="68"/>
        <v>41.65281620590649</v>
      </c>
    </row>
    <row r="565" spans="1:9" ht="15.75" customHeight="1">
      <c r="A565" s="14">
        <v>6454</v>
      </c>
      <c r="B565">
        <v>8.1199999999999992</v>
      </c>
      <c r="C565" s="3">
        <f t="shared" si="69"/>
        <v>-0.41000000000000014</v>
      </c>
      <c r="D565" s="3">
        <f t="shared" si="65"/>
        <v>0</v>
      </c>
      <c r="E565" s="3">
        <f t="shared" si="66"/>
        <v>0.41000000000000014</v>
      </c>
      <c r="F565" s="3">
        <f t="shared" si="64"/>
        <v>8.9823943064550077E-2</v>
      </c>
      <c r="G565" s="3">
        <f t="shared" si="64"/>
        <v>0.15511091873741975</v>
      </c>
      <c r="H565" s="3">
        <f t="shared" si="67"/>
        <v>0.57909490702333444</v>
      </c>
      <c r="I565" s="3">
        <f t="shared" si="68"/>
        <v>36.672584051008982</v>
      </c>
    </row>
    <row r="566" spans="1:9" ht="15.75" customHeight="1">
      <c r="A566" s="14">
        <v>6484</v>
      </c>
      <c r="B566">
        <v>7.68</v>
      </c>
      <c r="C566" s="3">
        <f t="shared" si="69"/>
        <v>-0.4399999999999995</v>
      </c>
      <c r="D566" s="3">
        <f t="shared" si="65"/>
        <v>0</v>
      </c>
      <c r="E566" s="3">
        <f t="shared" si="66"/>
        <v>0.4399999999999995</v>
      </c>
      <c r="F566" s="3">
        <f t="shared" si="64"/>
        <v>8.3407947131367927E-2</v>
      </c>
      <c r="G566" s="3">
        <f t="shared" si="64"/>
        <v>0.17546013882760403</v>
      </c>
      <c r="H566" s="3">
        <f t="shared" si="67"/>
        <v>0.47536692771752148</v>
      </c>
      <c r="I566" s="3">
        <f t="shared" si="68"/>
        <v>32.220251029548407</v>
      </c>
    </row>
    <row r="567" spans="1:9" ht="15.75" customHeight="1">
      <c r="A567" s="14">
        <v>6515</v>
      </c>
      <c r="B567">
        <v>7.04</v>
      </c>
      <c r="C567" s="3">
        <f t="shared" si="69"/>
        <v>-0.63999999999999968</v>
      </c>
      <c r="D567" s="3">
        <f t="shared" si="65"/>
        <v>0</v>
      </c>
      <c r="E567" s="3">
        <f t="shared" si="66"/>
        <v>0.63999999999999968</v>
      </c>
      <c r="F567" s="3">
        <f t="shared" si="64"/>
        <v>7.7450236621984497E-2</v>
      </c>
      <c r="G567" s="3">
        <f t="shared" si="64"/>
        <v>0.20864155748277513</v>
      </c>
      <c r="H567" s="3">
        <f t="shared" si="67"/>
        <v>0.37121193666500774</v>
      </c>
      <c r="I567" s="3">
        <f t="shared" si="68"/>
        <v>27.071813389245335</v>
      </c>
    </row>
    <row r="568" spans="1:9" ht="15.75" customHeight="1">
      <c r="A568" s="14">
        <v>6545</v>
      </c>
      <c r="B568">
        <v>6.8</v>
      </c>
      <c r="C568" s="3">
        <f t="shared" si="69"/>
        <v>-0.24000000000000021</v>
      </c>
      <c r="D568" s="3">
        <f t="shared" si="65"/>
        <v>0</v>
      </c>
      <c r="E568" s="3">
        <f t="shared" si="66"/>
        <v>0.24000000000000021</v>
      </c>
      <c r="F568" s="3">
        <f t="shared" si="64"/>
        <v>7.1918076863271327E-2</v>
      </c>
      <c r="G568" s="3">
        <f t="shared" si="64"/>
        <v>0.21088144623400548</v>
      </c>
      <c r="H568" s="3">
        <f t="shared" si="67"/>
        <v>0.34103558253990318</v>
      </c>
      <c r="I568" s="3">
        <f t="shared" si="68"/>
        <v>25.43076313411359</v>
      </c>
    </row>
    <row r="569" spans="1:9" ht="15.75" customHeight="1">
      <c r="A569" s="14">
        <v>6576</v>
      </c>
      <c r="B569">
        <v>7.21</v>
      </c>
      <c r="C569" s="3">
        <f t="shared" si="69"/>
        <v>0.41000000000000014</v>
      </c>
      <c r="D569" s="3">
        <f t="shared" si="65"/>
        <v>0.41000000000000014</v>
      </c>
      <c r="E569" s="3">
        <f t="shared" si="66"/>
        <v>0</v>
      </c>
      <c r="F569" s="3">
        <f t="shared" si="64"/>
        <v>9.6066785658751944E-2</v>
      </c>
      <c r="G569" s="3">
        <f t="shared" si="64"/>
        <v>0.19581848578871935</v>
      </c>
      <c r="H569" s="3">
        <f t="shared" si="67"/>
        <v>0.49059099436814319</v>
      </c>
      <c r="I569" s="3">
        <f t="shared" si="68"/>
        <v>32.912515654644963</v>
      </c>
    </row>
    <row r="570" spans="1:9" ht="15.75" customHeight="1">
      <c r="A570" s="14">
        <v>6607</v>
      </c>
      <c r="B570">
        <v>7.43</v>
      </c>
      <c r="C570" s="3">
        <f t="shared" si="69"/>
        <v>0.21999999999999975</v>
      </c>
      <c r="D570" s="3">
        <f t="shared" si="65"/>
        <v>0.21999999999999975</v>
      </c>
      <c r="E570" s="3">
        <f t="shared" si="66"/>
        <v>0</v>
      </c>
      <c r="F570" s="3">
        <f t="shared" si="64"/>
        <v>0.1049191581116982</v>
      </c>
      <c r="G570" s="3">
        <f t="shared" si="64"/>
        <v>0.18183145108952511</v>
      </c>
      <c r="H570" s="3">
        <f t="shared" si="67"/>
        <v>0.57701325861410535</v>
      </c>
      <c r="I570" s="3">
        <f t="shared" si="68"/>
        <v>36.588992227065368</v>
      </c>
    </row>
    <row r="571" spans="1:9" ht="15.75" customHeight="1">
      <c r="A571" s="14">
        <v>6635</v>
      </c>
      <c r="B571">
        <v>7.28</v>
      </c>
      <c r="C571" s="3">
        <f t="shared" si="69"/>
        <v>-0.14999999999999947</v>
      </c>
      <c r="D571" s="3">
        <f t="shared" si="65"/>
        <v>0</v>
      </c>
      <c r="E571" s="3">
        <f t="shared" si="66"/>
        <v>0.14999999999999947</v>
      </c>
      <c r="F571" s="3">
        <f t="shared" si="64"/>
        <v>9.7424932532291189E-2</v>
      </c>
      <c r="G571" s="3">
        <f t="shared" si="64"/>
        <v>0.17955777601170184</v>
      </c>
      <c r="H571" s="3">
        <f t="shared" si="67"/>
        <v>0.54258264217942853</v>
      </c>
      <c r="I571" s="3">
        <f t="shared" si="68"/>
        <v>35.17365146886678</v>
      </c>
    </row>
    <row r="572" spans="1:9" ht="15.75" customHeight="1">
      <c r="A572" s="14">
        <v>6666</v>
      </c>
      <c r="B572">
        <v>7.21</v>
      </c>
      <c r="C572" s="3">
        <f t="shared" si="69"/>
        <v>-7.0000000000000284E-2</v>
      </c>
      <c r="D572" s="3">
        <f t="shared" si="65"/>
        <v>0</v>
      </c>
      <c r="E572" s="3">
        <f t="shared" si="66"/>
        <v>7.0000000000000284E-2</v>
      </c>
      <c r="F572" s="3">
        <f t="shared" si="64"/>
        <v>9.0466008779984675E-2</v>
      </c>
      <c r="G572" s="3">
        <f t="shared" si="64"/>
        <v>0.17173222058229459</v>
      </c>
      <c r="H572" s="3">
        <f t="shared" si="67"/>
        <v>0.52678529674420116</v>
      </c>
      <c r="I572" s="3">
        <f t="shared" si="68"/>
        <v>34.502906064627837</v>
      </c>
    </row>
    <row r="573" spans="1:9" ht="15.75" customHeight="1">
      <c r="A573" s="14">
        <v>6696</v>
      </c>
      <c r="B573">
        <v>7.44</v>
      </c>
      <c r="C573" s="3">
        <f t="shared" si="69"/>
        <v>0.23000000000000043</v>
      </c>
      <c r="D573" s="3">
        <f t="shared" si="65"/>
        <v>0.23000000000000043</v>
      </c>
      <c r="E573" s="3">
        <f t="shared" si="66"/>
        <v>0</v>
      </c>
      <c r="F573" s="3">
        <f t="shared" si="64"/>
        <v>0.10043272243855723</v>
      </c>
      <c r="G573" s="3">
        <f t="shared" si="64"/>
        <v>0.15946563339784497</v>
      </c>
      <c r="H573" s="3">
        <f t="shared" si="67"/>
        <v>0.62980794230435411</v>
      </c>
      <c r="I573" s="3">
        <f t="shared" si="68"/>
        <v>38.643077258163359</v>
      </c>
    </row>
    <row r="574" spans="1:9" ht="15.75" customHeight="1">
      <c r="A574" s="14">
        <v>6727</v>
      </c>
      <c r="B574">
        <v>7.45</v>
      </c>
      <c r="C574" s="3">
        <f t="shared" si="69"/>
        <v>9.9999999999997868E-3</v>
      </c>
      <c r="D574" s="3">
        <f t="shared" si="65"/>
        <v>9.9999999999997868E-3</v>
      </c>
      <c r="E574" s="3">
        <f t="shared" si="66"/>
        <v>0</v>
      </c>
      <c r="F574" s="3">
        <f t="shared" si="64"/>
        <v>9.3973242264374562E-2</v>
      </c>
      <c r="G574" s="3">
        <f t="shared" si="64"/>
        <v>0.14807523101228462</v>
      </c>
      <c r="H574" s="3">
        <f t="shared" si="67"/>
        <v>0.63463174510650167</v>
      </c>
      <c r="I574" s="3">
        <f t="shared" si="68"/>
        <v>38.824141706923307</v>
      </c>
    </row>
    <row r="575" spans="1:9" ht="15.75" customHeight="1">
      <c r="A575" s="14">
        <v>6757</v>
      </c>
      <c r="B575">
        <v>7.51</v>
      </c>
      <c r="C575" s="3">
        <f t="shared" si="69"/>
        <v>5.9999999999999609E-2</v>
      </c>
      <c r="D575" s="3">
        <f t="shared" si="65"/>
        <v>5.9999999999999609E-2</v>
      </c>
      <c r="E575" s="3">
        <f t="shared" si="66"/>
        <v>0</v>
      </c>
      <c r="F575" s="3">
        <f t="shared" si="64"/>
        <v>9.1546582102633486E-2</v>
      </c>
      <c r="G575" s="3">
        <f t="shared" si="64"/>
        <v>0.13749842879712143</v>
      </c>
      <c r="H575" s="3">
        <f t="shared" si="67"/>
        <v>0.66580093244345528</v>
      </c>
      <c r="I575" s="3">
        <f t="shared" si="68"/>
        <v>39.968817370442643</v>
      </c>
    </row>
    <row r="576" spans="1:9" ht="15.75" customHeight="1">
      <c r="A576" s="14">
        <v>6788</v>
      </c>
      <c r="B576">
        <v>7.58</v>
      </c>
      <c r="C576" s="3">
        <f t="shared" si="69"/>
        <v>7.0000000000000284E-2</v>
      </c>
      <c r="D576" s="3">
        <f t="shared" si="65"/>
        <v>7.0000000000000284E-2</v>
      </c>
      <c r="E576" s="3">
        <f t="shared" si="66"/>
        <v>0</v>
      </c>
      <c r="F576" s="3">
        <f t="shared" si="64"/>
        <v>9.0007540523873969E-2</v>
      </c>
      <c r="G576" s="3">
        <f t="shared" si="64"/>
        <v>0.12767711245446992</v>
      </c>
      <c r="H576" s="3">
        <f t="shared" si="67"/>
        <v>0.70496221909757673</v>
      </c>
      <c r="I576" s="3">
        <f t="shared" si="68"/>
        <v>41.34767393676956</v>
      </c>
    </row>
    <row r="577" spans="1:9" ht="15.75" customHeight="1">
      <c r="A577" s="14">
        <v>6819</v>
      </c>
      <c r="B577">
        <v>7.54</v>
      </c>
      <c r="C577" s="3">
        <f t="shared" si="69"/>
        <v>-4.0000000000000036E-2</v>
      </c>
      <c r="D577" s="3">
        <f t="shared" si="65"/>
        <v>0</v>
      </c>
      <c r="E577" s="3">
        <f t="shared" si="66"/>
        <v>4.0000000000000036E-2</v>
      </c>
      <c r="F577" s="3">
        <f t="shared" si="64"/>
        <v>8.35784304864544E-2</v>
      </c>
      <c r="G577" s="3">
        <f t="shared" si="64"/>
        <v>0.12141446156486492</v>
      </c>
      <c r="H577" s="3">
        <f t="shared" si="67"/>
        <v>0.6883729451108519</v>
      </c>
      <c r="I577" s="3">
        <f t="shared" si="68"/>
        <v>40.771379753757905</v>
      </c>
    </row>
    <row r="578" spans="1:9" ht="15.75" customHeight="1">
      <c r="A578" s="14">
        <v>6849</v>
      </c>
      <c r="B578">
        <v>7.86</v>
      </c>
      <c r="C578" s="3">
        <f t="shared" si="69"/>
        <v>0.32000000000000028</v>
      </c>
      <c r="D578" s="3">
        <f t="shared" si="65"/>
        <v>0.32000000000000028</v>
      </c>
      <c r="E578" s="3">
        <f t="shared" si="66"/>
        <v>0</v>
      </c>
      <c r="F578" s="3">
        <f t="shared" si="64"/>
        <v>0.10046568545170767</v>
      </c>
      <c r="G578" s="3">
        <f t="shared" si="64"/>
        <v>0.11274200002451742</v>
      </c>
      <c r="H578" s="3">
        <f t="shared" si="67"/>
        <v>0.89111143522254277</v>
      </c>
      <c r="I578" s="3">
        <f t="shared" si="68"/>
        <v>47.121043140309624</v>
      </c>
    </row>
    <row r="579" spans="1:9" ht="15.75" customHeight="1">
      <c r="A579" s="14">
        <v>6880</v>
      </c>
      <c r="B579">
        <v>8.06</v>
      </c>
      <c r="C579" s="3">
        <f t="shared" si="69"/>
        <v>0.20000000000000018</v>
      </c>
      <c r="D579" s="3">
        <f t="shared" si="65"/>
        <v>0.20000000000000018</v>
      </c>
      <c r="E579" s="3">
        <f t="shared" si="66"/>
        <v>0</v>
      </c>
      <c r="F579" s="3">
        <f t="shared" si="64"/>
        <v>0.10757527934801428</v>
      </c>
      <c r="G579" s="3">
        <f t="shared" si="64"/>
        <v>0.10468900002276618</v>
      </c>
      <c r="H579" s="3">
        <f t="shared" si="67"/>
        <v>1.0275700343361809</v>
      </c>
      <c r="I579" s="3">
        <f t="shared" si="68"/>
        <v>50.679878718596449</v>
      </c>
    </row>
    <row r="580" spans="1:9" ht="15.75" customHeight="1">
      <c r="A580" s="14">
        <v>6910</v>
      </c>
      <c r="B580">
        <v>7.9</v>
      </c>
      <c r="C580" s="3">
        <f t="shared" si="69"/>
        <v>-0.16000000000000014</v>
      </c>
      <c r="D580" s="3">
        <f t="shared" si="65"/>
        <v>0</v>
      </c>
      <c r="E580" s="3">
        <f t="shared" si="66"/>
        <v>0.16000000000000014</v>
      </c>
      <c r="F580" s="3">
        <f t="shared" si="64"/>
        <v>9.9891330823156127E-2</v>
      </c>
      <c r="G580" s="3">
        <f t="shared" si="64"/>
        <v>0.10863978573542575</v>
      </c>
      <c r="H580" s="3">
        <f t="shared" si="67"/>
        <v>0.91947282615620174</v>
      </c>
      <c r="I580" s="3">
        <f t="shared" si="68"/>
        <v>47.902362233357159</v>
      </c>
    </row>
    <row r="581" spans="1:9" ht="15.75" customHeight="1">
      <c r="A581" s="14">
        <v>6941</v>
      </c>
      <c r="B581">
        <v>7.85</v>
      </c>
      <c r="C581" s="3">
        <f t="shared" si="69"/>
        <v>-5.0000000000000711E-2</v>
      </c>
      <c r="D581" s="3">
        <f t="shared" si="65"/>
        <v>0</v>
      </c>
      <c r="E581" s="3">
        <f t="shared" si="66"/>
        <v>5.0000000000000711E-2</v>
      </c>
      <c r="F581" s="3">
        <f t="shared" si="64"/>
        <v>9.2756235764359249E-2</v>
      </c>
      <c r="G581" s="3">
        <f t="shared" si="64"/>
        <v>0.10445122961146681</v>
      </c>
      <c r="H581" s="3">
        <f t="shared" si="67"/>
        <v>0.88803392846010432</v>
      </c>
      <c r="I581" s="3">
        <f t="shared" si="68"/>
        <v>47.034850119689956</v>
      </c>
    </row>
    <row r="582" spans="1:9" ht="15.75" customHeight="1">
      <c r="A582" s="14">
        <v>6972</v>
      </c>
      <c r="B582">
        <v>7.88</v>
      </c>
      <c r="C582" s="3">
        <f t="shared" si="69"/>
        <v>3.0000000000000249E-2</v>
      </c>
      <c r="D582" s="3">
        <f t="shared" si="65"/>
        <v>3.0000000000000249E-2</v>
      </c>
      <c r="E582" s="3">
        <f t="shared" si="66"/>
        <v>0</v>
      </c>
      <c r="F582" s="3">
        <f t="shared" si="64"/>
        <v>8.8273647495476462E-2</v>
      </c>
      <c r="G582" s="3">
        <f t="shared" si="64"/>
        <v>9.6990427496362039E-2</v>
      </c>
      <c r="H582" s="3">
        <f t="shared" si="67"/>
        <v>0.91012741952073029</v>
      </c>
      <c r="I582" s="3">
        <f t="shared" si="68"/>
        <v>47.647471588523146</v>
      </c>
    </row>
    <row r="583" spans="1:9" ht="15.75" customHeight="1">
      <c r="A583" s="14">
        <v>7000</v>
      </c>
      <c r="B583">
        <v>8.1199999999999992</v>
      </c>
      <c r="C583" s="3">
        <f t="shared" si="69"/>
        <v>0.23999999999999932</v>
      </c>
      <c r="D583" s="3">
        <f t="shared" si="65"/>
        <v>0.23999999999999932</v>
      </c>
      <c r="E583" s="3">
        <f t="shared" si="66"/>
        <v>0</v>
      </c>
      <c r="F583" s="3">
        <f t="shared" si="64"/>
        <v>9.9111244102942378E-2</v>
      </c>
      <c r="G583" s="3">
        <f t="shared" si="64"/>
        <v>9.0062539818050458E-2</v>
      </c>
      <c r="H583" s="3">
        <f t="shared" si="67"/>
        <v>1.1004713425045822</v>
      </c>
      <c r="I583" s="3">
        <f t="shared" si="68"/>
        <v>52.391638021225781</v>
      </c>
    </row>
    <row r="584" spans="1:9" ht="15.75" customHeight="1">
      <c r="A584" s="14">
        <v>7031</v>
      </c>
      <c r="B584">
        <v>8.39</v>
      </c>
      <c r="C584" s="3">
        <f t="shared" si="69"/>
        <v>0.27000000000000135</v>
      </c>
      <c r="D584" s="3">
        <f t="shared" si="65"/>
        <v>0.27000000000000135</v>
      </c>
      <c r="E584" s="3">
        <f t="shared" si="66"/>
        <v>0</v>
      </c>
      <c r="F584" s="3">
        <f t="shared" si="64"/>
        <v>0.11131758380987515</v>
      </c>
      <c r="G584" s="3">
        <f t="shared" si="64"/>
        <v>8.362950125961828E-2</v>
      </c>
      <c r="H584" s="3">
        <f t="shared" si="67"/>
        <v>1.3310803261196353</v>
      </c>
      <c r="I584" s="3">
        <f t="shared" si="68"/>
        <v>57.10143538191064</v>
      </c>
    </row>
    <row r="585" spans="1:9" ht="15.75" customHeight="1">
      <c r="A585" s="14">
        <v>7061</v>
      </c>
      <c r="B585">
        <v>8.9700000000000006</v>
      </c>
      <c r="C585" s="3">
        <f t="shared" si="69"/>
        <v>0.58000000000000007</v>
      </c>
      <c r="D585" s="3">
        <f t="shared" si="65"/>
        <v>0.58000000000000007</v>
      </c>
      <c r="E585" s="3">
        <f t="shared" si="66"/>
        <v>0</v>
      </c>
      <c r="F585" s="3">
        <f t="shared" si="64"/>
        <v>0.14479489925202693</v>
      </c>
      <c r="G585" s="3">
        <f t="shared" si="64"/>
        <v>7.7655965455359827E-2</v>
      </c>
      <c r="H585" s="3">
        <f t="shared" si="67"/>
        <v>1.8645689149954823</v>
      </c>
      <c r="I585" s="3">
        <f t="shared" si="68"/>
        <v>65.090733381725016</v>
      </c>
    </row>
    <row r="586" spans="1:9" ht="15.75" customHeight="1">
      <c r="A586" s="14">
        <v>7092</v>
      </c>
      <c r="B586">
        <v>9.2100000000000009</v>
      </c>
      <c r="C586" s="3">
        <f t="shared" si="69"/>
        <v>0.24000000000000021</v>
      </c>
      <c r="D586" s="3">
        <f t="shared" si="65"/>
        <v>0.24000000000000021</v>
      </c>
      <c r="E586" s="3">
        <f t="shared" si="66"/>
        <v>0</v>
      </c>
      <c r="F586" s="3">
        <f t="shared" si="64"/>
        <v>0.15159526359116787</v>
      </c>
      <c r="G586" s="3">
        <f t="shared" si="64"/>
        <v>7.2109110779976976E-2</v>
      </c>
      <c r="H586" s="3">
        <f t="shared" si="67"/>
        <v>2.1023038829825973</v>
      </c>
      <c r="I586" s="3">
        <f t="shared" si="68"/>
        <v>67.76589148840614</v>
      </c>
    </row>
    <row r="587" spans="1:9" ht="15.75" customHeight="1">
      <c r="A587" s="14">
        <v>7122</v>
      </c>
      <c r="B587">
        <v>9.51</v>
      </c>
      <c r="C587" s="3">
        <f t="shared" si="69"/>
        <v>0.29999999999999893</v>
      </c>
      <c r="D587" s="3">
        <f t="shared" si="65"/>
        <v>0.29999999999999893</v>
      </c>
      <c r="E587" s="3">
        <f t="shared" si="66"/>
        <v>0</v>
      </c>
      <c r="F587" s="3">
        <f t="shared" si="64"/>
        <v>0.16219560190608437</v>
      </c>
      <c r="G587" s="3">
        <f t="shared" si="64"/>
        <v>6.6958460009978613E-2</v>
      </c>
      <c r="H587" s="3">
        <f t="shared" si="67"/>
        <v>2.4223317245037124</v>
      </c>
      <c r="I587" s="3">
        <f t="shared" si="68"/>
        <v>70.780155738847483</v>
      </c>
    </row>
    <row r="588" spans="1:9" ht="15.75" customHeight="1">
      <c r="A588" s="14">
        <v>7153</v>
      </c>
      <c r="B588">
        <v>8.8699999999999992</v>
      </c>
      <c r="C588" s="3">
        <f t="shared" si="69"/>
        <v>-0.64000000000000057</v>
      </c>
      <c r="D588" s="3">
        <f t="shared" si="65"/>
        <v>0</v>
      </c>
      <c r="E588" s="3">
        <f t="shared" si="66"/>
        <v>0.64000000000000057</v>
      </c>
      <c r="F588" s="3">
        <f t="shared" si="64"/>
        <v>0.1506102017699355</v>
      </c>
      <c r="G588" s="3">
        <f t="shared" si="64"/>
        <v>0.10788999858069447</v>
      </c>
      <c r="H588" s="3">
        <f t="shared" si="67"/>
        <v>1.3959607354827166</v>
      </c>
      <c r="I588" s="3">
        <f t="shared" si="68"/>
        <v>58.263088990123663</v>
      </c>
    </row>
    <row r="589" spans="1:9" ht="15.75" customHeight="1">
      <c r="A589" s="14">
        <v>7184</v>
      </c>
      <c r="B589">
        <v>9.01</v>
      </c>
      <c r="C589" s="3">
        <f t="shared" si="69"/>
        <v>0.14000000000000057</v>
      </c>
      <c r="D589" s="3">
        <f t="shared" si="65"/>
        <v>0.14000000000000057</v>
      </c>
      <c r="E589" s="3">
        <f t="shared" si="66"/>
        <v>0</v>
      </c>
      <c r="F589" s="3">
        <f t="shared" si="64"/>
        <v>0.14985233021494015</v>
      </c>
      <c r="G589" s="3">
        <f t="shared" si="64"/>
        <v>0.10018357011064485</v>
      </c>
      <c r="H589" s="3">
        <f t="shared" si="67"/>
        <v>1.4957775017344668</v>
      </c>
      <c r="I589" s="3">
        <f t="shared" si="68"/>
        <v>59.932325725949546</v>
      </c>
    </row>
    <row r="590" spans="1:9" ht="15.75" customHeight="1">
      <c r="A590" s="14">
        <v>7214</v>
      </c>
      <c r="B590">
        <v>9.4700000000000006</v>
      </c>
      <c r="C590" s="3">
        <f t="shared" si="69"/>
        <v>0.46000000000000085</v>
      </c>
      <c r="D590" s="3">
        <f t="shared" si="65"/>
        <v>0.46000000000000085</v>
      </c>
      <c r="E590" s="3">
        <f t="shared" si="66"/>
        <v>0</v>
      </c>
      <c r="F590" s="3">
        <f t="shared" si="64"/>
        <v>0.17200573519958734</v>
      </c>
      <c r="G590" s="3">
        <f t="shared" si="64"/>
        <v>9.3027600817027364E-2</v>
      </c>
      <c r="H590" s="3">
        <f t="shared" si="67"/>
        <v>1.8489752900098888</v>
      </c>
      <c r="I590" s="3">
        <f t="shared" si="68"/>
        <v>64.899660467166456</v>
      </c>
    </row>
    <row r="591" spans="1:9" ht="15.75" customHeight="1">
      <c r="A591" s="14">
        <v>7245</v>
      </c>
      <c r="B591">
        <v>9.19</v>
      </c>
      <c r="C591" s="3">
        <f t="shared" si="69"/>
        <v>-0.28000000000000114</v>
      </c>
      <c r="D591" s="3">
        <f t="shared" si="65"/>
        <v>0</v>
      </c>
      <c r="E591" s="3">
        <f t="shared" si="66"/>
        <v>0.28000000000000114</v>
      </c>
      <c r="F591" s="3">
        <f t="shared" si="64"/>
        <v>0.15971961125675965</v>
      </c>
      <c r="G591" s="3">
        <f t="shared" si="64"/>
        <v>0.10638277218723978</v>
      </c>
      <c r="H591" s="3">
        <f t="shared" si="67"/>
        <v>1.5013672606279143</v>
      </c>
      <c r="I591" s="3">
        <f t="shared" si="68"/>
        <v>60.021864212415906</v>
      </c>
    </row>
    <row r="592" spans="1:9" ht="15.75" customHeight="1">
      <c r="A592" s="14">
        <v>7275</v>
      </c>
      <c r="B592">
        <v>8.92</v>
      </c>
      <c r="C592" s="3">
        <f t="shared" si="69"/>
        <v>-0.26999999999999957</v>
      </c>
      <c r="D592" s="3">
        <f t="shared" si="65"/>
        <v>0</v>
      </c>
      <c r="E592" s="3">
        <f t="shared" si="66"/>
        <v>0.26999999999999957</v>
      </c>
      <c r="F592" s="3">
        <f t="shared" si="64"/>
        <v>0.14831106759556253</v>
      </c>
      <c r="G592" s="3">
        <f t="shared" si="64"/>
        <v>0.11806971703100834</v>
      </c>
      <c r="H592" s="3">
        <f t="shared" si="67"/>
        <v>1.2561313038178281</v>
      </c>
      <c r="I592" s="3">
        <f t="shared" si="68"/>
        <v>55.676338593068643</v>
      </c>
    </row>
    <row r="593" spans="1:9" ht="15.75" customHeight="1">
      <c r="A593" s="14">
        <v>7306</v>
      </c>
      <c r="B593">
        <v>8.83</v>
      </c>
      <c r="C593" s="3">
        <f t="shared" si="69"/>
        <v>-8.9999999999999858E-2</v>
      </c>
      <c r="D593" s="3">
        <f t="shared" si="65"/>
        <v>0</v>
      </c>
      <c r="E593" s="3">
        <f t="shared" si="66"/>
        <v>8.9999999999999858E-2</v>
      </c>
      <c r="F593" s="3">
        <f t="shared" si="64"/>
        <v>0.1377174199101652</v>
      </c>
      <c r="G593" s="3">
        <f t="shared" si="64"/>
        <v>0.11606473724307917</v>
      </c>
      <c r="H593" s="3">
        <f t="shared" si="67"/>
        <v>1.1865569438350421</v>
      </c>
      <c r="I593" s="3">
        <f t="shared" si="68"/>
        <v>54.265997836485255</v>
      </c>
    </row>
    <row r="594" spans="1:9" ht="15.75" customHeight="1">
      <c r="A594" s="14">
        <v>7337</v>
      </c>
      <c r="B594">
        <v>8.1</v>
      </c>
      <c r="C594" s="3">
        <f t="shared" si="69"/>
        <v>-0.73000000000000043</v>
      </c>
      <c r="D594" s="3">
        <f t="shared" si="65"/>
        <v>0</v>
      </c>
      <c r="E594" s="3">
        <f t="shared" si="66"/>
        <v>0.73000000000000043</v>
      </c>
      <c r="F594" s="3">
        <f t="shared" ref="F594:G657" si="70">((F593*13)+D594)/14</f>
        <v>0.12788046134515341</v>
      </c>
      <c r="G594" s="3">
        <f t="shared" si="70"/>
        <v>0.15991725601143067</v>
      </c>
      <c r="H594" s="3">
        <f t="shared" si="67"/>
        <v>0.79966643084479061</v>
      </c>
      <c r="I594" s="3">
        <f t="shared" si="68"/>
        <v>44.43414719190018</v>
      </c>
    </row>
    <row r="595" spans="1:9" ht="15.75" customHeight="1">
      <c r="A595" s="14">
        <v>7366</v>
      </c>
      <c r="B595">
        <v>8.67</v>
      </c>
      <c r="C595" s="3">
        <f t="shared" si="69"/>
        <v>0.57000000000000028</v>
      </c>
      <c r="D595" s="3">
        <f t="shared" si="65"/>
        <v>0.57000000000000028</v>
      </c>
      <c r="E595" s="3">
        <f t="shared" si="66"/>
        <v>0</v>
      </c>
      <c r="F595" s="3">
        <f t="shared" si="70"/>
        <v>0.15946042839192817</v>
      </c>
      <c r="G595" s="3">
        <f t="shared" si="70"/>
        <v>0.14849459486775704</v>
      </c>
      <c r="H595" s="3">
        <f t="shared" si="67"/>
        <v>1.0738466846819363</v>
      </c>
      <c r="I595" s="3">
        <f t="shared" si="68"/>
        <v>51.780427772877104</v>
      </c>
    </row>
    <row r="596" spans="1:9" ht="15.75" customHeight="1">
      <c r="A596" s="14">
        <v>7397</v>
      </c>
      <c r="B596">
        <v>8.6</v>
      </c>
      <c r="C596" s="3">
        <f t="shared" si="69"/>
        <v>-7.0000000000000284E-2</v>
      </c>
      <c r="D596" s="3">
        <f t="shared" si="65"/>
        <v>0</v>
      </c>
      <c r="E596" s="3">
        <f t="shared" si="66"/>
        <v>7.0000000000000284E-2</v>
      </c>
      <c r="F596" s="3">
        <f t="shared" si="70"/>
        <v>0.14807039779250472</v>
      </c>
      <c r="G596" s="3">
        <f t="shared" si="70"/>
        <v>0.14288783809148869</v>
      </c>
      <c r="H596" s="3">
        <f t="shared" si="67"/>
        <v>1.0362701246672772</v>
      </c>
      <c r="I596" s="3">
        <f t="shared" si="68"/>
        <v>50.890601994006168</v>
      </c>
    </row>
    <row r="597" spans="1:9" ht="15.75" customHeight="1">
      <c r="A597" s="14">
        <v>7427</v>
      </c>
      <c r="B597">
        <v>8.06</v>
      </c>
      <c r="C597" s="3">
        <f t="shared" si="69"/>
        <v>-0.53999999999999915</v>
      </c>
      <c r="D597" s="3">
        <f t="shared" si="65"/>
        <v>0</v>
      </c>
      <c r="E597" s="3">
        <f t="shared" si="66"/>
        <v>0.53999999999999915</v>
      </c>
      <c r="F597" s="3">
        <f t="shared" si="70"/>
        <v>0.13749394080732583</v>
      </c>
      <c r="G597" s="3">
        <f t="shared" si="70"/>
        <v>0.17125299251352516</v>
      </c>
      <c r="H597" s="3">
        <f t="shared" si="67"/>
        <v>0.80287029609988791</v>
      </c>
      <c r="I597" s="3">
        <f t="shared" si="68"/>
        <v>44.532892789720961</v>
      </c>
    </row>
    <row r="598" spans="1:9" ht="15.75" customHeight="1">
      <c r="A598" s="14">
        <v>7458</v>
      </c>
      <c r="B598">
        <v>7.92</v>
      </c>
      <c r="C598" s="3">
        <f t="shared" si="69"/>
        <v>-0.14000000000000057</v>
      </c>
      <c r="D598" s="3">
        <f t="shared" si="65"/>
        <v>0</v>
      </c>
      <c r="E598" s="3">
        <f t="shared" si="66"/>
        <v>0.14000000000000057</v>
      </c>
      <c r="F598" s="3">
        <f t="shared" si="70"/>
        <v>0.12767294503537399</v>
      </c>
      <c r="G598" s="3">
        <f t="shared" si="70"/>
        <v>0.16902063590541627</v>
      </c>
      <c r="H598" s="3">
        <f t="shared" si="67"/>
        <v>0.75536897818098148</v>
      </c>
      <c r="I598" s="3">
        <f t="shared" si="68"/>
        <v>43.031920215642643</v>
      </c>
    </row>
    <row r="599" spans="1:9" ht="15.75" customHeight="1">
      <c r="A599" s="14">
        <v>7488</v>
      </c>
      <c r="B599">
        <v>7.91</v>
      </c>
      <c r="C599" s="3">
        <f t="shared" si="69"/>
        <v>-9.9999999999997868E-3</v>
      </c>
      <c r="D599" s="3">
        <f t="shared" si="65"/>
        <v>0</v>
      </c>
      <c r="E599" s="3">
        <f t="shared" si="66"/>
        <v>9.9999999999997868E-3</v>
      </c>
      <c r="F599" s="3">
        <f t="shared" si="70"/>
        <v>0.11855344896141871</v>
      </c>
      <c r="G599" s="3">
        <f t="shared" si="70"/>
        <v>0.15766201905502936</v>
      </c>
      <c r="H599" s="3">
        <f t="shared" si="67"/>
        <v>0.75194678890950628</v>
      </c>
      <c r="I599" s="3">
        <f t="shared" si="68"/>
        <v>42.920640836218162</v>
      </c>
    </row>
    <row r="600" spans="1:9" ht="15.75" customHeight="1">
      <c r="A600" s="14">
        <v>7519</v>
      </c>
      <c r="B600">
        <v>7.6</v>
      </c>
      <c r="C600" s="3">
        <f t="shared" si="69"/>
        <v>-0.3100000000000005</v>
      </c>
      <c r="D600" s="3">
        <f t="shared" si="65"/>
        <v>0</v>
      </c>
      <c r="E600" s="3">
        <f t="shared" si="66"/>
        <v>0.3100000000000005</v>
      </c>
      <c r="F600" s="3">
        <f t="shared" si="70"/>
        <v>0.11008534546417452</v>
      </c>
      <c r="G600" s="3">
        <f t="shared" si="70"/>
        <v>0.16854330340824158</v>
      </c>
      <c r="H600" s="3">
        <f t="shared" si="67"/>
        <v>0.65315763508876057</v>
      </c>
      <c r="I600" s="3">
        <f t="shared" si="68"/>
        <v>39.509700782629324</v>
      </c>
    </row>
    <row r="601" spans="1:9" ht="15.75" customHeight="1">
      <c r="A601" s="14">
        <v>7550</v>
      </c>
      <c r="B601">
        <v>7.87</v>
      </c>
      <c r="C601" s="3">
        <f t="shared" si="69"/>
        <v>0.27000000000000046</v>
      </c>
      <c r="D601" s="3">
        <f t="shared" si="65"/>
        <v>0.27000000000000046</v>
      </c>
      <c r="E601" s="3">
        <f t="shared" si="66"/>
        <v>0</v>
      </c>
      <c r="F601" s="3">
        <f t="shared" si="70"/>
        <v>0.12150782078816209</v>
      </c>
      <c r="G601" s="3">
        <f t="shared" si="70"/>
        <v>0.15650449602193861</v>
      </c>
      <c r="H601" s="3">
        <f t="shared" si="67"/>
        <v>0.7763854961146246</v>
      </c>
      <c r="I601" s="3">
        <f t="shared" si="68"/>
        <v>43.705912810747634</v>
      </c>
    </row>
    <row r="602" spans="1:9" ht="15.75" customHeight="1">
      <c r="A602" s="14">
        <v>7580</v>
      </c>
      <c r="B602">
        <v>7.88</v>
      </c>
      <c r="C602" s="3">
        <f t="shared" si="69"/>
        <v>9.9999999999997868E-3</v>
      </c>
      <c r="D602" s="3">
        <f t="shared" si="65"/>
        <v>9.9999999999997868E-3</v>
      </c>
      <c r="E602" s="3">
        <f t="shared" si="66"/>
        <v>0</v>
      </c>
      <c r="F602" s="3">
        <f t="shared" si="70"/>
        <v>0.11354297644615051</v>
      </c>
      <c r="G602" s="3">
        <f t="shared" si="70"/>
        <v>0.14532560344894299</v>
      </c>
      <c r="H602" s="3">
        <f t="shared" si="67"/>
        <v>0.78130056749457355</v>
      </c>
      <c r="I602" s="3">
        <f t="shared" si="68"/>
        <v>43.861242833009626</v>
      </c>
    </row>
    <row r="603" spans="1:9" ht="15.75" customHeight="1">
      <c r="A603" s="14">
        <v>7611</v>
      </c>
      <c r="B603">
        <v>7.48</v>
      </c>
      <c r="C603" s="3">
        <f t="shared" si="69"/>
        <v>-0.39999999999999947</v>
      </c>
      <c r="D603" s="3">
        <f t="shared" si="65"/>
        <v>0</v>
      </c>
      <c r="E603" s="3">
        <f t="shared" si="66"/>
        <v>0.39999999999999947</v>
      </c>
      <c r="F603" s="3">
        <f t="shared" si="70"/>
        <v>0.10543276384285405</v>
      </c>
      <c r="G603" s="3">
        <f t="shared" si="70"/>
        <v>0.16351663177401846</v>
      </c>
      <c r="H603" s="3">
        <f t="shared" si="67"/>
        <v>0.64478311899527829</v>
      </c>
      <c r="I603" s="3">
        <f t="shared" si="68"/>
        <v>39.201710641895843</v>
      </c>
    </row>
    <row r="604" spans="1:9" ht="15.75" customHeight="1">
      <c r="A604" s="14">
        <v>7641</v>
      </c>
      <c r="B604">
        <v>6.81</v>
      </c>
      <c r="C604" s="3">
        <f t="shared" si="69"/>
        <v>-0.67000000000000082</v>
      </c>
      <c r="D604" s="3">
        <f t="shared" si="65"/>
        <v>0</v>
      </c>
      <c r="E604" s="3">
        <f t="shared" si="66"/>
        <v>0.67000000000000082</v>
      </c>
      <c r="F604" s="3">
        <f t="shared" si="70"/>
        <v>9.790185213979305E-2</v>
      </c>
      <c r="G604" s="3">
        <f t="shared" si="70"/>
        <v>0.19969401521873148</v>
      </c>
      <c r="H604" s="3">
        <f t="shared" si="67"/>
        <v>0.49025932015317486</v>
      </c>
      <c r="I604" s="3">
        <f t="shared" si="68"/>
        <v>32.897584569562298</v>
      </c>
    </row>
    <row r="605" spans="1:9" ht="15.75" customHeight="1">
      <c r="A605" s="14">
        <v>7672</v>
      </c>
      <c r="B605">
        <v>7.11</v>
      </c>
      <c r="C605" s="3">
        <f t="shared" si="69"/>
        <v>0.30000000000000071</v>
      </c>
      <c r="D605" s="3">
        <f t="shared" si="65"/>
        <v>0.30000000000000071</v>
      </c>
      <c r="E605" s="3">
        <f t="shared" si="66"/>
        <v>0</v>
      </c>
      <c r="F605" s="3">
        <f t="shared" si="70"/>
        <v>0.11233743412980789</v>
      </c>
      <c r="G605" s="3">
        <f t="shared" si="70"/>
        <v>0.18543015698882209</v>
      </c>
      <c r="H605" s="3">
        <f t="shared" si="67"/>
        <v>0.60582073571010187</v>
      </c>
      <c r="I605" s="3">
        <f t="shared" si="68"/>
        <v>37.726548315008827</v>
      </c>
    </row>
    <row r="606" spans="1:9" ht="15.75" customHeight="1">
      <c r="A606" s="14">
        <v>7703</v>
      </c>
      <c r="B606">
        <v>7.06</v>
      </c>
      <c r="C606" s="3">
        <f t="shared" si="69"/>
        <v>-5.0000000000000711E-2</v>
      </c>
      <c r="D606" s="3">
        <f t="shared" si="65"/>
        <v>0</v>
      </c>
      <c r="E606" s="3">
        <f t="shared" si="66"/>
        <v>5.0000000000000711E-2</v>
      </c>
      <c r="F606" s="3">
        <f t="shared" si="70"/>
        <v>0.10431333169196447</v>
      </c>
      <c r="G606" s="3">
        <f t="shared" si="70"/>
        <v>0.17575657434676342</v>
      </c>
      <c r="H606" s="3">
        <f t="shared" si="67"/>
        <v>0.59351026884580038</v>
      </c>
      <c r="I606" s="3">
        <f t="shared" si="68"/>
        <v>37.245462451628093</v>
      </c>
    </row>
    <row r="607" spans="1:9" ht="15.75" customHeight="1">
      <c r="A607" s="14">
        <v>7731</v>
      </c>
      <c r="B607">
        <v>6.88</v>
      </c>
      <c r="C607" s="3">
        <f t="shared" si="69"/>
        <v>-0.17999999999999972</v>
      </c>
      <c r="D607" s="3">
        <f t="shared" si="65"/>
        <v>0</v>
      </c>
      <c r="E607" s="3">
        <f t="shared" si="66"/>
        <v>0.17999999999999972</v>
      </c>
      <c r="F607" s="3">
        <f t="shared" si="70"/>
        <v>9.6862379428252723E-2</v>
      </c>
      <c r="G607" s="3">
        <f t="shared" si="70"/>
        <v>0.17605967617913745</v>
      </c>
      <c r="H607" s="3">
        <f t="shared" si="67"/>
        <v>0.55016788358566016</v>
      </c>
      <c r="I607" s="3">
        <f t="shared" si="68"/>
        <v>35.490858081324632</v>
      </c>
    </row>
    <row r="608" spans="1:9" ht="15.75" customHeight="1">
      <c r="A608" s="14">
        <v>7762</v>
      </c>
      <c r="B608">
        <v>6.91</v>
      </c>
      <c r="C608" s="3">
        <f t="shared" si="69"/>
        <v>3.0000000000000249E-2</v>
      </c>
      <c r="D608" s="3">
        <f t="shared" si="65"/>
        <v>3.0000000000000249E-2</v>
      </c>
      <c r="E608" s="3">
        <f t="shared" si="66"/>
        <v>0</v>
      </c>
      <c r="F608" s="3">
        <f t="shared" si="70"/>
        <v>9.208649518337754E-2</v>
      </c>
      <c r="G608" s="3">
        <f t="shared" si="70"/>
        <v>0.1634839850234848</v>
      </c>
      <c r="H608" s="3">
        <f t="shared" si="67"/>
        <v>0.56327532736707597</v>
      </c>
      <c r="I608" s="3">
        <f t="shared" si="68"/>
        <v>36.031741658442499</v>
      </c>
    </row>
    <row r="609" spans="1:9" ht="15.75" customHeight="1">
      <c r="A609" s="14">
        <v>7792</v>
      </c>
      <c r="B609">
        <v>7.12</v>
      </c>
      <c r="C609" s="3">
        <f t="shared" si="69"/>
        <v>0.20999999999999996</v>
      </c>
      <c r="D609" s="3">
        <f t="shared" si="65"/>
        <v>0.20999999999999996</v>
      </c>
      <c r="E609" s="3">
        <f t="shared" si="66"/>
        <v>0</v>
      </c>
      <c r="F609" s="3">
        <f t="shared" si="70"/>
        <v>0.10050888838456486</v>
      </c>
      <c r="G609" s="3">
        <f t="shared" si="70"/>
        <v>0.1518065575218073</v>
      </c>
      <c r="H609" s="3">
        <f t="shared" si="67"/>
        <v>0.66208528818082557</v>
      </c>
      <c r="I609" s="3">
        <f t="shared" si="68"/>
        <v>39.834615761835352</v>
      </c>
    </row>
    <row r="610" spans="1:9" ht="15.75" customHeight="1">
      <c r="A610" s="14">
        <v>7823</v>
      </c>
      <c r="B610">
        <v>6.55</v>
      </c>
      <c r="C610" s="3">
        <f t="shared" si="69"/>
        <v>-0.57000000000000028</v>
      </c>
      <c r="D610" s="3">
        <f t="shared" si="65"/>
        <v>0</v>
      </c>
      <c r="E610" s="3">
        <f t="shared" si="66"/>
        <v>0.57000000000000028</v>
      </c>
      <c r="F610" s="3">
        <f t="shared" si="70"/>
        <v>9.3329682071381662E-2</v>
      </c>
      <c r="G610" s="3">
        <f t="shared" si="70"/>
        <v>0.18167751769882109</v>
      </c>
      <c r="H610" s="3">
        <f t="shared" si="67"/>
        <v>0.51371068502873585</v>
      </c>
      <c r="I610" s="3">
        <f t="shared" si="68"/>
        <v>33.937177699117825</v>
      </c>
    </row>
    <row r="611" spans="1:9" ht="15.75" customHeight="1">
      <c r="A611" s="14">
        <v>7853</v>
      </c>
      <c r="B611">
        <v>6.53</v>
      </c>
      <c r="C611" s="3">
        <f t="shared" si="69"/>
        <v>-1.9999999999999574E-2</v>
      </c>
      <c r="D611" s="3">
        <f t="shared" si="65"/>
        <v>0</v>
      </c>
      <c r="E611" s="3">
        <f t="shared" si="66"/>
        <v>1.9999999999999574E-2</v>
      </c>
      <c r="F611" s="3">
        <f t="shared" si="70"/>
        <v>8.6663276209140119E-2</v>
      </c>
      <c r="G611" s="3">
        <f t="shared" si="70"/>
        <v>0.1701291235774767</v>
      </c>
      <c r="H611" s="3">
        <f t="shared" si="67"/>
        <v>0.50939706492800285</v>
      </c>
      <c r="I611" s="3">
        <f t="shared" si="68"/>
        <v>33.748380513268103</v>
      </c>
    </row>
    <row r="612" spans="1:9" ht="15.75" customHeight="1">
      <c r="A612" s="14">
        <v>7884</v>
      </c>
      <c r="B612">
        <v>6.45</v>
      </c>
      <c r="C612" s="3">
        <f t="shared" si="69"/>
        <v>-8.0000000000000071E-2</v>
      </c>
      <c r="D612" s="3">
        <f t="shared" si="65"/>
        <v>0</v>
      </c>
      <c r="E612" s="3">
        <f t="shared" si="66"/>
        <v>8.0000000000000071E-2</v>
      </c>
      <c r="F612" s="3">
        <f t="shared" si="70"/>
        <v>8.0473042194201552E-2</v>
      </c>
      <c r="G612" s="3">
        <f t="shared" si="70"/>
        <v>0.16369132903622835</v>
      </c>
      <c r="H612" s="3">
        <f t="shared" si="67"/>
        <v>0.49161456912840612</v>
      </c>
      <c r="I612" s="3">
        <f t="shared" si="68"/>
        <v>32.958552383654364</v>
      </c>
    </row>
    <row r="613" spans="1:9" ht="15.75" customHeight="1">
      <c r="A613" s="14">
        <v>7915</v>
      </c>
      <c r="B613">
        <v>6.61</v>
      </c>
      <c r="C613" s="3">
        <f t="shared" si="69"/>
        <v>0.16000000000000014</v>
      </c>
      <c r="D613" s="3">
        <f t="shared" si="65"/>
        <v>0.16000000000000014</v>
      </c>
      <c r="E613" s="3">
        <f t="shared" si="66"/>
        <v>0</v>
      </c>
      <c r="F613" s="3">
        <f t="shared" si="70"/>
        <v>8.6153539180330016E-2</v>
      </c>
      <c r="G613" s="3">
        <f t="shared" si="70"/>
        <v>0.15199909124792632</v>
      </c>
      <c r="H613" s="3">
        <f t="shared" si="67"/>
        <v>0.56680298857711353</v>
      </c>
      <c r="I613" s="3">
        <f t="shared" si="68"/>
        <v>36.175766366890429</v>
      </c>
    </row>
    <row r="614" spans="1:9" ht="15.75" customHeight="1">
      <c r="A614" s="14">
        <v>7945</v>
      </c>
      <c r="B614">
        <v>6.7</v>
      </c>
      <c r="C614" s="3">
        <f t="shared" si="69"/>
        <v>8.9999999999999858E-2</v>
      </c>
      <c r="D614" s="3">
        <f t="shared" ref="D614:D677" si="71">IF(C614&gt;0,C614,0)</f>
        <v>8.9999999999999858E-2</v>
      </c>
      <c r="E614" s="3">
        <f t="shared" ref="E614:E677" si="72">IF(C614&lt;0,-C614,0)</f>
        <v>0</v>
      </c>
      <c r="F614" s="3">
        <f t="shared" si="70"/>
        <v>8.6428286381735012E-2</v>
      </c>
      <c r="G614" s="3">
        <f t="shared" si="70"/>
        <v>0.14114201330164586</v>
      </c>
      <c r="H614" s="3">
        <f t="shared" ref="H614:H677" si="73">F614/G614</f>
        <v>0.61234981958931123</v>
      </c>
      <c r="I614" s="3">
        <f t="shared" ref="I614:I677" si="74">IF(G614=0,100,100-(100/(1+H614)))</f>
        <v>37.978719763511712</v>
      </c>
    </row>
    <row r="615" spans="1:9" ht="15.75" customHeight="1">
      <c r="A615" s="14">
        <v>7976</v>
      </c>
      <c r="B615">
        <v>7.06</v>
      </c>
      <c r="C615" s="3">
        <f t="shared" si="69"/>
        <v>0.35999999999999943</v>
      </c>
      <c r="D615" s="3">
        <f t="shared" si="71"/>
        <v>0.35999999999999943</v>
      </c>
      <c r="E615" s="3">
        <f t="shared" si="72"/>
        <v>0</v>
      </c>
      <c r="F615" s="3">
        <f t="shared" si="70"/>
        <v>0.1059691230687539</v>
      </c>
      <c r="G615" s="3">
        <f t="shared" si="70"/>
        <v>0.13106044092295685</v>
      </c>
      <c r="H615" s="3">
        <f t="shared" si="73"/>
        <v>0.80855155318031668</v>
      </c>
      <c r="I615" s="3">
        <f t="shared" si="74"/>
        <v>44.707133272396256</v>
      </c>
    </row>
    <row r="616" spans="1:9" ht="15.75" customHeight="1">
      <c r="A616" s="14">
        <v>8006</v>
      </c>
      <c r="B616">
        <v>7.31</v>
      </c>
      <c r="C616" s="3">
        <f t="shared" si="69"/>
        <v>0.25</v>
      </c>
      <c r="D616" s="3">
        <f t="shared" si="71"/>
        <v>0.25</v>
      </c>
      <c r="E616" s="3">
        <f t="shared" si="72"/>
        <v>0</v>
      </c>
      <c r="F616" s="3">
        <f t="shared" si="70"/>
        <v>0.11625704284955719</v>
      </c>
      <c r="G616" s="3">
        <f t="shared" si="70"/>
        <v>0.12169898085703136</v>
      </c>
      <c r="H616" s="3">
        <f t="shared" si="73"/>
        <v>0.95528361890008584</v>
      </c>
      <c r="I616" s="3">
        <f t="shared" si="74"/>
        <v>48.856524427768989</v>
      </c>
    </row>
    <row r="617" spans="1:9" ht="15.75" customHeight="1">
      <c r="A617" s="14">
        <v>8037</v>
      </c>
      <c r="B617">
        <v>7.3</v>
      </c>
      <c r="C617" s="3">
        <f t="shared" si="69"/>
        <v>-9.9999999999997868E-3</v>
      </c>
      <c r="D617" s="3">
        <f t="shared" si="71"/>
        <v>0</v>
      </c>
      <c r="E617" s="3">
        <f t="shared" si="72"/>
        <v>9.9999999999997868E-3</v>
      </c>
      <c r="F617" s="3">
        <f t="shared" si="70"/>
        <v>0.1079529683603031</v>
      </c>
      <c r="G617" s="3">
        <f t="shared" si="70"/>
        <v>0.11372048222438624</v>
      </c>
      <c r="H617" s="3">
        <f t="shared" si="73"/>
        <v>0.94928342061808146</v>
      </c>
      <c r="I617" s="3">
        <f t="shared" si="74"/>
        <v>48.699096836163591</v>
      </c>
    </row>
    <row r="618" spans="1:9" ht="15.75" customHeight="1">
      <c r="A618" s="14">
        <v>8068</v>
      </c>
      <c r="B618">
        <v>7.46</v>
      </c>
      <c r="C618" s="3">
        <f t="shared" si="69"/>
        <v>0.16000000000000014</v>
      </c>
      <c r="D618" s="3">
        <f t="shared" si="71"/>
        <v>0.16000000000000014</v>
      </c>
      <c r="E618" s="3">
        <f t="shared" si="72"/>
        <v>0</v>
      </c>
      <c r="F618" s="3">
        <f t="shared" si="70"/>
        <v>0.11167061347742432</v>
      </c>
      <c r="G618" s="3">
        <f t="shared" si="70"/>
        <v>0.10559759063693008</v>
      </c>
      <c r="H618" s="3">
        <f t="shared" si="73"/>
        <v>1.0575109981569064</v>
      </c>
      <c r="I618" s="3">
        <f t="shared" si="74"/>
        <v>51.397586652232327</v>
      </c>
    </row>
    <row r="619" spans="1:9" ht="15.75" customHeight="1">
      <c r="A619" s="14">
        <v>8096</v>
      </c>
      <c r="B619">
        <v>7.74</v>
      </c>
      <c r="C619" s="3">
        <f t="shared" ref="C619:C682" si="75">B619-B618</f>
        <v>0.28000000000000025</v>
      </c>
      <c r="D619" s="3">
        <f t="shared" si="71"/>
        <v>0.28000000000000025</v>
      </c>
      <c r="E619" s="3">
        <f t="shared" si="72"/>
        <v>0</v>
      </c>
      <c r="F619" s="3">
        <f t="shared" si="70"/>
        <v>0.12369414108617974</v>
      </c>
      <c r="G619" s="3">
        <f t="shared" si="70"/>
        <v>9.8054905591435065E-2</v>
      </c>
      <c r="H619" s="3">
        <f t="shared" si="73"/>
        <v>1.2614783558262304</v>
      </c>
      <c r="I619" s="3">
        <f t="shared" si="74"/>
        <v>55.781137704736047</v>
      </c>
    </row>
    <row r="620" spans="1:9" ht="15.75" customHeight="1">
      <c r="A620" s="14">
        <v>8127</v>
      </c>
      <c r="B620">
        <v>8.2100000000000009</v>
      </c>
      <c r="C620" s="3">
        <f t="shared" si="75"/>
        <v>0.47000000000000064</v>
      </c>
      <c r="D620" s="3">
        <f t="shared" si="71"/>
        <v>0.47000000000000064</v>
      </c>
      <c r="E620" s="3">
        <f t="shared" si="72"/>
        <v>0</v>
      </c>
      <c r="F620" s="3">
        <f t="shared" si="70"/>
        <v>0.14843027386573837</v>
      </c>
      <c r="G620" s="3">
        <f t="shared" si="70"/>
        <v>9.1050983763475424E-2</v>
      </c>
      <c r="H620" s="3">
        <f t="shared" si="73"/>
        <v>1.6301885793053925</v>
      </c>
      <c r="I620" s="3">
        <f t="shared" si="74"/>
        <v>61.979912472128127</v>
      </c>
    </row>
    <row r="621" spans="1:9" ht="15.75" customHeight="1">
      <c r="A621" s="14">
        <v>8157</v>
      </c>
      <c r="B621">
        <v>8.5299999999999994</v>
      </c>
      <c r="C621" s="3">
        <f t="shared" si="75"/>
        <v>0.31999999999999851</v>
      </c>
      <c r="D621" s="3">
        <f t="shared" si="71"/>
        <v>0.31999999999999851</v>
      </c>
      <c r="E621" s="3">
        <f t="shared" si="72"/>
        <v>0</v>
      </c>
      <c r="F621" s="3">
        <f t="shared" si="70"/>
        <v>0.16068525430389982</v>
      </c>
      <c r="G621" s="3">
        <f t="shared" si="70"/>
        <v>8.4547342066084316E-2</v>
      </c>
      <c r="H621" s="3">
        <f t="shared" si="73"/>
        <v>1.9005358462753827</v>
      </c>
      <c r="I621" s="3">
        <f t="shared" si="74"/>
        <v>65.52361173939245</v>
      </c>
    </row>
    <row r="622" spans="1:9" ht="15.75" customHeight="1">
      <c r="A622" s="14">
        <v>8188</v>
      </c>
      <c r="B622">
        <v>8.4499999999999993</v>
      </c>
      <c r="C622" s="3">
        <f t="shared" si="75"/>
        <v>-8.0000000000000071E-2</v>
      </c>
      <c r="D622" s="3">
        <f t="shared" si="71"/>
        <v>0</v>
      </c>
      <c r="E622" s="3">
        <f t="shared" si="72"/>
        <v>8.0000000000000071E-2</v>
      </c>
      <c r="F622" s="3">
        <f t="shared" si="70"/>
        <v>0.14920773613933555</v>
      </c>
      <c r="G622" s="3">
        <f t="shared" si="70"/>
        <v>8.4222531918506857E-2</v>
      </c>
      <c r="H622" s="3">
        <f t="shared" si="73"/>
        <v>1.7715892973118872</v>
      </c>
      <c r="I622" s="3">
        <f t="shared" si="74"/>
        <v>63.919618214362373</v>
      </c>
    </row>
    <row r="623" spans="1:9" ht="15.75" customHeight="1">
      <c r="A623" s="14">
        <v>8218</v>
      </c>
      <c r="B623">
        <v>8.51</v>
      </c>
      <c r="C623" s="3">
        <f t="shared" si="75"/>
        <v>6.0000000000000497E-2</v>
      </c>
      <c r="D623" s="3">
        <f t="shared" si="71"/>
        <v>6.0000000000000497E-2</v>
      </c>
      <c r="E623" s="3">
        <f t="shared" si="72"/>
        <v>0</v>
      </c>
      <c r="F623" s="3">
        <f t="shared" si="70"/>
        <v>0.1428357549865259</v>
      </c>
      <c r="G623" s="3">
        <f t="shared" si="70"/>
        <v>7.8206636781470648E-2</v>
      </c>
      <c r="H623" s="3">
        <f t="shared" si="73"/>
        <v>1.8263891769907654</v>
      </c>
      <c r="I623" s="3">
        <f t="shared" si="74"/>
        <v>64.619168225633658</v>
      </c>
    </row>
    <row r="624" spans="1:9" ht="15.75" customHeight="1">
      <c r="A624" s="14">
        <v>8249</v>
      </c>
      <c r="B624">
        <v>8.83</v>
      </c>
      <c r="C624" s="3">
        <f t="shared" si="75"/>
        <v>0.32000000000000028</v>
      </c>
      <c r="D624" s="3">
        <f t="shared" si="71"/>
        <v>0.32000000000000028</v>
      </c>
      <c r="E624" s="3">
        <f t="shared" si="72"/>
        <v>0</v>
      </c>
      <c r="F624" s="3">
        <f t="shared" si="70"/>
        <v>0.15549034391605979</v>
      </c>
      <c r="G624" s="3">
        <f t="shared" si="70"/>
        <v>7.2620448439937021E-2</v>
      </c>
      <c r="H624" s="3">
        <f t="shared" si="73"/>
        <v>2.1411372038643202</v>
      </c>
      <c r="I624" s="3">
        <f t="shared" si="74"/>
        <v>68.164396041988539</v>
      </c>
    </row>
    <row r="625" spans="1:9" ht="15.75" customHeight="1">
      <c r="A625" s="14">
        <v>8280</v>
      </c>
      <c r="B625">
        <v>9.06</v>
      </c>
      <c r="C625" s="3">
        <f t="shared" si="75"/>
        <v>0.23000000000000043</v>
      </c>
      <c r="D625" s="3">
        <f t="shared" si="71"/>
        <v>0.23000000000000043</v>
      </c>
      <c r="E625" s="3">
        <f t="shared" si="72"/>
        <v>0</v>
      </c>
      <c r="F625" s="3">
        <f t="shared" si="70"/>
        <v>0.16081246220776982</v>
      </c>
      <c r="G625" s="3">
        <f t="shared" si="70"/>
        <v>6.743327355137009E-2</v>
      </c>
      <c r="H625" s="3">
        <f t="shared" si="73"/>
        <v>2.3847642823577928</v>
      </c>
      <c r="I625" s="3">
        <f t="shared" si="74"/>
        <v>70.45584517621387</v>
      </c>
    </row>
    <row r="626" spans="1:9" ht="15.75" customHeight="1">
      <c r="A626" s="14">
        <v>8310</v>
      </c>
      <c r="B626">
        <v>9.26</v>
      </c>
      <c r="C626" s="3">
        <f t="shared" si="75"/>
        <v>0.19999999999999929</v>
      </c>
      <c r="D626" s="3">
        <f t="shared" si="71"/>
        <v>0.19999999999999929</v>
      </c>
      <c r="E626" s="3">
        <f t="shared" si="72"/>
        <v>0</v>
      </c>
      <c r="F626" s="3">
        <f t="shared" si="70"/>
        <v>0.16361157205007193</v>
      </c>
      <c r="G626" s="3">
        <f t="shared" si="70"/>
        <v>6.2616611154843654E-2</v>
      </c>
      <c r="H626" s="3">
        <f t="shared" si="73"/>
        <v>2.612910041482114</v>
      </c>
      <c r="I626" s="3">
        <f t="shared" si="74"/>
        <v>72.321480786447353</v>
      </c>
    </row>
    <row r="627" spans="1:9" ht="15.75" customHeight="1">
      <c r="A627" s="14">
        <v>8341</v>
      </c>
      <c r="B627">
        <v>8.8000000000000007</v>
      </c>
      <c r="C627" s="3">
        <f t="shared" si="75"/>
        <v>-0.45999999999999908</v>
      </c>
      <c r="D627" s="3">
        <f t="shared" si="71"/>
        <v>0</v>
      </c>
      <c r="E627" s="3">
        <f t="shared" si="72"/>
        <v>0.45999999999999908</v>
      </c>
      <c r="F627" s="3">
        <f t="shared" si="70"/>
        <v>0.15192503118935249</v>
      </c>
      <c r="G627" s="3">
        <f t="shared" si="70"/>
        <v>9.1001138929497599E-2</v>
      </c>
      <c r="H627" s="3">
        <f t="shared" si="73"/>
        <v>1.6694849424583047</v>
      </c>
      <c r="I627" s="3">
        <f t="shared" si="74"/>
        <v>62.539590162321389</v>
      </c>
    </row>
    <row r="628" spans="1:9" ht="15.75" customHeight="1">
      <c r="A628" s="14">
        <v>8371</v>
      </c>
      <c r="B628">
        <v>8.7799999999999994</v>
      </c>
      <c r="C628" s="3">
        <f t="shared" si="75"/>
        <v>-2.000000000000135E-2</v>
      </c>
      <c r="D628" s="3">
        <f t="shared" si="71"/>
        <v>0</v>
      </c>
      <c r="E628" s="3">
        <f t="shared" si="72"/>
        <v>2.000000000000135E-2</v>
      </c>
      <c r="F628" s="3">
        <f t="shared" si="70"/>
        <v>0.14107324324725587</v>
      </c>
      <c r="G628" s="3">
        <f t="shared" si="70"/>
        <v>8.5929629005962155E-2</v>
      </c>
      <c r="H628" s="3">
        <f t="shared" si="73"/>
        <v>1.64172992341754</v>
      </c>
      <c r="I628" s="3">
        <f t="shared" si="74"/>
        <v>62.146016852989838</v>
      </c>
    </row>
    <row r="629" spans="1:9" ht="15.75" customHeight="1">
      <c r="A629" s="14">
        <v>8402</v>
      </c>
      <c r="B629">
        <v>8.9</v>
      </c>
      <c r="C629" s="3">
        <f t="shared" si="75"/>
        <v>0.12000000000000099</v>
      </c>
      <c r="D629" s="3">
        <f t="shared" si="71"/>
        <v>0.12000000000000099</v>
      </c>
      <c r="E629" s="3">
        <f t="shared" si="72"/>
        <v>0</v>
      </c>
      <c r="F629" s="3">
        <f t="shared" si="70"/>
        <v>0.13956801158673765</v>
      </c>
      <c r="G629" s="3">
        <f t="shared" si="70"/>
        <v>7.9791798362679148E-2</v>
      </c>
      <c r="H629" s="3">
        <f t="shared" si="73"/>
        <v>1.74915234962316</v>
      </c>
      <c r="I629" s="3">
        <f t="shared" si="74"/>
        <v>63.625151580374407</v>
      </c>
    </row>
    <row r="630" spans="1:9" ht="15.75" customHeight="1">
      <c r="A630" s="14">
        <v>8433</v>
      </c>
      <c r="B630">
        <v>9.2799999999999994</v>
      </c>
      <c r="C630" s="3">
        <f t="shared" si="75"/>
        <v>0.37999999999999901</v>
      </c>
      <c r="D630" s="3">
        <f t="shared" si="71"/>
        <v>0.37999999999999901</v>
      </c>
      <c r="E630" s="3">
        <f t="shared" si="72"/>
        <v>0</v>
      </c>
      <c r="F630" s="3">
        <f t="shared" si="70"/>
        <v>0.15674172504482775</v>
      </c>
      <c r="G630" s="3">
        <f t="shared" si="70"/>
        <v>7.4092384193916352E-2</v>
      </c>
      <c r="H630" s="3">
        <f t="shared" si="73"/>
        <v>2.1154903671961693</v>
      </c>
      <c r="I630" s="3">
        <f t="shared" si="74"/>
        <v>67.902324124341163</v>
      </c>
    </row>
    <row r="631" spans="1:9" ht="15.75" customHeight="1">
      <c r="A631" s="14">
        <v>8461</v>
      </c>
      <c r="B631">
        <v>9.43</v>
      </c>
      <c r="C631" s="3">
        <f t="shared" si="75"/>
        <v>0.15000000000000036</v>
      </c>
      <c r="D631" s="3">
        <f t="shared" si="71"/>
        <v>0.15000000000000036</v>
      </c>
      <c r="E631" s="3">
        <f t="shared" si="72"/>
        <v>0</v>
      </c>
      <c r="F631" s="3">
        <f t="shared" si="70"/>
        <v>0.15626017325591152</v>
      </c>
      <c r="G631" s="3">
        <f t="shared" si="70"/>
        <v>6.8800071037208047E-2</v>
      </c>
      <c r="H631" s="3">
        <f t="shared" si="73"/>
        <v>2.2712211034114169</v>
      </c>
      <c r="I631" s="3">
        <f t="shared" si="74"/>
        <v>69.430375740816089</v>
      </c>
    </row>
    <row r="632" spans="1:9" ht="15.75" customHeight="1">
      <c r="A632" s="14">
        <v>8492</v>
      </c>
      <c r="B632">
        <v>9.1</v>
      </c>
      <c r="C632" s="3">
        <f t="shared" si="75"/>
        <v>-0.33000000000000007</v>
      </c>
      <c r="D632" s="3">
        <f t="shared" si="71"/>
        <v>0</v>
      </c>
      <c r="E632" s="3">
        <f t="shared" si="72"/>
        <v>0.33000000000000007</v>
      </c>
      <c r="F632" s="3">
        <f t="shared" si="70"/>
        <v>0.1450987323090607</v>
      </c>
      <c r="G632" s="3">
        <f t="shared" si="70"/>
        <v>8.7457208820264629E-2</v>
      </c>
      <c r="H632" s="3">
        <f t="shared" si="73"/>
        <v>1.6590825875458308</v>
      </c>
      <c r="I632" s="3">
        <f t="shared" si="74"/>
        <v>62.393044703326112</v>
      </c>
    </row>
    <row r="633" spans="1:9" ht="15.75" customHeight="1">
      <c r="A633" s="14">
        <v>8522</v>
      </c>
      <c r="B633">
        <v>8.67</v>
      </c>
      <c r="C633" s="3">
        <f t="shared" si="75"/>
        <v>-0.42999999999999972</v>
      </c>
      <c r="D633" s="3">
        <f t="shared" si="71"/>
        <v>0</v>
      </c>
      <c r="E633" s="3">
        <f t="shared" si="72"/>
        <v>0.42999999999999972</v>
      </c>
      <c r="F633" s="3">
        <f t="shared" si="70"/>
        <v>0.13473453714412781</v>
      </c>
      <c r="G633" s="3">
        <f t="shared" si="70"/>
        <v>0.11192455104738856</v>
      </c>
      <c r="H633" s="3">
        <f t="shared" si="73"/>
        <v>1.2037978788682526</v>
      </c>
      <c r="I633" s="3">
        <f t="shared" si="74"/>
        <v>54.623787889588854</v>
      </c>
    </row>
    <row r="634" spans="1:9" ht="15.75" customHeight="1">
      <c r="A634" s="14">
        <v>8553</v>
      </c>
      <c r="B634">
        <v>8.34</v>
      </c>
      <c r="C634" s="3">
        <f t="shared" si="75"/>
        <v>-0.33000000000000007</v>
      </c>
      <c r="D634" s="3">
        <f t="shared" si="71"/>
        <v>0</v>
      </c>
      <c r="E634" s="3">
        <f t="shared" si="72"/>
        <v>0.33000000000000007</v>
      </c>
      <c r="F634" s="3">
        <f t="shared" si="70"/>
        <v>0.12511064163383295</v>
      </c>
      <c r="G634" s="3">
        <f t="shared" si="70"/>
        <v>0.12750136882971794</v>
      </c>
      <c r="H634" s="3">
        <f t="shared" si="73"/>
        <v>0.98124939976857917</v>
      </c>
      <c r="I634" s="3">
        <f t="shared" si="74"/>
        <v>49.526798588970905</v>
      </c>
    </row>
    <row r="635" spans="1:9" ht="15.75" customHeight="1">
      <c r="A635" s="14">
        <v>8583</v>
      </c>
      <c r="B635">
        <v>8.06</v>
      </c>
      <c r="C635" s="3">
        <f t="shared" si="75"/>
        <v>-0.27999999999999936</v>
      </c>
      <c r="D635" s="3">
        <f t="shared" si="71"/>
        <v>0</v>
      </c>
      <c r="E635" s="3">
        <f t="shared" si="72"/>
        <v>0.27999999999999936</v>
      </c>
      <c r="F635" s="3">
        <f t="shared" si="70"/>
        <v>0.11617416723141631</v>
      </c>
      <c r="G635" s="3">
        <f t="shared" si="70"/>
        <v>0.13839412819902375</v>
      </c>
      <c r="H635" s="3">
        <f t="shared" si="73"/>
        <v>0.839444337294043</v>
      </c>
      <c r="I635" s="3">
        <f t="shared" si="74"/>
        <v>45.635756422449127</v>
      </c>
    </row>
    <row r="636" spans="1:9" ht="15.75" customHeight="1">
      <c r="A636" s="14">
        <v>8614</v>
      </c>
      <c r="B636">
        <v>8.1</v>
      </c>
      <c r="C636" s="3">
        <f t="shared" si="75"/>
        <v>3.9999999999999147E-2</v>
      </c>
      <c r="D636" s="3">
        <f t="shared" si="71"/>
        <v>3.9999999999999147E-2</v>
      </c>
      <c r="E636" s="3">
        <f t="shared" si="72"/>
        <v>0</v>
      </c>
      <c r="F636" s="3">
        <f t="shared" si="70"/>
        <v>0.11073315528631508</v>
      </c>
      <c r="G636" s="3">
        <f t="shared" si="70"/>
        <v>0.12850883332766491</v>
      </c>
      <c r="H636" s="3">
        <f t="shared" si="73"/>
        <v>0.86167738371706826</v>
      </c>
      <c r="I636" s="3">
        <f t="shared" si="74"/>
        <v>46.285000357936518</v>
      </c>
    </row>
    <row r="637" spans="1:9" ht="15.75" customHeight="1">
      <c r="A637" s="14">
        <v>8645</v>
      </c>
      <c r="B637">
        <v>8.15</v>
      </c>
      <c r="C637" s="3">
        <f t="shared" si="75"/>
        <v>5.0000000000000711E-2</v>
      </c>
      <c r="D637" s="3">
        <f t="shared" si="71"/>
        <v>5.0000000000000711E-2</v>
      </c>
      <c r="E637" s="3">
        <f t="shared" si="72"/>
        <v>0</v>
      </c>
      <c r="F637" s="3">
        <f t="shared" si="70"/>
        <v>0.10639507276586405</v>
      </c>
      <c r="G637" s="3">
        <f t="shared" si="70"/>
        <v>0.11932963094711742</v>
      </c>
      <c r="H637" s="3">
        <f t="shared" si="73"/>
        <v>0.89160648467114167</v>
      </c>
      <c r="I637" s="3">
        <f t="shared" si="74"/>
        <v>47.134882011474424</v>
      </c>
    </row>
    <row r="638" spans="1:9" ht="15.75" customHeight="1">
      <c r="A638" s="14">
        <v>8675</v>
      </c>
      <c r="B638">
        <v>8.0299999999999994</v>
      </c>
      <c r="C638" s="3">
        <f t="shared" si="75"/>
        <v>-0.12000000000000099</v>
      </c>
      <c r="D638" s="3">
        <f t="shared" si="71"/>
        <v>0</v>
      </c>
      <c r="E638" s="3">
        <f t="shared" si="72"/>
        <v>0.12000000000000099</v>
      </c>
      <c r="F638" s="3">
        <f t="shared" si="70"/>
        <v>9.8795424711159471E-2</v>
      </c>
      <c r="G638" s="3">
        <f t="shared" si="70"/>
        <v>0.11937751445089483</v>
      </c>
      <c r="H638" s="3">
        <f t="shared" si="73"/>
        <v>0.82758822015680633</v>
      </c>
      <c r="I638" s="3">
        <f t="shared" si="74"/>
        <v>45.283079143823741</v>
      </c>
    </row>
    <row r="639" spans="1:9" ht="15.75" customHeight="1">
      <c r="A639" s="14">
        <v>8706</v>
      </c>
      <c r="B639">
        <v>8.27</v>
      </c>
      <c r="C639" s="3">
        <f t="shared" si="75"/>
        <v>0.24000000000000021</v>
      </c>
      <c r="D639" s="3">
        <f t="shared" si="71"/>
        <v>0.24000000000000021</v>
      </c>
      <c r="E639" s="3">
        <f t="shared" si="72"/>
        <v>0</v>
      </c>
      <c r="F639" s="3">
        <f t="shared" si="70"/>
        <v>0.10888146580321953</v>
      </c>
      <c r="G639" s="3">
        <f t="shared" si="70"/>
        <v>0.11085054913297376</v>
      </c>
      <c r="H639" s="3">
        <f t="shared" si="73"/>
        <v>0.9822365938179326</v>
      </c>
      <c r="I639" s="3">
        <f t="shared" si="74"/>
        <v>49.55193526752894</v>
      </c>
    </row>
    <row r="640" spans="1:9" ht="15.75" customHeight="1">
      <c r="A640" s="14">
        <v>8736</v>
      </c>
      <c r="B640">
        <v>8.5500000000000007</v>
      </c>
      <c r="C640" s="3">
        <f t="shared" si="75"/>
        <v>0.28000000000000114</v>
      </c>
      <c r="D640" s="3">
        <f t="shared" si="71"/>
        <v>0.28000000000000114</v>
      </c>
      <c r="E640" s="3">
        <f t="shared" si="72"/>
        <v>0</v>
      </c>
      <c r="F640" s="3">
        <f t="shared" si="70"/>
        <v>0.12110421824584679</v>
      </c>
      <c r="G640" s="3">
        <f t="shared" si="70"/>
        <v>0.10293265276633279</v>
      </c>
      <c r="H640" s="3">
        <f t="shared" si="73"/>
        <v>1.1765383966229379</v>
      </c>
      <c r="I640" s="3">
        <f t="shared" si="74"/>
        <v>54.055485464829161</v>
      </c>
    </row>
    <row r="641" spans="1:9" ht="15.75" customHeight="1">
      <c r="A641" s="14">
        <v>8767</v>
      </c>
      <c r="B641">
        <v>8.83</v>
      </c>
      <c r="C641" s="3">
        <f t="shared" si="75"/>
        <v>0.27999999999999936</v>
      </c>
      <c r="D641" s="3">
        <f t="shared" si="71"/>
        <v>0.27999999999999936</v>
      </c>
      <c r="E641" s="3">
        <f t="shared" si="72"/>
        <v>0</v>
      </c>
      <c r="F641" s="3">
        <f t="shared" si="70"/>
        <v>0.13245391694257197</v>
      </c>
      <c r="G641" s="3">
        <f t="shared" si="70"/>
        <v>9.5580320425880452E-2</v>
      </c>
      <c r="H641" s="3">
        <f t="shared" si="73"/>
        <v>1.3857864919514038</v>
      </c>
      <c r="I641" s="3">
        <f t="shared" si="74"/>
        <v>58.085100935328413</v>
      </c>
    </row>
    <row r="642" spans="1:9" ht="15.75" customHeight="1">
      <c r="A642" s="14">
        <v>8798</v>
      </c>
      <c r="B642">
        <v>8.8699999999999992</v>
      </c>
      <c r="C642" s="3">
        <f t="shared" si="75"/>
        <v>3.9999999999999147E-2</v>
      </c>
      <c r="D642" s="3">
        <f t="shared" si="71"/>
        <v>3.9999999999999147E-2</v>
      </c>
      <c r="E642" s="3">
        <f t="shared" si="72"/>
        <v>0</v>
      </c>
      <c r="F642" s="3">
        <f t="shared" si="70"/>
        <v>0.12585006573238819</v>
      </c>
      <c r="G642" s="3">
        <f t="shared" si="70"/>
        <v>8.8753154681174715E-2</v>
      </c>
      <c r="H642" s="3">
        <f t="shared" si="73"/>
        <v>1.4179785066173207</v>
      </c>
      <c r="I642" s="3">
        <f t="shared" si="74"/>
        <v>58.643139413221256</v>
      </c>
    </row>
    <row r="643" spans="1:9" ht="15.75" customHeight="1">
      <c r="A643" s="14">
        <v>8827</v>
      </c>
      <c r="B643">
        <v>8.6999999999999993</v>
      </c>
      <c r="C643" s="3">
        <f t="shared" si="75"/>
        <v>-0.16999999999999993</v>
      </c>
      <c r="D643" s="3">
        <f t="shared" si="71"/>
        <v>0</v>
      </c>
      <c r="E643" s="3">
        <f t="shared" si="72"/>
        <v>0.16999999999999993</v>
      </c>
      <c r="F643" s="3">
        <f t="shared" si="70"/>
        <v>0.11686077532293189</v>
      </c>
      <c r="G643" s="3">
        <f t="shared" si="70"/>
        <v>9.4556500775376515E-2</v>
      </c>
      <c r="H643" s="3">
        <f t="shared" si="73"/>
        <v>1.2358830367521769</v>
      </c>
      <c r="I643" s="3">
        <f t="shared" si="74"/>
        <v>55.27494132910499</v>
      </c>
    </row>
    <row r="644" spans="1:9" ht="15.75" customHeight="1">
      <c r="A644" s="14">
        <v>8858</v>
      </c>
      <c r="B644">
        <v>8.5</v>
      </c>
      <c r="C644" s="3">
        <f t="shared" si="75"/>
        <v>-0.19999999999999929</v>
      </c>
      <c r="D644" s="3">
        <f t="shared" si="71"/>
        <v>0</v>
      </c>
      <c r="E644" s="3">
        <f t="shared" si="72"/>
        <v>0.19999999999999929</v>
      </c>
      <c r="F644" s="3">
        <f t="shared" si="70"/>
        <v>0.10851357708557961</v>
      </c>
      <c r="G644" s="3">
        <f t="shared" si="70"/>
        <v>0.102088179291421</v>
      </c>
      <c r="H644" s="3">
        <f t="shared" si="73"/>
        <v>1.0629396844841035</v>
      </c>
      <c r="I644" s="3">
        <f t="shared" si="74"/>
        <v>51.525485329442461</v>
      </c>
    </row>
    <row r="645" spans="1:9" ht="15.75" customHeight="1">
      <c r="A645" s="14">
        <v>8888</v>
      </c>
      <c r="B645">
        <v>8.4700000000000006</v>
      </c>
      <c r="C645" s="3">
        <f t="shared" si="75"/>
        <v>-2.9999999999999361E-2</v>
      </c>
      <c r="D645" s="3">
        <f t="shared" si="71"/>
        <v>0</v>
      </c>
      <c r="E645" s="3">
        <f t="shared" si="72"/>
        <v>2.9999999999999361E-2</v>
      </c>
      <c r="F645" s="3">
        <f t="shared" si="70"/>
        <v>0.1007626072937525</v>
      </c>
      <c r="G645" s="3">
        <f t="shared" si="70"/>
        <v>9.6939023627748019E-2</v>
      </c>
      <c r="H645" s="3">
        <f t="shared" si="73"/>
        <v>1.0394431831775743</v>
      </c>
      <c r="I645" s="3">
        <f t="shared" si="74"/>
        <v>50.967008630172266</v>
      </c>
    </row>
    <row r="646" spans="1:9" ht="15.75" customHeight="1">
      <c r="A646" s="14">
        <v>8919</v>
      </c>
      <c r="B646">
        <v>8.6300000000000008</v>
      </c>
      <c r="C646" s="3">
        <f t="shared" si="75"/>
        <v>0.16000000000000014</v>
      </c>
      <c r="D646" s="3">
        <f t="shared" si="71"/>
        <v>0.16000000000000014</v>
      </c>
      <c r="E646" s="3">
        <f t="shared" si="72"/>
        <v>0</v>
      </c>
      <c r="F646" s="3">
        <f t="shared" si="70"/>
        <v>0.10499384962991305</v>
      </c>
      <c r="G646" s="3">
        <f t="shared" si="70"/>
        <v>9.0014807654337448E-2</v>
      </c>
      <c r="H646" s="3">
        <f t="shared" si="73"/>
        <v>1.1664064209646048</v>
      </c>
      <c r="I646" s="3">
        <f t="shared" si="74"/>
        <v>53.840609484773211</v>
      </c>
    </row>
    <row r="647" spans="1:9" ht="15.75" customHeight="1">
      <c r="A647" s="14">
        <v>8949</v>
      </c>
      <c r="B647">
        <v>9.0299999999999994</v>
      </c>
      <c r="C647" s="3">
        <f t="shared" si="75"/>
        <v>0.39999999999999858</v>
      </c>
      <c r="D647" s="3">
        <f t="shared" si="71"/>
        <v>0.39999999999999858</v>
      </c>
      <c r="E647" s="3">
        <f t="shared" si="72"/>
        <v>0</v>
      </c>
      <c r="F647" s="3">
        <f t="shared" si="70"/>
        <v>0.12606571751349058</v>
      </c>
      <c r="G647" s="3">
        <f t="shared" si="70"/>
        <v>8.3585178536170493E-2</v>
      </c>
      <c r="H647" s="3">
        <f t="shared" si="73"/>
        <v>1.5082305226989152</v>
      </c>
      <c r="I647" s="3">
        <f t="shared" si="74"/>
        <v>60.131256240196919</v>
      </c>
    </row>
    <row r="648" spans="1:9" ht="15.75" customHeight="1">
      <c r="A648" s="14">
        <v>8980</v>
      </c>
      <c r="B648">
        <v>9.34</v>
      </c>
      <c r="C648" s="3">
        <f t="shared" si="75"/>
        <v>0.3100000000000005</v>
      </c>
      <c r="D648" s="3">
        <f t="shared" si="71"/>
        <v>0.3100000000000005</v>
      </c>
      <c r="E648" s="3">
        <f t="shared" si="72"/>
        <v>0</v>
      </c>
      <c r="F648" s="3">
        <f t="shared" si="70"/>
        <v>0.13920388054824129</v>
      </c>
      <c r="G648" s="3">
        <f t="shared" si="70"/>
        <v>7.7614808640729754E-2</v>
      </c>
      <c r="H648" s="3">
        <f t="shared" si="73"/>
        <v>1.7935221768387066</v>
      </c>
      <c r="I648" s="3">
        <f t="shared" si="74"/>
        <v>64.202897392722633</v>
      </c>
    </row>
    <row r="649" spans="1:9" ht="15.75" customHeight="1">
      <c r="A649" s="14">
        <v>9011</v>
      </c>
      <c r="B649">
        <v>9.25</v>
      </c>
      <c r="C649" s="3">
        <f t="shared" si="75"/>
        <v>-8.9999999999999858E-2</v>
      </c>
      <c r="D649" s="3">
        <f t="shared" si="71"/>
        <v>0</v>
      </c>
      <c r="E649" s="3">
        <f t="shared" si="72"/>
        <v>8.9999999999999858E-2</v>
      </c>
      <c r="F649" s="3">
        <f t="shared" si="70"/>
        <v>0.12926074622336689</v>
      </c>
      <c r="G649" s="3">
        <f t="shared" si="70"/>
        <v>7.8499465166391905E-2</v>
      </c>
      <c r="H649" s="3">
        <f t="shared" si="73"/>
        <v>1.6466449287186671</v>
      </c>
      <c r="I649" s="3">
        <f t="shared" si="74"/>
        <v>62.216314355241643</v>
      </c>
    </row>
    <row r="650" spans="1:9" ht="15.75" customHeight="1">
      <c r="A650" s="14">
        <v>9041</v>
      </c>
      <c r="B650">
        <v>9.1300000000000008</v>
      </c>
      <c r="C650" s="3">
        <f t="shared" si="75"/>
        <v>-0.11999999999999922</v>
      </c>
      <c r="D650" s="3">
        <f t="shared" si="71"/>
        <v>0</v>
      </c>
      <c r="E650" s="3">
        <f t="shared" si="72"/>
        <v>0.11999999999999922</v>
      </c>
      <c r="F650" s="3">
        <f t="shared" si="70"/>
        <v>0.12002783577884069</v>
      </c>
      <c r="G650" s="3">
        <f t="shared" si="70"/>
        <v>8.146378908307815E-2</v>
      </c>
      <c r="H650" s="3">
        <f t="shared" si="73"/>
        <v>1.4733888164278028</v>
      </c>
      <c r="I650" s="3">
        <f t="shared" si="74"/>
        <v>59.569640108413999</v>
      </c>
    </row>
    <row r="651" spans="1:9" ht="15.75" customHeight="1">
      <c r="A651" s="14">
        <v>9072</v>
      </c>
      <c r="B651">
        <v>9.64</v>
      </c>
      <c r="C651" s="3">
        <f t="shared" si="75"/>
        <v>0.50999999999999979</v>
      </c>
      <c r="D651" s="3">
        <f t="shared" si="71"/>
        <v>0.50999999999999979</v>
      </c>
      <c r="E651" s="3">
        <f t="shared" si="72"/>
        <v>0</v>
      </c>
      <c r="F651" s="3">
        <f t="shared" si="70"/>
        <v>0.14788299036606634</v>
      </c>
      <c r="G651" s="3">
        <f t="shared" si="70"/>
        <v>7.5644947005715432E-2</v>
      </c>
      <c r="H651" s="3">
        <f t="shared" si="73"/>
        <v>1.9549619137798178</v>
      </c>
      <c r="I651" s="3">
        <f t="shared" si="74"/>
        <v>66.158616280747339</v>
      </c>
    </row>
    <row r="652" spans="1:9" ht="15.75" customHeight="1">
      <c r="A652" s="14">
        <v>9102</v>
      </c>
      <c r="B652">
        <v>10.16</v>
      </c>
      <c r="C652" s="3">
        <f t="shared" si="75"/>
        <v>0.51999999999999957</v>
      </c>
      <c r="D652" s="3">
        <f t="shared" si="71"/>
        <v>0.51999999999999957</v>
      </c>
      <c r="E652" s="3">
        <f t="shared" si="72"/>
        <v>0</v>
      </c>
      <c r="F652" s="3">
        <f t="shared" si="70"/>
        <v>0.17446277676849015</v>
      </c>
      <c r="G652" s="3">
        <f t="shared" si="70"/>
        <v>7.0241736505307184E-2</v>
      </c>
      <c r="H652" s="3">
        <f t="shared" si="73"/>
        <v>2.4837480598918344</v>
      </c>
      <c r="I652" s="3">
        <f t="shared" si="74"/>
        <v>71.295283619589625</v>
      </c>
    </row>
    <row r="653" spans="1:9" ht="15.75" customHeight="1">
      <c r="A653" s="14">
        <v>9133</v>
      </c>
      <c r="B653">
        <v>10.58</v>
      </c>
      <c r="C653" s="3">
        <f t="shared" si="75"/>
        <v>0.41999999999999993</v>
      </c>
      <c r="D653" s="3">
        <f t="shared" si="71"/>
        <v>0.41999999999999993</v>
      </c>
      <c r="E653" s="3">
        <f t="shared" si="72"/>
        <v>0</v>
      </c>
      <c r="F653" s="3">
        <f t="shared" si="70"/>
        <v>0.19200114985645514</v>
      </c>
      <c r="G653" s="3">
        <f t="shared" si="70"/>
        <v>6.5224469612070957E-2</v>
      </c>
      <c r="H653" s="3">
        <f t="shared" si="73"/>
        <v>2.9436981396460737</v>
      </c>
      <c r="I653" s="3">
        <f t="shared" si="74"/>
        <v>74.643089694239507</v>
      </c>
    </row>
    <row r="654" spans="1:9" ht="15.75" customHeight="1">
      <c r="A654" s="14">
        <v>9164</v>
      </c>
      <c r="B654">
        <v>10.67</v>
      </c>
      <c r="C654" s="3">
        <f t="shared" si="75"/>
        <v>8.9999999999999858E-2</v>
      </c>
      <c r="D654" s="3">
        <f t="shared" si="71"/>
        <v>8.9999999999999858E-2</v>
      </c>
      <c r="E654" s="3">
        <f t="shared" si="72"/>
        <v>0</v>
      </c>
      <c r="F654" s="3">
        <f t="shared" si="70"/>
        <v>0.18471535343813691</v>
      </c>
      <c r="G654" s="3">
        <f t="shared" si="70"/>
        <v>6.0565578925494461E-2</v>
      </c>
      <c r="H654" s="3">
        <f t="shared" si="73"/>
        <v>3.0498404657432059</v>
      </c>
      <c r="I654" s="3">
        <f t="shared" si="74"/>
        <v>75.307669315401412</v>
      </c>
    </row>
    <row r="655" spans="1:9" ht="15.75" customHeight="1">
      <c r="A655" s="14">
        <v>9192</v>
      </c>
      <c r="B655">
        <v>10.39</v>
      </c>
      <c r="C655" s="3">
        <f t="shared" si="75"/>
        <v>-0.27999999999999936</v>
      </c>
      <c r="D655" s="3">
        <f t="shared" si="71"/>
        <v>0</v>
      </c>
      <c r="E655" s="3">
        <f t="shared" si="72"/>
        <v>0.27999999999999936</v>
      </c>
      <c r="F655" s="3">
        <f t="shared" si="70"/>
        <v>0.17152139962112714</v>
      </c>
      <c r="G655" s="3">
        <f t="shared" si="70"/>
        <v>7.623946614510195E-2</v>
      </c>
      <c r="H655" s="3">
        <f t="shared" si="73"/>
        <v>2.2497717821722527</v>
      </c>
      <c r="I655" s="3">
        <f t="shared" si="74"/>
        <v>69.228608436880222</v>
      </c>
    </row>
    <row r="656" spans="1:9" ht="15.75" customHeight="1">
      <c r="A656" s="14">
        <v>9223</v>
      </c>
      <c r="B656">
        <v>10.28</v>
      </c>
      <c r="C656" s="3">
        <f t="shared" si="75"/>
        <v>-0.11000000000000121</v>
      </c>
      <c r="D656" s="3">
        <f t="shared" si="71"/>
        <v>0</v>
      </c>
      <c r="E656" s="3">
        <f t="shared" si="72"/>
        <v>0.11000000000000121</v>
      </c>
      <c r="F656" s="3">
        <f t="shared" si="70"/>
        <v>0.15926987107676091</v>
      </c>
      <c r="G656" s="3">
        <f t="shared" si="70"/>
        <v>7.8650932849023331E-2</v>
      </c>
      <c r="H656" s="3">
        <f t="shared" si="73"/>
        <v>2.0250220220844932</v>
      </c>
      <c r="I656" s="3">
        <f t="shared" si="74"/>
        <v>66.942389420658941</v>
      </c>
    </row>
    <row r="657" spans="1:9" ht="15.75" customHeight="1">
      <c r="A657" s="14">
        <v>9253</v>
      </c>
      <c r="B657">
        <v>10.61</v>
      </c>
      <c r="C657" s="3">
        <f t="shared" si="75"/>
        <v>0.33000000000000007</v>
      </c>
      <c r="D657" s="3">
        <f t="shared" si="71"/>
        <v>0.33000000000000007</v>
      </c>
      <c r="E657" s="3">
        <f t="shared" si="72"/>
        <v>0</v>
      </c>
      <c r="F657" s="3">
        <f t="shared" si="70"/>
        <v>0.1714648802855637</v>
      </c>
      <c r="G657" s="3">
        <f t="shared" si="70"/>
        <v>7.3033009074093089E-2</v>
      </c>
      <c r="H657" s="3">
        <f t="shared" si="73"/>
        <v>2.3477723629271523</v>
      </c>
      <c r="I657" s="3">
        <f t="shared" si="74"/>
        <v>70.129390783140295</v>
      </c>
    </row>
    <row r="658" spans="1:9" ht="15.75" customHeight="1">
      <c r="A658" s="14">
        <v>9284</v>
      </c>
      <c r="B658">
        <v>10.8</v>
      </c>
      <c r="C658" s="3">
        <f t="shared" si="75"/>
        <v>0.19000000000000128</v>
      </c>
      <c r="D658" s="3">
        <f t="shared" si="71"/>
        <v>0.19000000000000128</v>
      </c>
      <c r="E658" s="3">
        <f t="shared" si="72"/>
        <v>0</v>
      </c>
      <c r="F658" s="3">
        <f t="shared" ref="F658:G721" si="76">((F657*13)+D658)/14</f>
        <v>0.17278881740802352</v>
      </c>
      <c r="G658" s="3">
        <f t="shared" si="76"/>
        <v>6.7816365568800732E-2</v>
      </c>
      <c r="H658" s="3">
        <f t="shared" si="73"/>
        <v>2.547892620885539</v>
      </c>
      <c r="I658" s="3">
        <f t="shared" si="74"/>
        <v>71.814254069774961</v>
      </c>
    </row>
    <row r="659" spans="1:9" ht="15.75" customHeight="1">
      <c r="A659" s="14">
        <v>9314</v>
      </c>
      <c r="B659">
        <v>11.1</v>
      </c>
      <c r="C659" s="3">
        <f t="shared" si="75"/>
        <v>0.29999999999999893</v>
      </c>
      <c r="D659" s="3">
        <f t="shared" si="71"/>
        <v>0.29999999999999893</v>
      </c>
      <c r="E659" s="3">
        <f t="shared" si="72"/>
        <v>0</v>
      </c>
      <c r="F659" s="3">
        <f t="shared" si="76"/>
        <v>0.18187533045030749</v>
      </c>
      <c r="G659" s="3">
        <f t="shared" si="76"/>
        <v>6.2972339456743534E-2</v>
      </c>
      <c r="H659" s="3">
        <f t="shared" si="73"/>
        <v>2.8881780797621448</v>
      </c>
      <c r="I659" s="3">
        <f t="shared" si="74"/>
        <v>74.281013382463854</v>
      </c>
    </row>
    <row r="660" spans="1:9" ht="15.75" customHeight="1">
      <c r="A660" s="14">
        <v>9345</v>
      </c>
      <c r="B660">
        <v>11.25</v>
      </c>
      <c r="C660" s="3">
        <f t="shared" si="75"/>
        <v>0.15000000000000036</v>
      </c>
      <c r="D660" s="3">
        <f t="shared" si="71"/>
        <v>0.15000000000000036</v>
      </c>
      <c r="E660" s="3">
        <f t="shared" si="72"/>
        <v>0</v>
      </c>
      <c r="F660" s="3">
        <f t="shared" si="76"/>
        <v>0.17959852113242841</v>
      </c>
      <c r="G660" s="3">
        <f t="shared" si="76"/>
        <v>5.8474315209833282E-2</v>
      </c>
      <c r="H660" s="3">
        <f t="shared" si="73"/>
        <v>3.0714087114649335</v>
      </c>
      <c r="I660" s="3">
        <f t="shared" si="74"/>
        <v>75.438476682922115</v>
      </c>
    </row>
    <row r="661" spans="1:9" ht="15.75" customHeight="1">
      <c r="A661" s="14">
        <v>9376</v>
      </c>
      <c r="B661">
        <v>11.51</v>
      </c>
      <c r="C661" s="3">
        <f t="shared" si="75"/>
        <v>0.25999999999999979</v>
      </c>
      <c r="D661" s="3">
        <f t="shared" si="71"/>
        <v>0.25999999999999979</v>
      </c>
      <c r="E661" s="3">
        <f t="shared" si="72"/>
        <v>0</v>
      </c>
      <c r="F661" s="3">
        <f t="shared" si="76"/>
        <v>0.18534148390868352</v>
      </c>
      <c r="G661" s="3">
        <f t="shared" si="76"/>
        <v>5.4297578409130902E-2</v>
      </c>
      <c r="H661" s="3">
        <f t="shared" si="73"/>
        <v>3.413439223976805</v>
      </c>
      <c r="I661" s="3">
        <f t="shared" si="74"/>
        <v>77.341933370979262</v>
      </c>
    </row>
    <row r="662" spans="1:9" ht="15.75" customHeight="1">
      <c r="A662" s="14">
        <v>9406</v>
      </c>
      <c r="B662">
        <v>11.89</v>
      </c>
      <c r="C662" s="3">
        <f t="shared" si="75"/>
        <v>0.38000000000000078</v>
      </c>
      <c r="D662" s="3">
        <f t="shared" si="71"/>
        <v>0.38000000000000078</v>
      </c>
      <c r="E662" s="3">
        <f t="shared" si="72"/>
        <v>0</v>
      </c>
      <c r="F662" s="3">
        <f t="shared" si="76"/>
        <v>0.19924566362949189</v>
      </c>
      <c r="G662" s="3">
        <f t="shared" si="76"/>
        <v>5.0419179951335838E-2</v>
      </c>
      <c r="H662" s="3">
        <f t="shared" si="73"/>
        <v>3.9517831075753733</v>
      </c>
      <c r="I662" s="3">
        <f t="shared" si="74"/>
        <v>79.805254425013629</v>
      </c>
    </row>
    <row r="663" spans="1:9" ht="15.75" customHeight="1">
      <c r="A663" s="14">
        <v>9437</v>
      </c>
      <c r="B663">
        <v>12.26</v>
      </c>
      <c r="C663" s="3">
        <f t="shared" si="75"/>
        <v>0.36999999999999922</v>
      </c>
      <c r="D663" s="3">
        <f t="shared" si="71"/>
        <v>0.36999999999999922</v>
      </c>
      <c r="E663" s="3">
        <f t="shared" si="72"/>
        <v>0</v>
      </c>
      <c r="F663" s="3">
        <f t="shared" si="76"/>
        <v>0.21144240194167099</v>
      </c>
      <c r="G663" s="3">
        <f t="shared" si="76"/>
        <v>4.681780995481185E-2</v>
      </c>
      <c r="H663" s="3">
        <f t="shared" si="73"/>
        <v>4.5162813498912788</v>
      </c>
      <c r="I663" s="3">
        <f t="shared" si="74"/>
        <v>81.871845604472128</v>
      </c>
    </row>
    <row r="664" spans="1:9" ht="15.75" customHeight="1">
      <c r="A664" s="14">
        <v>9467</v>
      </c>
      <c r="B664">
        <v>12.46</v>
      </c>
      <c r="C664" s="3">
        <f t="shared" si="75"/>
        <v>0.20000000000000107</v>
      </c>
      <c r="D664" s="3">
        <f t="shared" si="71"/>
        <v>0.20000000000000107</v>
      </c>
      <c r="E664" s="3">
        <f t="shared" si="72"/>
        <v>0</v>
      </c>
      <c r="F664" s="3">
        <f t="shared" si="76"/>
        <v>0.210625087517266</v>
      </c>
      <c r="G664" s="3">
        <f t="shared" si="76"/>
        <v>4.3473680672325286E-2</v>
      </c>
      <c r="H664" s="3">
        <f t="shared" si="73"/>
        <v>4.8448873953142613</v>
      </c>
      <c r="I664" s="3">
        <f t="shared" si="74"/>
        <v>82.891030530345517</v>
      </c>
    </row>
    <row r="665" spans="1:9" ht="15.75" customHeight="1">
      <c r="A665" s="14">
        <v>9498</v>
      </c>
      <c r="B665">
        <v>12.65</v>
      </c>
      <c r="C665" s="3">
        <f t="shared" si="75"/>
        <v>0.1899999999999995</v>
      </c>
      <c r="D665" s="3">
        <f t="shared" si="71"/>
        <v>0.1899999999999995</v>
      </c>
      <c r="E665" s="3">
        <f t="shared" si="72"/>
        <v>0</v>
      </c>
      <c r="F665" s="3">
        <f t="shared" si="76"/>
        <v>0.20915186698031837</v>
      </c>
      <c r="G665" s="3">
        <f t="shared" si="76"/>
        <v>4.0368417767159194E-2</v>
      </c>
      <c r="H665" s="3">
        <f t="shared" si="73"/>
        <v>5.1810766571700793</v>
      </c>
      <c r="I665" s="3">
        <f t="shared" si="74"/>
        <v>83.821588770623066</v>
      </c>
    </row>
    <row r="666" spans="1:9" ht="15.75" customHeight="1">
      <c r="A666" s="14">
        <v>9529</v>
      </c>
      <c r="B666">
        <v>12.67</v>
      </c>
      <c r="C666" s="3">
        <f t="shared" si="75"/>
        <v>1.9999999999999574E-2</v>
      </c>
      <c r="D666" s="3">
        <f t="shared" si="71"/>
        <v>1.9999999999999574E-2</v>
      </c>
      <c r="E666" s="3">
        <f t="shared" si="72"/>
        <v>0</v>
      </c>
      <c r="F666" s="3">
        <f t="shared" si="76"/>
        <v>0.19564101933886704</v>
      </c>
      <c r="G666" s="3">
        <f t="shared" si="76"/>
        <v>3.7484959355219248E-2</v>
      </c>
      <c r="H666" s="3">
        <f t="shared" si="73"/>
        <v>5.2191871807812644</v>
      </c>
      <c r="I666" s="3">
        <f t="shared" si="74"/>
        <v>83.920728369613428</v>
      </c>
    </row>
    <row r="667" spans="1:9" ht="15.75" customHeight="1">
      <c r="A667" s="14">
        <v>9557</v>
      </c>
      <c r="B667">
        <v>11.81</v>
      </c>
      <c r="C667" s="3">
        <f t="shared" si="75"/>
        <v>-0.85999999999999943</v>
      </c>
      <c r="D667" s="3">
        <f t="shared" si="71"/>
        <v>0</v>
      </c>
      <c r="E667" s="3">
        <f t="shared" si="72"/>
        <v>0.85999999999999943</v>
      </c>
      <c r="F667" s="3">
        <f t="shared" si="76"/>
        <v>0.18166666081466226</v>
      </c>
      <c r="G667" s="3">
        <f t="shared" si="76"/>
        <v>9.623603368698927E-2</v>
      </c>
      <c r="H667" s="3">
        <f t="shared" si="73"/>
        <v>1.8877197433711659</v>
      </c>
      <c r="I667" s="3">
        <f t="shared" si="74"/>
        <v>65.370600720671547</v>
      </c>
    </row>
    <row r="668" spans="1:9" ht="15.75" customHeight="1">
      <c r="A668" s="14">
        <v>9588</v>
      </c>
      <c r="B668">
        <v>11.48</v>
      </c>
      <c r="C668" s="3">
        <f t="shared" si="75"/>
        <v>-0.33000000000000007</v>
      </c>
      <c r="D668" s="3">
        <f t="shared" si="71"/>
        <v>0</v>
      </c>
      <c r="E668" s="3">
        <f t="shared" si="72"/>
        <v>0.33000000000000007</v>
      </c>
      <c r="F668" s="3">
        <f t="shared" si="76"/>
        <v>0.16869047075647209</v>
      </c>
      <c r="G668" s="3">
        <f t="shared" si="76"/>
        <v>0.11293345985220433</v>
      </c>
      <c r="H668" s="3">
        <f t="shared" si="73"/>
        <v>1.4937156001174212</v>
      </c>
      <c r="I668" s="3">
        <f t="shared" si="74"/>
        <v>59.899196205336608</v>
      </c>
    </row>
    <row r="669" spans="1:9" ht="15.75" customHeight="1">
      <c r="A669" s="14">
        <v>9618</v>
      </c>
      <c r="B669">
        <v>11.56</v>
      </c>
      <c r="C669" s="3">
        <f t="shared" si="75"/>
        <v>8.0000000000000071E-2</v>
      </c>
      <c r="D669" s="3">
        <f t="shared" si="71"/>
        <v>8.0000000000000071E-2</v>
      </c>
      <c r="E669" s="3">
        <f t="shared" si="72"/>
        <v>0</v>
      </c>
      <c r="F669" s="3">
        <f t="shared" si="76"/>
        <v>0.16235543713100981</v>
      </c>
      <c r="G669" s="3">
        <f t="shared" si="76"/>
        <v>0.10486678414847546</v>
      </c>
      <c r="H669" s="3">
        <f t="shared" si="73"/>
        <v>1.548206502653301</v>
      </c>
      <c r="I669" s="3">
        <f t="shared" si="74"/>
        <v>60.756712654223371</v>
      </c>
    </row>
    <row r="670" spans="1:9" ht="15.75" customHeight="1">
      <c r="A670" s="14">
        <v>9649</v>
      </c>
      <c r="B670">
        <v>12.11</v>
      </c>
      <c r="C670" s="3">
        <f t="shared" si="75"/>
        <v>0.54999999999999893</v>
      </c>
      <c r="D670" s="3">
        <f t="shared" si="71"/>
        <v>0.54999999999999893</v>
      </c>
      <c r="E670" s="3">
        <f t="shared" si="72"/>
        <v>0</v>
      </c>
      <c r="F670" s="3">
        <f t="shared" si="76"/>
        <v>0.19004433447879474</v>
      </c>
      <c r="G670" s="3">
        <f t="shared" si="76"/>
        <v>9.737629956644149E-2</v>
      </c>
      <c r="H670" s="3">
        <f t="shared" si="73"/>
        <v>1.951648761813179</v>
      </c>
      <c r="I670" s="3">
        <f t="shared" si="74"/>
        <v>66.120630173296561</v>
      </c>
    </row>
    <row r="671" spans="1:9" ht="15.75" customHeight="1">
      <c r="A671" s="14">
        <v>9679</v>
      </c>
      <c r="B671">
        <v>12.62</v>
      </c>
      <c r="C671" s="3">
        <f t="shared" si="75"/>
        <v>0.50999999999999979</v>
      </c>
      <c r="D671" s="3">
        <f t="shared" si="71"/>
        <v>0.50999999999999979</v>
      </c>
      <c r="E671" s="3">
        <f t="shared" si="72"/>
        <v>0</v>
      </c>
      <c r="F671" s="3">
        <f t="shared" si="76"/>
        <v>0.21289831058745223</v>
      </c>
      <c r="G671" s="3">
        <f t="shared" si="76"/>
        <v>9.0420849597409952E-2</v>
      </c>
      <c r="H671" s="3">
        <f t="shared" si="73"/>
        <v>2.3545267660651419</v>
      </c>
      <c r="I671" s="3">
        <f t="shared" si="74"/>
        <v>70.189535820189633</v>
      </c>
    </row>
    <row r="672" spans="1:9" ht="15.75" customHeight="1">
      <c r="A672" s="14">
        <v>9710</v>
      </c>
      <c r="B672">
        <v>13.12</v>
      </c>
      <c r="C672" s="3">
        <f t="shared" si="75"/>
        <v>0.5</v>
      </c>
      <c r="D672" s="3">
        <f t="shared" si="71"/>
        <v>0.5</v>
      </c>
      <c r="E672" s="3">
        <f t="shared" si="72"/>
        <v>0</v>
      </c>
      <c r="F672" s="3">
        <f t="shared" si="76"/>
        <v>0.23340557411691992</v>
      </c>
      <c r="G672" s="3">
        <f t="shared" si="76"/>
        <v>8.3962217483309246E-2</v>
      </c>
      <c r="H672" s="3">
        <f t="shared" si="73"/>
        <v>2.7798881581863695</v>
      </c>
      <c r="I672" s="3">
        <f t="shared" si="74"/>
        <v>73.544190776273908</v>
      </c>
    </row>
    <row r="673" spans="1:9" ht="15.75" customHeight="1">
      <c r="A673" s="14">
        <v>9741</v>
      </c>
      <c r="B673">
        <v>13.32</v>
      </c>
      <c r="C673" s="3">
        <f t="shared" si="75"/>
        <v>0.20000000000000107</v>
      </c>
      <c r="D673" s="3">
        <f t="shared" si="71"/>
        <v>0.20000000000000107</v>
      </c>
      <c r="E673" s="3">
        <f t="shared" si="72"/>
        <v>0</v>
      </c>
      <c r="F673" s="3">
        <f t="shared" si="76"/>
        <v>0.23101946167999715</v>
      </c>
      <c r="G673" s="3">
        <f t="shared" si="76"/>
        <v>7.7964916234501441E-2</v>
      </c>
      <c r="H673" s="3">
        <f t="shared" si="73"/>
        <v>2.963120757869361</v>
      </c>
      <c r="I673" s="3">
        <f t="shared" si="74"/>
        <v>74.767359838471933</v>
      </c>
    </row>
    <row r="674" spans="1:9" ht="15.75" customHeight="1">
      <c r="A674" s="14">
        <v>9771</v>
      </c>
      <c r="B674">
        <v>13.02</v>
      </c>
      <c r="C674" s="3">
        <f t="shared" si="75"/>
        <v>-0.30000000000000071</v>
      </c>
      <c r="D674" s="3">
        <f t="shared" si="71"/>
        <v>0</v>
      </c>
      <c r="E674" s="3">
        <f t="shared" si="72"/>
        <v>0.30000000000000071</v>
      </c>
      <c r="F674" s="3">
        <f t="shared" si="76"/>
        <v>0.21451807155999733</v>
      </c>
      <c r="G674" s="3">
        <f t="shared" si="76"/>
        <v>9.3824565074894242E-2</v>
      </c>
      <c r="H674" s="3">
        <f t="shared" si="73"/>
        <v>2.2863742708400627</v>
      </c>
      <c r="I674" s="3">
        <f t="shared" si="74"/>
        <v>69.571329447379711</v>
      </c>
    </row>
    <row r="675" spans="1:9" ht="15.75" customHeight="1">
      <c r="A675" s="14">
        <v>9802</v>
      </c>
      <c r="B675">
        <v>13.19</v>
      </c>
      <c r="C675" s="3">
        <f t="shared" si="75"/>
        <v>0.16999999999999993</v>
      </c>
      <c r="D675" s="3">
        <f t="shared" si="71"/>
        <v>0.16999999999999993</v>
      </c>
      <c r="E675" s="3">
        <f t="shared" si="72"/>
        <v>0</v>
      </c>
      <c r="F675" s="3">
        <f t="shared" si="76"/>
        <v>0.21133820930571182</v>
      </c>
      <c r="G675" s="3">
        <f t="shared" si="76"/>
        <v>8.71228104266875E-2</v>
      </c>
      <c r="H675" s="3">
        <f t="shared" si="73"/>
        <v>2.4257505958620293</v>
      </c>
      <c r="I675" s="3">
        <f t="shared" si="74"/>
        <v>70.809316906843662</v>
      </c>
    </row>
    <row r="676" spans="1:9" ht="15.75" customHeight="1">
      <c r="A676" s="14">
        <v>9832</v>
      </c>
      <c r="B676">
        <v>13.49</v>
      </c>
      <c r="C676" s="3">
        <f t="shared" si="75"/>
        <v>0.30000000000000071</v>
      </c>
      <c r="D676" s="3">
        <f t="shared" si="71"/>
        <v>0.30000000000000071</v>
      </c>
      <c r="E676" s="3">
        <f t="shared" si="72"/>
        <v>0</v>
      </c>
      <c r="F676" s="3">
        <f t="shared" si="76"/>
        <v>0.21767119435530388</v>
      </c>
      <c r="G676" s="3">
        <f t="shared" si="76"/>
        <v>8.0899752539066963E-2</v>
      </c>
      <c r="H676" s="3">
        <f t="shared" si="73"/>
        <v>2.6906286796141829</v>
      </c>
      <c r="I676" s="3">
        <f t="shared" si="74"/>
        <v>72.904345389075019</v>
      </c>
    </row>
    <row r="677" spans="1:9" ht="15.75" customHeight="1">
      <c r="A677" s="14">
        <v>9863</v>
      </c>
      <c r="B677">
        <v>13.4</v>
      </c>
      <c r="C677" s="3">
        <f t="shared" si="75"/>
        <v>-8.9999999999999858E-2</v>
      </c>
      <c r="D677" s="3">
        <f t="shared" si="71"/>
        <v>0</v>
      </c>
      <c r="E677" s="3">
        <f t="shared" si="72"/>
        <v>8.9999999999999858E-2</v>
      </c>
      <c r="F677" s="3">
        <f t="shared" si="76"/>
        <v>0.20212325190135361</v>
      </c>
      <c r="G677" s="3">
        <f t="shared" si="76"/>
        <v>8.1549770214847883E-2</v>
      </c>
      <c r="H677" s="3">
        <f t="shared" si="73"/>
        <v>2.4785263204157104</v>
      </c>
      <c r="I677" s="3">
        <f t="shared" si="74"/>
        <v>71.252193949750179</v>
      </c>
    </row>
    <row r="678" spans="1:9" ht="15.75" customHeight="1">
      <c r="A678" s="14">
        <v>9894</v>
      </c>
      <c r="B678">
        <v>13.66</v>
      </c>
      <c r="C678" s="3">
        <f t="shared" si="75"/>
        <v>0.25999999999999979</v>
      </c>
      <c r="D678" s="3">
        <f t="shared" ref="D678:D741" si="77">IF(C678&gt;0,C678,0)</f>
        <v>0.25999999999999979</v>
      </c>
      <c r="E678" s="3">
        <f t="shared" ref="E678:E741" si="78">IF(C678&lt;0,-C678,0)</f>
        <v>0</v>
      </c>
      <c r="F678" s="3">
        <f t="shared" si="76"/>
        <v>0.20625730533697118</v>
      </c>
      <c r="G678" s="3">
        <f t="shared" si="76"/>
        <v>7.5724786628073026E-2</v>
      </c>
      <c r="H678" s="3">
        <f t="shared" ref="H678:H741" si="79">F678/G678</f>
        <v>2.7237753253768373</v>
      </c>
      <c r="I678" s="3">
        <f t="shared" ref="I678:I741" si="80">IF(G678=0,100,100-(100/(1+H678)))</f>
        <v>73.145533427186493</v>
      </c>
    </row>
    <row r="679" spans="1:9" ht="15.75" customHeight="1">
      <c r="A679" s="14">
        <v>9922</v>
      </c>
      <c r="B679">
        <v>13.87</v>
      </c>
      <c r="C679" s="3">
        <f t="shared" si="75"/>
        <v>0.20999999999999908</v>
      </c>
      <c r="D679" s="3">
        <f t="shared" si="77"/>
        <v>0.20999999999999908</v>
      </c>
      <c r="E679" s="3">
        <f t="shared" si="78"/>
        <v>0</v>
      </c>
      <c r="F679" s="3">
        <f t="shared" si="76"/>
        <v>0.20652464067004458</v>
      </c>
      <c r="G679" s="3">
        <f t="shared" si="76"/>
        <v>7.0315873297496376E-2</v>
      </c>
      <c r="H679" s="3">
        <f t="shared" si="79"/>
        <v>2.9370984243666922</v>
      </c>
      <c r="I679" s="3">
        <f t="shared" si="80"/>
        <v>74.600584181208106</v>
      </c>
    </row>
    <row r="680" spans="1:9" ht="15.75" customHeight="1">
      <c r="A680" s="14">
        <v>9953</v>
      </c>
      <c r="B680">
        <v>14.21</v>
      </c>
      <c r="C680" s="3">
        <f t="shared" si="75"/>
        <v>0.34000000000000163</v>
      </c>
      <c r="D680" s="3">
        <f t="shared" si="77"/>
        <v>0.34000000000000163</v>
      </c>
      <c r="E680" s="3">
        <f t="shared" si="78"/>
        <v>0</v>
      </c>
      <c r="F680" s="3">
        <f t="shared" si="76"/>
        <v>0.21605859490789864</v>
      </c>
      <c r="G680" s="3">
        <f t="shared" si="76"/>
        <v>6.5293310919103772E-2</v>
      </c>
      <c r="H680" s="3">
        <f t="shared" si="79"/>
        <v>3.309046391836187</v>
      </c>
      <c r="I680" s="3">
        <f t="shared" si="80"/>
        <v>76.79300919352886</v>
      </c>
    </row>
    <row r="681" spans="1:9" ht="15.75" customHeight="1">
      <c r="A681" s="14">
        <v>9983</v>
      </c>
      <c r="B681">
        <v>14.7</v>
      </c>
      <c r="C681" s="3">
        <f t="shared" si="75"/>
        <v>0.48999999999999844</v>
      </c>
      <c r="D681" s="3">
        <f t="shared" si="77"/>
        <v>0.48999999999999844</v>
      </c>
      <c r="E681" s="3">
        <f t="shared" si="78"/>
        <v>0</v>
      </c>
      <c r="F681" s="3">
        <f t="shared" si="76"/>
        <v>0.23562583812876289</v>
      </c>
      <c r="G681" s="3">
        <f t="shared" si="76"/>
        <v>6.0629502996310647E-2</v>
      </c>
      <c r="H681" s="3">
        <f t="shared" si="79"/>
        <v>3.8863231015286552</v>
      </c>
      <c r="I681" s="3">
        <f t="shared" si="80"/>
        <v>79.534713951127046</v>
      </c>
    </row>
    <row r="682" spans="1:9" ht="15.75" customHeight="1">
      <c r="A682" s="14">
        <v>10014</v>
      </c>
      <c r="B682">
        <v>14.89</v>
      </c>
      <c r="C682" s="3">
        <f t="shared" si="75"/>
        <v>0.19000000000000128</v>
      </c>
      <c r="D682" s="3">
        <f t="shared" si="77"/>
        <v>0.19000000000000128</v>
      </c>
      <c r="E682" s="3">
        <f t="shared" si="78"/>
        <v>0</v>
      </c>
      <c r="F682" s="3">
        <f t="shared" si="76"/>
        <v>0.23236684969099422</v>
      </c>
      <c r="G682" s="3">
        <f t="shared" si="76"/>
        <v>5.6298824210859889E-2</v>
      </c>
      <c r="H682" s="3">
        <f t="shared" si="79"/>
        <v>4.1273837055760625</v>
      </c>
      <c r="I682" s="3">
        <f t="shared" si="80"/>
        <v>80.49687604006516</v>
      </c>
    </row>
    <row r="683" spans="1:9" ht="15.75" customHeight="1">
      <c r="A683" s="14">
        <v>10044</v>
      </c>
      <c r="B683">
        <v>15.22</v>
      </c>
      <c r="C683" s="3">
        <f t="shared" ref="C683:C746" si="81">B683-B682</f>
        <v>0.33000000000000007</v>
      </c>
      <c r="D683" s="3">
        <f t="shared" si="77"/>
        <v>0.33000000000000007</v>
      </c>
      <c r="E683" s="3">
        <f t="shared" si="78"/>
        <v>0</v>
      </c>
      <c r="F683" s="3">
        <f t="shared" si="76"/>
        <v>0.2393406461416375</v>
      </c>
      <c r="G683" s="3">
        <f t="shared" si="76"/>
        <v>5.2277479624369898E-2</v>
      </c>
      <c r="H683" s="3">
        <f t="shared" si="79"/>
        <v>4.5782743900695895</v>
      </c>
      <c r="I683" s="3">
        <f t="shared" si="80"/>
        <v>82.07330923376243</v>
      </c>
    </row>
    <row r="684" spans="1:9" ht="15.75" customHeight="1">
      <c r="A684" s="14">
        <v>10075</v>
      </c>
      <c r="B684">
        <v>16.03</v>
      </c>
      <c r="C684" s="3">
        <f t="shared" si="81"/>
        <v>0.8100000000000005</v>
      </c>
      <c r="D684" s="3">
        <f t="shared" si="77"/>
        <v>0.8100000000000005</v>
      </c>
      <c r="E684" s="3">
        <f t="shared" si="78"/>
        <v>0</v>
      </c>
      <c r="F684" s="3">
        <f t="shared" si="76"/>
        <v>0.28010202856009198</v>
      </c>
      <c r="G684" s="3">
        <f t="shared" si="76"/>
        <v>4.8543373936914901E-2</v>
      </c>
      <c r="H684" s="3">
        <f t="shared" si="79"/>
        <v>5.7701392763531807</v>
      </c>
      <c r="I684" s="3">
        <f t="shared" si="80"/>
        <v>85.229255127840403</v>
      </c>
    </row>
    <row r="685" spans="1:9" ht="15.75" customHeight="1">
      <c r="A685" s="14">
        <v>10106</v>
      </c>
      <c r="B685">
        <v>16.940000000000001</v>
      </c>
      <c r="C685" s="3">
        <f t="shared" si="81"/>
        <v>0.91000000000000014</v>
      </c>
      <c r="D685" s="3">
        <f t="shared" si="77"/>
        <v>0.91000000000000014</v>
      </c>
      <c r="E685" s="3">
        <f t="shared" si="78"/>
        <v>0</v>
      </c>
      <c r="F685" s="3">
        <f t="shared" si="76"/>
        <v>0.3250947408057997</v>
      </c>
      <c r="G685" s="3">
        <f t="shared" si="76"/>
        <v>4.5075990084278116E-2</v>
      </c>
      <c r="H685" s="3">
        <f t="shared" si="79"/>
        <v>7.2121486449432037</v>
      </c>
      <c r="I685" s="3">
        <f t="shared" si="80"/>
        <v>87.822918906664341</v>
      </c>
    </row>
    <row r="686" spans="1:9" ht="15.75" customHeight="1">
      <c r="A686" s="14">
        <v>10136</v>
      </c>
      <c r="B686">
        <v>16.68</v>
      </c>
      <c r="C686" s="3">
        <f t="shared" si="81"/>
        <v>-0.26000000000000156</v>
      </c>
      <c r="D686" s="3">
        <f t="shared" si="77"/>
        <v>0</v>
      </c>
      <c r="E686" s="3">
        <f t="shared" si="78"/>
        <v>0.26000000000000156</v>
      </c>
      <c r="F686" s="3">
        <f t="shared" si="76"/>
        <v>0.3018736878910997</v>
      </c>
      <c r="G686" s="3">
        <f t="shared" si="76"/>
        <v>6.0427705078258356E-2</v>
      </c>
      <c r="H686" s="3">
        <f t="shared" si="79"/>
        <v>4.995617283498536</v>
      </c>
      <c r="I686" s="3">
        <f t="shared" si="80"/>
        <v>83.32115022164183</v>
      </c>
    </row>
    <row r="687" spans="1:9" ht="15.75" customHeight="1">
      <c r="A687" s="14">
        <v>10167</v>
      </c>
      <c r="B687">
        <v>17.059999999999999</v>
      </c>
      <c r="C687" s="3">
        <f t="shared" si="81"/>
        <v>0.37999999999999901</v>
      </c>
      <c r="D687" s="3">
        <f t="shared" si="77"/>
        <v>0.37999999999999901</v>
      </c>
      <c r="E687" s="3">
        <f t="shared" si="78"/>
        <v>0</v>
      </c>
      <c r="F687" s="3">
        <f t="shared" si="76"/>
        <v>0.30745413875602107</v>
      </c>
      <c r="G687" s="3">
        <f t="shared" si="76"/>
        <v>5.6111440429811331E-2</v>
      </c>
      <c r="H687" s="3">
        <f t="shared" si="79"/>
        <v>5.4793485321519997</v>
      </c>
      <c r="I687" s="3">
        <f t="shared" si="80"/>
        <v>84.566349610029889</v>
      </c>
    </row>
    <row r="688" spans="1:9" ht="15.75" customHeight="1">
      <c r="A688" s="14">
        <v>10197</v>
      </c>
      <c r="B688">
        <v>17.46</v>
      </c>
      <c r="C688" s="3">
        <f t="shared" si="81"/>
        <v>0.40000000000000213</v>
      </c>
      <c r="D688" s="3">
        <f t="shared" si="77"/>
        <v>0.40000000000000213</v>
      </c>
      <c r="E688" s="3">
        <f t="shared" si="78"/>
        <v>0</v>
      </c>
      <c r="F688" s="3">
        <f t="shared" si="76"/>
        <v>0.3140645574163054</v>
      </c>
      <c r="G688" s="3">
        <f t="shared" si="76"/>
        <v>5.2103480399110516E-2</v>
      </c>
      <c r="H688" s="3">
        <f t="shared" si="79"/>
        <v>6.0277078423664561</v>
      </c>
      <c r="I688" s="3">
        <f t="shared" si="80"/>
        <v>85.770609387437659</v>
      </c>
    </row>
    <row r="689" spans="1:9" ht="15.75" customHeight="1">
      <c r="A689" s="14">
        <v>10228</v>
      </c>
      <c r="B689">
        <v>17.53</v>
      </c>
      <c r="C689" s="3">
        <f t="shared" si="81"/>
        <v>7.0000000000000284E-2</v>
      </c>
      <c r="D689" s="3">
        <f t="shared" si="77"/>
        <v>7.0000000000000284E-2</v>
      </c>
      <c r="E689" s="3">
        <f t="shared" si="78"/>
        <v>0</v>
      </c>
      <c r="F689" s="3">
        <f t="shared" si="76"/>
        <v>0.29663137474371215</v>
      </c>
      <c r="G689" s="3">
        <f t="shared" si="76"/>
        <v>4.8381803227745483E-2</v>
      </c>
      <c r="H689" s="3">
        <f t="shared" si="79"/>
        <v>6.1310524815991796</v>
      </c>
      <c r="I689" s="3">
        <f t="shared" si="80"/>
        <v>85.97682456298871</v>
      </c>
    </row>
    <row r="690" spans="1:9" ht="15.75" customHeight="1">
      <c r="A690" s="14">
        <v>10259</v>
      </c>
      <c r="B690">
        <v>17.32</v>
      </c>
      <c r="C690" s="3">
        <f t="shared" si="81"/>
        <v>-0.21000000000000085</v>
      </c>
      <c r="D690" s="3">
        <f t="shared" si="77"/>
        <v>0</v>
      </c>
      <c r="E690" s="3">
        <f t="shared" si="78"/>
        <v>0.21000000000000085</v>
      </c>
      <c r="F690" s="3">
        <f t="shared" si="76"/>
        <v>0.27544341940487554</v>
      </c>
      <c r="G690" s="3">
        <f t="shared" si="76"/>
        <v>5.9925960140049438E-2</v>
      </c>
      <c r="H690" s="3">
        <f t="shared" si="79"/>
        <v>4.596395598187379</v>
      </c>
      <c r="I690" s="3">
        <f t="shared" si="80"/>
        <v>82.13135611206809</v>
      </c>
    </row>
    <row r="691" spans="1:9" ht="15.75" customHeight="1">
      <c r="A691" s="14">
        <v>10288</v>
      </c>
      <c r="B691">
        <v>18.25</v>
      </c>
      <c r="C691" s="3">
        <f t="shared" si="81"/>
        <v>0.92999999999999972</v>
      </c>
      <c r="D691" s="3">
        <f t="shared" si="77"/>
        <v>0.92999999999999972</v>
      </c>
      <c r="E691" s="3">
        <f t="shared" si="78"/>
        <v>0</v>
      </c>
      <c r="F691" s="3">
        <f t="shared" si="76"/>
        <v>0.32219746087595585</v>
      </c>
      <c r="G691" s="3">
        <f t="shared" si="76"/>
        <v>5.5645534415760194E-2</v>
      </c>
      <c r="H691" s="3">
        <f t="shared" si="79"/>
        <v>5.7901764132343665</v>
      </c>
      <c r="I691" s="3">
        <f t="shared" si="80"/>
        <v>85.272842130420145</v>
      </c>
    </row>
    <row r="692" spans="1:9" ht="15.75" customHeight="1">
      <c r="A692" s="14">
        <v>10319</v>
      </c>
      <c r="B692">
        <v>19.399999999999999</v>
      </c>
      <c r="C692" s="3">
        <f t="shared" si="81"/>
        <v>1.1499999999999986</v>
      </c>
      <c r="D692" s="3">
        <f t="shared" si="77"/>
        <v>1.1499999999999986</v>
      </c>
      <c r="E692" s="3">
        <f t="shared" si="78"/>
        <v>0</v>
      </c>
      <c r="F692" s="3">
        <f t="shared" si="76"/>
        <v>0.38132621367053032</v>
      </c>
      <c r="G692" s="3">
        <f t="shared" si="76"/>
        <v>5.1670853386063038E-2</v>
      </c>
      <c r="H692" s="3">
        <f t="shared" si="79"/>
        <v>7.379909343114968</v>
      </c>
      <c r="I692" s="3">
        <f t="shared" si="80"/>
        <v>88.066696678268812</v>
      </c>
    </row>
    <row r="693" spans="1:9" ht="15.75" customHeight="1">
      <c r="A693" s="14">
        <v>10349</v>
      </c>
      <c r="B693">
        <v>20</v>
      </c>
      <c r="C693" s="3">
        <f t="shared" si="81"/>
        <v>0.60000000000000142</v>
      </c>
      <c r="D693" s="3">
        <f t="shared" si="77"/>
        <v>0.60000000000000142</v>
      </c>
      <c r="E693" s="3">
        <f t="shared" si="78"/>
        <v>0</v>
      </c>
      <c r="F693" s="3">
        <f t="shared" si="76"/>
        <v>0.39694576983692109</v>
      </c>
      <c r="G693" s="3">
        <f t="shared" si="76"/>
        <v>4.7980078144201396E-2</v>
      </c>
      <c r="H693" s="3">
        <f t="shared" si="79"/>
        <v>8.2731372100712957</v>
      </c>
      <c r="I693" s="3">
        <f t="shared" si="80"/>
        <v>89.216163016396138</v>
      </c>
    </row>
    <row r="694" spans="1:9" ht="15.75" customHeight="1">
      <c r="A694" s="14">
        <v>10380</v>
      </c>
      <c r="B694">
        <v>19.02</v>
      </c>
      <c r="C694" s="3">
        <f t="shared" si="81"/>
        <v>-0.98000000000000043</v>
      </c>
      <c r="D694" s="3">
        <f t="shared" si="77"/>
        <v>0</v>
      </c>
      <c r="E694" s="3">
        <f t="shared" si="78"/>
        <v>0.98000000000000043</v>
      </c>
      <c r="F694" s="3">
        <f t="shared" si="76"/>
        <v>0.36859250056285531</v>
      </c>
      <c r="G694" s="3">
        <f t="shared" si="76"/>
        <v>0.1145529297053299</v>
      </c>
      <c r="H694" s="3">
        <f t="shared" si="79"/>
        <v>3.2176610542480564</v>
      </c>
      <c r="I694" s="3">
        <f t="shared" si="80"/>
        <v>76.2901763053531</v>
      </c>
    </row>
    <row r="695" spans="1:9" ht="15.75" customHeight="1">
      <c r="A695" s="14">
        <v>10410</v>
      </c>
      <c r="B695">
        <v>19.16</v>
      </c>
      <c r="C695" s="3">
        <f t="shared" si="81"/>
        <v>0.14000000000000057</v>
      </c>
      <c r="D695" s="3">
        <f t="shared" si="77"/>
        <v>0.14000000000000057</v>
      </c>
      <c r="E695" s="3">
        <f t="shared" si="78"/>
        <v>0</v>
      </c>
      <c r="F695" s="3">
        <f t="shared" si="76"/>
        <v>0.35226446480836565</v>
      </c>
      <c r="G695" s="3">
        <f t="shared" si="76"/>
        <v>0.10637057758352063</v>
      </c>
      <c r="H695" s="3">
        <f t="shared" si="79"/>
        <v>3.3116720131727471</v>
      </c>
      <c r="I695" s="3">
        <f t="shared" si="80"/>
        <v>76.807141244861313</v>
      </c>
    </row>
    <row r="696" spans="1:9" ht="15.75" customHeight="1">
      <c r="A696" s="14">
        <v>10441</v>
      </c>
      <c r="B696">
        <v>19.78</v>
      </c>
      <c r="C696" s="3">
        <f t="shared" si="81"/>
        <v>0.62000000000000099</v>
      </c>
      <c r="D696" s="3">
        <f t="shared" si="77"/>
        <v>0.62000000000000099</v>
      </c>
      <c r="E696" s="3">
        <f t="shared" si="78"/>
        <v>0</v>
      </c>
      <c r="F696" s="3">
        <f t="shared" si="76"/>
        <v>0.37138843160776819</v>
      </c>
      <c r="G696" s="3">
        <f t="shared" si="76"/>
        <v>9.8772679184697718E-2</v>
      </c>
      <c r="H696" s="3">
        <f t="shared" si="79"/>
        <v>3.7600319711212742</v>
      </c>
      <c r="I696" s="3">
        <f t="shared" si="80"/>
        <v>78.991737743214358</v>
      </c>
    </row>
    <row r="697" spans="1:9" ht="15.75" customHeight="1">
      <c r="A697" s="14">
        <v>10472</v>
      </c>
      <c r="B697">
        <v>21.17</v>
      </c>
      <c r="C697" s="3">
        <f t="shared" si="81"/>
        <v>1.3900000000000006</v>
      </c>
      <c r="D697" s="3">
        <f t="shared" si="77"/>
        <v>1.3900000000000006</v>
      </c>
      <c r="E697" s="3">
        <f t="shared" si="78"/>
        <v>0</v>
      </c>
      <c r="F697" s="3">
        <f t="shared" si="76"/>
        <v>0.44414640077864193</v>
      </c>
      <c r="G697" s="3">
        <f t="shared" si="76"/>
        <v>9.1717487814362161E-2</v>
      </c>
      <c r="H697" s="3">
        <f t="shared" si="79"/>
        <v>4.8425486934138693</v>
      </c>
      <c r="I697" s="3">
        <f t="shared" si="80"/>
        <v>82.884182015850882</v>
      </c>
    </row>
    <row r="698" spans="1:9" ht="15.75" customHeight="1">
      <c r="A698" s="14">
        <v>10502</v>
      </c>
      <c r="B698">
        <v>21.6</v>
      </c>
      <c r="C698" s="3">
        <f t="shared" si="81"/>
        <v>0.42999999999999972</v>
      </c>
      <c r="D698" s="3">
        <f t="shared" si="77"/>
        <v>0.42999999999999972</v>
      </c>
      <c r="E698" s="3">
        <f t="shared" si="78"/>
        <v>0</v>
      </c>
      <c r="F698" s="3">
        <f t="shared" si="76"/>
        <v>0.4431359435801675</v>
      </c>
      <c r="G698" s="3">
        <f t="shared" si="76"/>
        <v>8.5166238684764875E-2</v>
      </c>
      <c r="H698" s="3">
        <f t="shared" si="79"/>
        <v>5.2031879113552861</v>
      </c>
      <c r="I698" s="3">
        <f t="shared" si="80"/>
        <v>83.879256693651925</v>
      </c>
    </row>
    <row r="699" spans="1:9" ht="15.75" customHeight="1">
      <c r="A699" s="14">
        <v>10533</v>
      </c>
      <c r="B699">
        <v>23.06</v>
      </c>
      <c r="C699" s="3">
        <f t="shared" si="81"/>
        <v>1.4599999999999973</v>
      </c>
      <c r="D699" s="3">
        <f t="shared" si="77"/>
        <v>1.4599999999999973</v>
      </c>
      <c r="E699" s="3">
        <f t="shared" si="78"/>
        <v>0</v>
      </c>
      <c r="F699" s="3">
        <f t="shared" si="76"/>
        <v>0.51576909046729813</v>
      </c>
      <c r="G699" s="3">
        <f t="shared" si="76"/>
        <v>7.9082935921567385E-2</v>
      </c>
      <c r="H699" s="3">
        <f t="shared" si="79"/>
        <v>6.5218758567439368</v>
      </c>
      <c r="I699" s="3">
        <f t="shared" si="80"/>
        <v>86.705443973747265</v>
      </c>
    </row>
    <row r="700" spans="1:9" ht="15.75" customHeight="1">
      <c r="A700" s="14">
        <v>10563</v>
      </c>
      <c r="B700">
        <v>23.15</v>
      </c>
      <c r="C700" s="3">
        <f t="shared" si="81"/>
        <v>8.9999999999999858E-2</v>
      </c>
      <c r="D700" s="3">
        <f t="shared" si="77"/>
        <v>8.9999999999999858E-2</v>
      </c>
      <c r="E700" s="3">
        <f t="shared" si="78"/>
        <v>0</v>
      </c>
      <c r="F700" s="3">
        <f t="shared" si="76"/>
        <v>0.48535701257677683</v>
      </c>
      <c r="G700" s="3">
        <f t="shared" si="76"/>
        <v>7.3434154784312575E-2</v>
      </c>
      <c r="H700" s="3">
        <f t="shared" si="79"/>
        <v>6.6094178383661548</v>
      </c>
      <c r="I700" s="3">
        <f t="shared" si="80"/>
        <v>86.858390204858125</v>
      </c>
    </row>
    <row r="701" spans="1:9" ht="15.75" customHeight="1">
      <c r="A701" s="14">
        <v>10594</v>
      </c>
      <c r="B701">
        <v>24.86</v>
      </c>
      <c r="C701" s="3">
        <f t="shared" si="81"/>
        <v>1.7100000000000009</v>
      </c>
      <c r="D701" s="3">
        <f t="shared" si="77"/>
        <v>1.7100000000000009</v>
      </c>
      <c r="E701" s="3">
        <f t="shared" si="78"/>
        <v>0</v>
      </c>
      <c r="F701" s="3">
        <f t="shared" si="76"/>
        <v>0.57283151167843571</v>
      </c>
      <c r="G701" s="3">
        <f t="shared" si="76"/>
        <v>6.8188858014004525E-2</v>
      </c>
      <c r="H701" s="3">
        <f t="shared" si="79"/>
        <v>8.4006614623284701</v>
      </c>
      <c r="I701" s="3">
        <f t="shared" si="80"/>
        <v>89.362450674270875</v>
      </c>
    </row>
    <row r="702" spans="1:9" ht="15.75" customHeight="1">
      <c r="A702" s="14">
        <v>10625</v>
      </c>
      <c r="B702">
        <v>24.99</v>
      </c>
      <c r="C702" s="3">
        <f t="shared" si="81"/>
        <v>0.12999999999999901</v>
      </c>
      <c r="D702" s="3">
        <f t="shared" si="77"/>
        <v>0.12999999999999901</v>
      </c>
      <c r="E702" s="3">
        <f t="shared" si="78"/>
        <v>0</v>
      </c>
      <c r="F702" s="3">
        <f t="shared" si="76"/>
        <v>0.54120068941569022</v>
      </c>
      <c r="G702" s="3">
        <f t="shared" si="76"/>
        <v>6.3318225298718486E-2</v>
      </c>
      <c r="H702" s="3">
        <f t="shared" si="79"/>
        <v>8.5473129870973139</v>
      </c>
      <c r="I702" s="3">
        <f t="shared" si="80"/>
        <v>89.525848777017714</v>
      </c>
    </row>
    <row r="703" spans="1:9" ht="15.75" customHeight="1">
      <c r="A703" s="14">
        <v>10653</v>
      </c>
      <c r="B703">
        <v>25.43</v>
      </c>
      <c r="C703" s="3">
        <f t="shared" si="81"/>
        <v>0.44000000000000128</v>
      </c>
      <c r="D703" s="3">
        <f t="shared" si="77"/>
        <v>0.44000000000000128</v>
      </c>
      <c r="E703" s="3">
        <f t="shared" si="78"/>
        <v>0</v>
      </c>
      <c r="F703" s="3">
        <f t="shared" si="76"/>
        <v>0.53397206874314107</v>
      </c>
      <c r="G703" s="3">
        <f t="shared" si="76"/>
        <v>5.8795494920238597E-2</v>
      </c>
      <c r="H703" s="3">
        <f t="shared" si="79"/>
        <v>9.0818534560772459</v>
      </c>
      <c r="I703" s="3">
        <f t="shared" si="80"/>
        <v>90.081188896896634</v>
      </c>
    </row>
    <row r="704" spans="1:9" ht="15.75" customHeight="1">
      <c r="A704" s="14">
        <v>10684</v>
      </c>
      <c r="B704">
        <v>25.28</v>
      </c>
      <c r="C704" s="3">
        <f t="shared" si="81"/>
        <v>-0.14999999999999858</v>
      </c>
      <c r="D704" s="3">
        <f t="shared" si="77"/>
        <v>0</v>
      </c>
      <c r="E704" s="3">
        <f t="shared" si="78"/>
        <v>0.14999999999999858</v>
      </c>
      <c r="F704" s="3">
        <f t="shared" si="76"/>
        <v>0.49583120669005959</v>
      </c>
      <c r="G704" s="3">
        <f t="shared" si="76"/>
        <v>6.531010242593574E-2</v>
      </c>
      <c r="H704" s="3">
        <f t="shared" si="79"/>
        <v>7.591952673054708</v>
      </c>
      <c r="I704" s="3">
        <f t="shared" si="80"/>
        <v>88.361202184736101</v>
      </c>
    </row>
    <row r="705" spans="1:9" ht="15.75" customHeight="1">
      <c r="A705" s="14">
        <v>10714</v>
      </c>
      <c r="B705">
        <v>25.66</v>
      </c>
      <c r="C705" s="3">
        <f t="shared" si="81"/>
        <v>0.37999999999999901</v>
      </c>
      <c r="D705" s="3">
        <f t="shared" si="77"/>
        <v>0.37999999999999901</v>
      </c>
      <c r="E705" s="3">
        <f t="shared" si="78"/>
        <v>0</v>
      </c>
      <c r="F705" s="3">
        <f t="shared" si="76"/>
        <v>0.48755754906934096</v>
      </c>
      <c r="G705" s="3">
        <f t="shared" si="76"/>
        <v>6.0645095109797473E-2</v>
      </c>
      <c r="H705" s="3">
        <f t="shared" si="79"/>
        <v>8.0395215505330118</v>
      </c>
      <c r="I705" s="3">
        <f t="shared" si="80"/>
        <v>88.937467603680474</v>
      </c>
    </row>
    <row r="706" spans="1:9" ht="15.75" customHeight="1">
      <c r="A706" s="14">
        <v>10745</v>
      </c>
      <c r="B706">
        <v>26.15</v>
      </c>
      <c r="C706" s="3">
        <f t="shared" si="81"/>
        <v>0.48999999999999844</v>
      </c>
      <c r="D706" s="3">
        <f t="shared" si="77"/>
        <v>0.48999999999999844</v>
      </c>
      <c r="E706" s="3">
        <f t="shared" si="78"/>
        <v>0</v>
      </c>
      <c r="F706" s="3">
        <f t="shared" si="76"/>
        <v>0.48773200985010223</v>
      </c>
      <c r="G706" s="3">
        <f t="shared" si="76"/>
        <v>5.6313302601954794E-2</v>
      </c>
      <c r="H706" s="3">
        <f t="shared" si="79"/>
        <v>8.661044323711387</v>
      </c>
      <c r="I706" s="3">
        <f t="shared" si="80"/>
        <v>89.649152136217097</v>
      </c>
    </row>
    <row r="707" spans="1:9" ht="15.75" customHeight="1">
      <c r="A707" s="14">
        <v>10775</v>
      </c>
      <c r="B707">
        <v>28.48</v>
      </c>
      <c r="C707" s="3">
        <f t="shared" si="81"/>
        <v>2.3300000000000018</v>
      </c>
      <c r="D707" s="3">
        <f t="shared" si="77"/>
        <v>2.3300000000000018</v>
      </c>
      <c r="E707" s="3">
        <f t="shared" si="78"/>
        <v>0</v>
      </c>
      <c r="F707" s="3">
        <f t="shared" si="76"/>
        <v>0.61932258057509504</v>
      </c>
      <c r="G707" s="3">
        <f t="shared" si="76"/>
        <v>5.2290923844672307E-2</v>
      </c>
      <c r="H707" s="3">
        <f t="shared" si="79"/>
        <v>11.843787316031424</v>
      </c>
      <c r="I707" s="3">
        <f t="shared" si="80"/>
        <v>92.214134543073484</v>
      </c>
    </row>
    <row r="708" spans="1:9" ht="15.75" customHeight="1">
      <c r="A708" s="14">
        <v>10806</v>
      </c>
      <c r="B708">
        <v>30.1</v>
      </c>
      <c r="C708" s="3">
        <f t="shared" si="81"/>
        <v>1.620000000000001</v>
      </c>
      <c r="D708" s="3">
        <f t="shared" si="77"/>
        <v>1.620000000000001</v>
      </c>
      <c r="E708" s="3">
        <f t="shared" si="78"/>
        <v>0</v>
      </c>
      <c r="F708" s="3">
        <f t="shared" si="76"/>
        <v>0.69079953910544545</v>
      </c>
      <c r="G708" s="3">
        <f t="shared" si="76"/>
        <v>4.8555857855767146E-2</v>
      </c>
      <c r="H708" s="3">
        <f t="shared" si="79"/>
        <v>14.226904221472772</v>
      </c>
      <c r="I708" s="3">
        <f t="shared" si="80"/>
        <v>93.4326768891748</v>
      </c>
    </row>
    <row r="709" spans="1:9" ht="15.75" customHeight="1">
      <c r="A709" s="14">
        <v>10837</v>
      </c>
      <c r="B709">
        <v>31.3</v>
      </c>
      <c r="C709" s="3">
        <f t="shared" si="81"/>
        <v>1.1999999999999993</v>
      </c>
      <c r="D709" s="3">
        <f t="shared" si="77"/>
        <v>1.1999999999999993</v>
      </c>
      <c r="E709" s="3">
        <f t="shared" si="78"/>
        <v>0</v>
      </c>
      <c r="F709" s="3">
        <f t="shared" si="76"/>
        <v>0.72717100059791362</v>
      </c>
      <c r="G709" s="3">
        <f t="shared" si="76"/>
        <v>4.5087582294640924E-2</v>
      </c>
      <c r="H709" s="3">
        <f t="shared" si="79"/>
        <v>16.127966140343361</v>
      </c>
      <c r="I709" s="3">
        <f t="shared" si="80"/>
        <v>94.1615951841206</v>
      </c>
    </row>
    <row r="710" spans="1:9" ht="15.75" customHeight="1">
      <c r="A710" s="14">
        <v>10867</v>
      </c>
      <c r="B710">
        <v>27.99</v>
      </c>
      <c r="C710" s="3">
        <f t="shared" si="81"/>
        <v>-3.3100000000000023</v>
      </c>
      <c r="D710" s="3">
        <f t="shared" si="77"/>
        <v>0</v>
      </c>
      <c r="E710" s="3">
        <f t="shared" si="78"/>
        <v>3.3100000000000023</v>
      </c>
      <c r="F710" s="3">
        <f t="shared" si="76"/>
        <v>0.67523021484091983</v>
      </c>
      <c r="G710" s="3">
        <f t="shared" si="76"/>
        <v>0.27829561213073817</v>
      </c>
      <c r="H710" s="3">
        <f t="shared" si="79"/>
        <v>2.4263056455367651</v>
      </c>
      <c r="I710" s="3">
        <f t="shared" si="80"/>
        <v>70.814045696634281</v>
      </c>
    </row>
    <row r="711" spans="1:9" ht="15.75" customHeight="1">
      <c r="A711" s="14">
        <v>10898</v>
      </c>
      <c r="B711">
        <v>20.58</v>
      </c>
      <c r="C711" s="3">
        <f t="shared" si="81"/>
        <v>-7.41</v>
      </c>
      <c r="D711" s="3">
        <f t="shared" si="77"/>
        <v>0</v>
      </c>
      <c r="E711" s="3">
        <f t="shared" si="78"/>
        <v>7.41</v>
      </c>
      <c r="F711" s="3">
        <f t="shared" si="76"/>
        <v>0.6269994852094255</v>
      </c>
      <c r="G711" s="3">
        <f t="shared" si="76"/>
        <v>0.78770306840711402</v>
      </c>
      <c r="H711" s="3">
        <f t="shared" si="79"/>
        <v>0.79598456621140012</v>
      </c>
      <c r="I711" s="3">
        <f t="shared" si="80"/>
        <v>44.320234215069931</v>
      </c>
    </row>
    <row r="712" spans="1:9" ht="15.75" customHeight="1">
      <c r="A712" s="14">
        <v>10928</v>
      </c>
      <c r="B712">
        <v>21.4</v>
      </c>
      <c r="C712" s="3">
        <f t="shared" si="81"/>
        <v>0.82000000000000028</v>
      </c>
      <c r="D712" s="3">
        <f t="shared" si="77"/>
        <v>0.82000000000000028</v>
      </c>
      <c r="E712" s="3">
        <f t="shared" si="78"/>
        <v>0</v>
      </c>
      <c r="F712" s="3">
        <f t="shared" si="76"/>
        <v>0.64078523626589512</v>
      </c>
      <c r="G712" s="3">
        <f t="shared" si="76"/>
        <v>0.73143856352089165</v>
      </c>
      <c r="H712" s="3">
        <f t="shared" si="79"/>
        <v>0.87606159727397626</v>
      </c>
      <c r="I712" s="3">
        <f t="shared" si="80"/>
        <v>46.696846124186081</v>
      </c>
    </row>
    <row r="713" spans="1:9" ht="15.75" customHeight="1">
      <c r="A713" s="14">
        <v>10959</v>
      </c>
      <c r="B713">
        <v>21.71</v>
      </c>
      <c r="C713" s="3">
        <f t="shared" si="81"/>
        <v>0.31000000000000227</v>
      </c>
      <c r="D713" s="3">
        <f t="shared" si="77"/>
        <v>0.31000000000000227</v>
      </c>
      <c r="E713" s="3">
        <f t="shared" si="78"/>
        <v>0</v>
      </c>
      <c r="F713" s="3">
        <f t="shared" si="76"/>
        <v>0.61715771938975994</v>
      </c>
      <c r="G713" s="3">
        <f t="shared" si="76"/>
        <v>0.67919295184082795</v>
      </c>
      <c r="H713" s="3">
        <f t="shared" si="79"/>
        <v>0.90866331536136691</v>
      </c>
      <c r="I713" s="3">
        <f t="shared" si="80"/>
        <v>47.607312827161969</v>
      </c>
    </row>
    <row r="714" spans="1:9" ht="15.75" customHeight="1">
      <c r="A714" s="14">
        <v>10990</v>
      </c>
      <c r="B714">
        <v>23.07</v>
      </c>
      <c r="C714" s="3">
        <f t="shared" si="81"/>
        <v>1.3599999999999994</v>
      </c>
      <c r="D714" s="3">
        <f t="shared" si="77"/>
        <v>1.3599999999999994</v>
      </c>
      <c r="E714" s="3">
        <f t="shared" si="78"/>
        <v>0</v>
      </c>
      <c r="F714" s="3">
        <f t="shared" si="76"/>
        <v>0.67021788229049128</v>
      </c>
      <c r="G714" s="3">
        <f t="shared" si="76"/>
        <v>0.63067916956648318</v>
      </c>
      <c r="H714" s="3">
        <f t="shared" si="79"/>
        <v>1.0626922762506747</v>
      </c>
      <c r="I714" s="3">
        <f t="shared" si="80"/>
        <v>51.519671086484841</v>
      </c>
    </row>
    <row r="715" spans="1:9" ht="15.75" customHeight="1">
      <c r="A715" s="14">
        <v>11018</v>
      </c>
      <c r="B715">
        <v>23.94</v>
      </c>
      <c r="C715" s="3">
        <f t="shared" si="81"/>
        <v>0.87000000000000099</v>
      </c>
      <c r="D715" s="3">
        <f t="shared" si="77"/>
        <v>0.87000000000000099</v>
      </c>
      <c r="E715" s="3">
        <f t="shared" si="78"/>
        <v>0</v>
      </c>
      <c r="F715" s="3">
        <f t="shared" si="76"/>
        <v>0.68448803355545629</v>
      </c>
      <c r="G715" s="3">
        <f t="shared" si="76"/>
        <v>0.58563065745459153</v>
      </c>
      <c r="H715" s="3">
        <f t="shared" si="79"/>
        <v>1.1688049879945535</v>
      </c>
      <c r="I715" s="3">
        <f t="shared" si="80"/>
        <v>53.891658976463432</v>
      </c>
    </row>
    <row r="716" spans="1:9" ht="15.75" customHeight="1">
      <c r="A716" s="14">
        <v>11049</v>
      </c>
      <c r="B716">
        <v>25.46</v>
      </c>
      <c r="C716" s="3">
        <f t="shared" si="81"/>
        <v>1.5199999999999996</v>
      </c>
      <c r="D716" s="3">
        <f t="shared" si="77"/>
        <v>1.5199999999999996</v>
      </c>
      <c r="E716" s="3">
        <f t="shared" si="78"/>
        <v>0</v>
      </c>
      <c r="F716" s="3">
        <f t="shared" si="76"/>
        <v>0.74416745973006648</v>
      </c>
      <c r="G716" s="3">
        <f t="shared" si="76"/>
        <v>0.54379989620783498</v>
      </c>
      <c r="H716" s="3">
        <f t="shared" si="79"/>
        <v>1.3684582599582789</v>
      </c>
      <c r="I716" s="3">
        <f t="shared" si="80"/>
        <v>57.778441068342268</v>
      </c>
    </row>
    <row r="717" spans="1:9" ht="15.75" customHeight="1">
      <c r="A717" s="14">
        <v>11079</v>
      </c>
      <c r="B717">
        <v>23.94</v>
      </c>
      <c r="C717" s="3">
        <f t="shared" si="81"/>
        <v>-1.5199999999999996</v>
      </c>
      <c r="D717" s="3">
        <f t="shared" si="77"/>
        <v>0</v>
      </c>
      <c r="E717" s="3">
        <f t="shared" si="78"/>
        <v>1.5199999999999996</v>
      </c>
      <c r="F717" s="3">
        <f t="shared" si="76"/>
        <v>0.69101264117791883</v>
      </c>
      <c r="G717" s="3">
        <f t="shared" si="76"/>
        <v>0.61352847505013242</v>
      </c>
      <c r="H717" s="3">
        <f t="shared" si="79"/>
        <v>1.1262926975336476</v>
      </c>
      <c r="I717" s="3">
        <f t="shared" si="80"/>
        <v>52.969786278251775</v>
      </c>
    </row>
    <row r="718" spans="1:9" ht="15.75" customHeight="1">
      <c r="A718" s="14">
        <v>11110</v>
      </c>
      <c r="B718">
        <v>21.52</v>
      </c>
      <c r="C718" s="3">
        <f t="shared" si="81"/>
        <v>-2.4200000000000017</v>
      </c>
      <c r="D718" s="3">
        <f t="shared" si="77"/>
        <v>0</v>
      </c>
      <c r="E718" s="3">
        <f t="shared" si="78"/>
        <v>2.4200000000000017</v>
      </c>
      <c r="F718" s="3">
        <f t="shared" si="76"/>
        <v>0.64165459537949598</v>
      </c>
      <c r="G718" s="3">
        <f t="shared" si="76"/>
        <v>0.74256215540369452</v>
      </c>
      <c r="H718" s="3">
        <f t="shared" si="79"/>
        <v>0.86410893783115028</v>
      </c>
      <c r="I718" s="3">
        <f t="shared" si="80"/>
        <v>46.355066503598337</v>
      </c>
    </row>
    <row r="719" spans="1:9" ht="15.75" customHeight="1">
      <c r="A719" s="14">
        <v>11140</v>
      </c>
      <c r="B719">
        <v>21.06</v>
      </c>
      <c r="C719" s="3">
        <f t="shared" si="81"/>
        <v>-0.46000000000000085</v>
      </c>
      <c r="D719" s="3">
        <f t="shared" si="77"/>
        <v>0</v>
      </c>
      <c r="E719" s="3">
        <f t="shared" si="78"/>
        <v>0.46000000000000085</v>
      </c>
      <c r="F719" s="3">
        <f t="shared" si="76"/>
        <v>0.5958221242809606</v>
      </c>
      <c r="G719" s="3">
        <f t="shared" si="76"/>
        <v>0.72237914430343064</v>
      </c>
      <c r="H719" s="3">
        <f t="shared" si="79"/>
        <v>0.82480526878374194</v>
      </c>
      <c r="I719" s="3">
        <f t="shared" si="80"/>
        <v>45.199632141213954</v>
      </c>
    </row>
    <row r="720" spans="1:9" ht="15.75" customHeight="1">
      <c r="A720" s="14">
        <v>11171</v>
      </c>
      <c r="B720">
        <v>20.79</v>
      </c>
      <c r="C720" s="3">
        <f t="shared" si="81"/>
        <v>-0.26999999999999957</v>
      </c>
      <c r="D720" s="3">
        <f t="shared" si="77"/>
        <v>0</v>
      </c>
      <c r="E720" s="3">
        <f t="shared" si="78"/>
        <v>0.26999999999999957</v>
      </c>
      <c r="F720" s="3">
        <f t="shared" si="76"/>
        <v>0.55326340111803485</v>
      </c>
      <c r="G720" s="3">
        <f t="shared" si="76"/>
        <v>0.69006634828175706</v>
      </c>
      <c r="H720" s="3">
        <f t="shared" si="79"/>
        <v>0.80175392191728068</v>
      </c>
      <c r="I720" s="3">
        <f t="shared" si="80"/>
        <v>44.498525140665109</v>
      </c>
    </row>
    <row r="721" spans="1:9" ht="15.75" customHeight="1">
      <c r="A721" s="14">
        <v>11202</v>
      </c>
      <c r="B721">
        <v>20.78</v>
      </c>
      <c r="C721" s="3">
        <f t="shared" si="81"/>
        <v>-9.9999999999980105E-3</v>
      </c>
      <c r="D721" s="3">
        <f t="shared" si="77"/>
        <v>0</v>
      </c>
      <c r="E721" s="3">
        <f t="shared" si="78"/>
        <v>9.9999999999980105E-3</v>
      </c>
      <c r="F721" s="3">
        <f t="shared" si="76"/>
        <v>0.51374458675246093</v>
      </c>
      <c r="G721" s="3">
        <f t="shared" si="76"/>
        <v>0.64149018054734575</v>
      </c>
      <c r="H721" s="3">
        <f t="shared" si="79"/>
        <v>0.80086118592511102</v>
      </c>
      <c r="I721" s="3">
        <f t="shared" si="80"/>
        <v>44.471011546273338</v>
      </c>
    </row>
    <row r="722" spans="1:9" ht="15.75" customHeight="1">
      <c r="A722" s="14">
        <v>11232</v>
      </c>
      <c r="B722">
        <v>17.920000000000002</v>
      </c>
      <c r="C722" s="3">
        <f t="shared" si="81"/>
        <v>-2.8599999999999994</v>
      </c>
      <c r="D722" s="3">
        <f t="shared" si="77"/>
        <v>0</v>
      </c>
      <c r="E722" s="3">
        <f t="shared" si="78"/>
        <v>2.8599999999999994</v>
      </c>
      <c r="F722" s="3">
        <f t="shared" ref="F722:G785" si="82">((F721*13)+D722)/14</f>
        <v>0.47704854484157089</v>
      </c>
      <c r="G722" s="3">
        <f t="shared" si="82"/>
        <v>0.79995516765110675</v>
      </c>
      <c r="H722" s="3">
        <f t="shared" si="79"/>
        <v>0.59634410043542752</v>
      </c>
      <c r="I722" s="3">
        <f t="shared" si="80"/>
        <v>37.356864367323148</v>
      </c>
    </row>
    <row r="723" spans="1:9" ht="15.75" customHeight="1">
      <c r="A723" s="14">
        <v>11263</v>
      </c>
      <c r="B723">
        <v>16.62</v>
      </c>
      <c r="C723" s="3">
        <f t="shared" si="81"/>
        <v>-1.3000000000000007</v>
      </c>
      <c r="D723" s="3">
        <f t="shared" si="77"/>
        <v>0</v>
      </c>
      <c r="E723" s="3">
        <f t="shared" si="78"/>
        <v>1.3000000000000007</v>
      </c>
      <c r="F723" s="3">
        <f t="shared" si="82"/>
        <v>0.44297364878145867</v>
      </c>
      <c r="G723" s="3">
        <f t="shared" si="82"/>
        <v>0.83567265567602778</v>
      </c>
      <c r="H723" s="3">
        <f t="shared" si="79"/>
        <v>0.53008034398721549</v>
      </c>
      <c r="I723" s="3">
        <f t="shared" si="80"/>
        <v>34.643954879250742</v>
      </c>
    </row>
    <row r="724" spans="1:9" ht="15.75" customHeight="1">
      <c r="A724" s="14">
        <v>11293</v>
      </c>
      <c r="B724">
        <v>15.51</v>
      </c>
      <c r="C724" s="3">
        <f t="shared" si="81"/>
        <v>-1.1100000000000012</v>
      </c>
      <c r="D724" s="3">
        <f t="shared" si="77"/>
        <v>0</v>
      </c>
      <c r="E724" s="3">
        <f t="shared" si="78"/>
        <v>1.1100000000000012</v>
      </c>
      <c r="F724" s="3">
        <f t="shared" si="82"/>
        <v>0.41133267386849731</v>
      </c>
      <c r="G724" s="3">
        <f t="shared" si="82"/>
        <v>0.85526746598488301</v>
      </c>
      <c r="H724" s="3">
        <f t="shared" si="79"/>
        <v>0.4809403961073479</v>
      </c>
      <c r="I724" s="3">
        <f t="shared" si="80"/>
        <v>32.475337790197358</v>
      </c>
    </row>
    <row r="725" spans="1:9" ht="15.75" customHeight="1">
      <c r="A725" s="14">
        <v>11324</v>
      </c>
      <c r="B725">
        <v>15.98</v>
      </c>
      <c r="C725" s="3">
        <f t="shared" si="81"/>
        <v>0.47000000000000064</v>
      </c>
      <c r="D725" s="3">
        <f t="shared" si="77"/>
        <v>0.47000000000000064</v>
      </c>
      <c r="E725" s="3">
        <f t="shared" si="78"/>
        <v>0</v>
      </c>
      <c r="F725" s="3">
        <f t="shared" si="82"/>
        <v>0.4155231971636047</v>
      </c>
      <c r="G725" s="3">
        <f t="shared" si="82"/>
        <v>0.79417693270024858</v>
      </c>
      <c r="H725" s="3">
        <f t="shared" si="79"/>
        <v>0.52321237252610853</v>
      </c>
      <c r="I725" s="3">
        <f t="shared" si="80"/>
        <v>34.349272758230597</v>
      </c>
    </row>
    <row r="726" spans="1:9" ht="15.75" customHeight="1">
      <c r="A726" s="14">
        <v>11355</v>
      </c>
      <c r="B726">
        <v>17.2</v>
      </c>
      <c r="C726" s="3">
        <f t="shared" si="81"/>
        <v>1.2199999999999989</v>
      </c>
      <c r="D726" s="3">
        <f t="shared" si="77"/>
        <v>1.2199999999999989</v>
      </c>
      <c r="E726" s="3">
        <f t="shared" si="78"/>
        <v>0</v>
      </c>
      <c r="F726" s="3">
        <f t="shared" si="82"/>
        <v>0.47298582593763289</v>
      </c>
      <c r="G726" s="3">
        <f t="shared" si="82"/>
        <v>0.73745000893594514</v>
      </c>
      <c r="H726" s="3">
        <f t="shared" si="79"/>
        <v>0.64138018876709568</v>
      </c>
      <c r="I726" s="3">
        <f t="shared" si="80"/>
        <v>39.075662857175168</v>
      </c>
    </row>
    <row r="727" spans="1:9" ht="15.75" customHeight="1">
      <c r="A727" s="14">
        <v>11383</v>
      </c>
      <c r="B727">
        <v>17.53</v>
      </c>
      <c r="C727" s="3">
        <f t="shared" si="81"/>
        <v>0.33000000000000185</v>
      </c>
      <c r="D727" s="3">
        <f t="shared" si="77"/>
        <v>0.33000000000000185</v>
      </c>
      <c r="E727" s="3">
        <f t="shared" si="78"/>
        <v>0</v>
      </c>
      <c r="F727" s="3">
        <f t="shared" si="82"/>
        <v>0.46277255265637357</v>
      </c>
      <c r="G727" s="3">
        <f t="shared" si="82"/>
        <v>0.68477500829766336</v>
      </c>
      <c r="H727" s="3">
        <f t="shared" si="79"/>
        <v>0.67580233952581981</v>
      </c>
      <c r="I727" s="3">
        <f t="shared" si="80"/>
        <v>40.327091303443517</v>
      </c>
    </row>
    <row r="728" spans="1:9" ht="15.75" customHeight="1">
      <c r="A728" s="14">
        <v>11414</v>
      </c>
      <c r="B728">
        <v>15.86</v>
      </c>
      <c r="C728" s="3">
        <f t="shared" si="81"/>
        <v>-1.6700000000000017</v>
      </c>
      <c r="D728" s="3">
        <f t="shared" si="77"/>
        <v>0</v>
      </c>
      <c r="E728" s="3">
        <f t="shared" si="78"/>
        <v>1.6700000000000017</v>
      </c>
      <c r="F728" s="3">
        <f t="shared" si="82"/>
        <v>0.42971737032377544</v>
      </c>
      <c r="G728" s="3">
        <f t="shared" si="82"/>
        <v>0.75514822199068754</v>
      </c>
      <c r="H728" s="3">
        <f t="shared" si="79"/>
        <v>0.56905036363718631</v>
      </c>
      <c r="I728" s="3">
        <f t="shared" si="80"/>
        <v>36.267182802091924</v>
      </c>
    </row>
    <row r="729" spans="1:9" ht="15.75" customHeight="1">
      <c r="A729" s="14">
        <v>11444</v>
      </c>
      <c r="B729">
        <v>14.33</v>
      </c>
      <c r="C729" s="3">
        <f t="shared" si="81"/>
        <v>-1.5299999999999994</v>
      </c>
      <c r="D729" s="3">
        <f t="shared" si="77"/>
        <v>0</v>
      </c>
      <c r="E729" s="3">
        <f t="shared" si="78"/>
        <v>1.5299999999999994</v>
      </c>
      <c r="F729" s="3">
        <f t="shared" si="82"/>
        <v>0.39902327244350577</v>
      </c>
      <c r="G729" s="3">
        <f t="shared" si="82"/>
        <v>0.81049477756278132</v>
      </c>
      <c r="H729" s="3">
        <f t="shared" si="79"/>
        <v>0.49232059661556204</v>
      </c>
      <c r="I729" s="3">
        <f t="shared" si="80"/>
        <v>32.990270169298569</v>
      </c>
    </row>
    <row r="730" spans="1:9" ht="15.75" customHeight="1">
      <c r="A730" s="14">
        <v>11475</v>
      </c>
      <c r="B730">
        <v>13.87</v>
      </c>
      <c r="C730" s="3">
        <f t="shared" si="81"/>
        <v>-0.46000000000000085</v>
      </c>
      <c r="D730" s="3">
        <f t="shared" si="77"/>
        <v>0</v>
      </c>
      <c r="E730" s="3">
        <f t="shared" si="78"/>
        <v>0.46000000000000085</v>
      </c>
      <c r="F730" s="3">
        <f t="shared" si="82"/>
        <v>0.37052161012611251</v>
      </c>
      <c r="G730" s="3">
        <f t="shared" si="82"/>
        <v>0.78545943630829707</v>
      </c>
      <c r="H730" s="3">
        <f t="shared" si="79"/>
        <v>0.47172596444647052</v>
      </c>
      <c r="I730" s="3">
        <f t="shared" si="80"/>
        <v>32.0525679265223</v>
      </c>
    </row>
    <row r="731" spans="1:9" ht="15.75" customHeight="1">
      <c r="A731" s="14">
        <v>11505</v>
      </c>
      <c r="B731">
        <v>14.33</v>
      </c>
      <c r="C731" s="3">
        <f t="shared" si="81"/>
        <v>0.46000000000000085</v>
      </c>
      <c r="D731" s="3">
        <f t="shared" si="77"/>
        <v>0.46000000000000085</v>
      </c>
      <c r="E731" s="3">
        <f t="shared" si="78"/>
        <v>0</v>
      </c>
      <c r="F731" s="3">
        <f t="shared" si="82"/>
        <v>0.37691292368853313</v>
      </c>
      <c r="G731" s="3">
        <f t="shared" si="82"/>
        <v>0.72935519085770451</v>
      </c>
      <c r="H731" s="3">
        <f t="shared" si="79"/>
        <v>0.51677554148245985</v>
      </c>
      <c r="I731" s="3">
        <f t="shared" si="80"/>
        <v>34.070666842199728</v>
      </c>
    </row>
    <row r="732" spans="1:9" ht="15.75" customHeight="1">
      <c r="A732" s="14">
        <v>11536</v>
      </c>
      <c r="B732">
        <v>13.9</v>
      </c>
      <c r="C732" s="3">
        <f t="shared" si="81"/>
        <v>-0.42999999999999972</v>
      </c>
      <c r="D732" s="3">
        <f t="shared" si="77"/>
        <v>0</v>
      </c>
      <c r="E732" s="3">
        <f t="shared" si="78"/>
        <v>0.42999999999999972</v>
      </c>
      <c r="F732" s="3">
        <f t="shared" si="82"/>
        <v>0.34999057199649503</v>
      </c>
      <c r="G732" s="3">
        <f t="shared" si="82"/>
        <v>0.70797267722501123</v>
      </c>
      <c r="H732" s="3">
        <f t="shared" si="79"/>
        <v>0.49435604403312217</v>
      </c>
      <c r="I732" s="3">
        <f t="shared" si="80"/>
        <v>33.081543451914129</v>
      </c>
    </row>
    <row r="733" spans="1:9" ht="15.75" customHeight="1">
      <c r="A733" s="14">
        <v>11567</v>
      </c>
      <c r="B733">
        <v>11.83</v>
      </c>
      <c r="C733" s="3">
        <f t="shared" si="81"/>
        <v>-2.0700000000000003</v>
      </c>
      <c r="D733" s="3">
        <f t="shared" si="77"/>
        <v>0</v>
      </c>
      <c r="E733" s="3">
        <f t="shared" si="78"/>
        <v>2.0700000000000003</v>
      </c>
      <c r="F733" s="3">
        <f t="shared" si="82"/>
        <v>0.32499124542531682</v>
      </c>
      <c r="G733" s="3">
        <f t="shared" si="82"/>
        <v>0.80526034313751038</v>
      </c>
      <c r="H733" s="3">
        <f t="shared" si="79"/>
        <v>0.40358531026011257</v>
      </c>
      <c r="I733" s="3">
        <f t="shared" si="80"/>
        <v>28.753885304294045</v>
      </c>
    </row>
    <row r="734" spans="1:9" ht="15.75" customHeight="1">
      <c r="A734" s="14">
        <v>11597</v>
      </c>
      <c r="B734">
        <v>10.25</v>
      </c>
      <c r="C734" s="3">
        <f t="shared" si="81"/>
        <v>-1.58</v>
      </c>
      <c r="D734" s="3">
        <f t="shared" si="77"/>
        <v>0</v>
      </c>
      <c r="E734" s="3">
        <f t="shared" si="78"/>
        <v>1.58</v>
      </c>
      <c r="F734" s="3">
        <f t="shared" si="82"/>
        <v>0.30177758503779417</v>
      </c>
      <c r="G734" s="3">
        <f t="shared" si="82"/>
        <v>0.86059889005625956</v>
      </c>
      <c r="H734" s="3">
        <f t="shared" si="79"/>
        <v>0.35065997472767618</v>
      </c>
      <c r="I734" s="3">
        <f t="shared" si="80"/>
        <v>25.962120836399052</v>
      </c>
    </row>
    <row r="735" spans="1:9" ht="15.75" customHeight="1">
      <c r="A735" s="14">
        <v>11628</v>
      </c>
      <c r="B735">
        <v>10.39</v>
      </c>
      <c r="C735" s="3">
        <f t="shared" si="81"/>
        <v>0.14000000000000057</v>
      </c>
      <c r="D735" s="3">
        <f t="shared" si="77"/>
        <v>0.14000000000000057</v>
      </c>
      <c r="E735" s="3">
        <f t="shared" si="78"/>
        <v>0</v>
      </c>
      <c r="F735" s="3">
        <f t="shared" si="82"/>
        <v>0.29022204324938033</v>
      </c>
      <c r="G735" s="3">
        <f t="shared" si="82"/>
        <v>0.79912754076652681</v>
      </c>
      <c r="H735" s="3">
        <f t="shared" si="79"/>
        <v>0.36317362178632717</v>
      </c>
      <c r="I735" s="3">
        <f t="shared" si="80"/>
        <v>26.641772990766782</v>
      </c>
    </row>
    <row r="736" spans="1:9" ht="15.75" customHeight="1">
      <c r="A736" s="14">
        <v>11658</v>
      </c>
      <c r="B736">
        <v>8.44</v>
      </c>
      <c r="C736" s="3">
        <f t="shared" si="81"/>
        <v>-1.9500000000000011</v>
      </c>
      <c r="D736" s="3">
        <f t="shared" si="77"/>
        <v>0</v>
      </c>
      <c r="E736" s="3">
        <f t="shared" si="78"/>
        <v>1.9500000000000011</v>
      </c>
      <c r="F736" s="3">
        <f t="shared" si="82"/>
        <v>0.269491897302996</v>
      </c>
      <c r="G736" s="3">
        <f t="shared" si="82"/>
        <v>0.88133271642606059</v>
      </c>
      <c r="H736" s="3">
        <f t="shared" si="79"/>
        <v>0.30577770719306441</v>
      </c>
      <c r="I736" s="3">
        <f t="shared" si="80"/>
        <v>23.417286534196748</v>
      </c>
    </row>
    <row r="737" spans="1:9" ht="15.75" customHeight="1">
      <c r="A737" s="14">
        <v>11689</v>
      </c>
      <c r="B737">
        <v>8.3000000000000007</v>
      </c>
      <c r="C737" s="3">
        <f t="shared" si="81"/>
        <v>-0.13999999999999879</v>
      </c>
      <c r="D737" s="3">
        <f t="shared" si="77"/>
        <v>0</v>
      </c>
      <c r="E737" s="3">
        <f t="shared" si="78"/>
        <v>0.13999999999999879</v>
      </c>
      <c r="F737" s="3">
        <f t="shared" si="82"/>
        <v>0.25024247606706773</v>
      </c>
      <c r="G737" s="3">
        <f t="shared" si="82"/>
        <v>0.82838037953848465</v>
      </c>
      <c r="H737" s="3">
        <f t="shared" si="79"/>
        <v>0.30208643546879427</v>
      </c>
      <c r="I737" s="3">
        <f t="shared" si="80"/>
        <v>23.200182970958693</v>
      </c>
    </row>
    <row r="738" spans="1:9" ht="15.75" customHeight="1">
      <c r="A738" s="14">
        <v>11720</v>
      </c>
      <c r="B738">
        <v>8.23</v>
      </c>
      <c r="C738" s="3">
        <f t="shared" si="81"/>
        <v>-7.0000000000000284E-2</v>
      </c>
      <c r="D738" s="3">
        <f t="shared" si="77"/>
        <v>0</v>
      </c>
      <c r="E738" s="3">
        <f t="shared" si="78"/>
        <v>7.0000000000000284E-2</v>
      </c>
      <c r="F738" s="3">
        <f t="shared" si="82"/>
        <v>0.2323680134908486</v>
      </c>
      <c r="G738" s="3">
        <f t="shared" si="82"/>
        <v>0.77421035242859293</v>
      </c>
      <c r="H738" s="3">
        <f t="shared" si="79"/>
        <v>0.30013550291847896</v>
      </c>
      <c r="I738" s="3">
        <f t="shared" si="80"/>
        <v>23.084940165448117</v>
      </c>
    </row>
    <row r="739" spans="1:9" ht="15.75" customHeight="1">
      <c r="A739" s="14">
        <v>11749</v>
      </c>
      <c r="B739">
        <v>8.26</v>
      </c>
      <c r="C739" s="3">
        <f t="shared" si="81"/>
        <v>2.9999999999999361E-2</v>
      </c>
      <c r="D739" s="3">
        <f t="shared" si="77"/>
        <v>2.9999999999999361E-2</v>
      </c>
      <c r="E739" s="3">
        <f t="shared" si="78"/>
        <v>0</v>
      </c>
      <c r="F739" s="3">
        <f t="shared" si="82"/>
        <v>0.21791315538435937</v>
      </c>
      <c r="G739" s="3">
        <f t="shared" si="82"/>
        <v>0.7189096129694077</v>
      </c>
      <c r="H739" s="3">
        <f t="shared" si="79"/>
        <v>0.3031162074523997</v>
      </c>
      <c r="I739" s="3">
        <f t="shared" si="80"/>
        <v>23.260873107011207</v>
      </c>
    </row>
    <row r="740" spans="1:9" ht="15.75" customHeight="1">
      <c r="A740" s="14">
        <v>11780</v>
      </c>
      <c r="B740">
        <v>6.28</v>
      </c>
      <c r="C740" s="3">
        <f t="shared" si="81"/>
        <v>-1.9799999999999995</v>
      </c>
      <c r="D740" s="3">
        <f t="shared" si="77"/>
        <v>0</v>
      </c>
      <c r="E740" s="3">
        <f t="shared" si="78"/>
        <v>1.9799999999999995</v>
      </c>
      <c r="F740" s="3">
        <f t="shared" si="82"/>
        <v>0.20234792999976228</v>
      </c>
      <c r="G740" s="3">
        <f t="shared" si="82"/>
        <v>0.80898749775730727</v>
      </c>
      <c r="H740" s="3">
        <f t="shared" si="79"/>
        <v>0.25012491609662152</v>
      </c>
      <c r="I740" s="3">
        <f t="shared" si="80"/>
        <v>20.007993831337203</v>
      </c>
    </row>
    <row r="741" spans="1:9" ht="15.75" customHeight="1">
      <c r="A741" s="14">
        <v>11810</v>
      </c>
      <c r="B741">
        <v>5.51</v>
      </c>
      <c r="C741" s="3">
        <f t="shared" si="81"/>
        <v>-0.77000000000000046</v>
      </c>
      <c r="D741" s="3">
        <f t="shared" si="77"/>
        <v>0</v>
      </c>
      <c r="E741" s="3">
        <f t="shared" si="78"/>
        <v>0.77000000000000046</v>
      </c>
      <c r="F741" s="3">
        <f t="shared" si="82"/>
        <v>0.18789450642835068</v>
      </c>
      <c r="G741" s="3">
        <f t="shared" si="82"/>
        <v>0.80620267648892807</v>
      </c>
      <c r="H741" s="3">
        <f t="shared" si="79"/>
        <v>0.23306112954951361</v>
      </c>
      <c r="I741" s="3">
        <f t="shared" si="80"/>
        <v>18.901019906017154</v>
      </c>
    </row>
    <row r="742" spans="1:9" ht="15.75" customHeight="1">
      <c r="A742" s="14">
        <v>11841</v>
      </c>
      <c r="B742">
        <v>4.7699999999999996</v>
      </c>
      <c r="C742" s="3">
        <f t="shared" si="81"/>
        <v>-0.74000000000000021</v>
      </c>
      <c r="D742" s="3">
        <f t="shared" ref="D742:D805" si="83">IF(C742&gt;0,C742,0)</f>
        <v>0</v>
      </c>
      <c r="E742" s="3">
        <f t="shared" ref="E742:E805" si="84">IF(C742&lt;0,-C742,0)</f>
        <v>0.74000000000000021</v>
      </c>
      <c r="F742" s="3">
        <f t="shared" si="82"/>
        <v>0.17447347025489707</v>
      </c>
      <c r="G742" s="3">
        <f t="shared" si="82"/>
        <v>0.80147391388257616</v>
      </c>
      <c r="H742" s="3">
        <f t="shared" ref="H742:H805" si="85">F742/G742</f>
        <v>0.21769076601594692</v>
      </c>
      <c r="I742" s="3">
        <f t="shared" ref="I742:I805" si="86">IF(G742=0,100,100-(100/(1+H742)))</f>
        <v>17.877343911228763</v>
      </c>
    </row>
    <row r="743" spans="1:9" ht="15.75" customHeight="1">
      <c r="A743" s="14">
        <v>11871</v>
      </c>
      <c r="B743">
        <v>5.01</v>
      </c>
      <c r="C743" s="3">
        <f t="shared" si="81"/>
        <v>0.24000000000000021</v>
      </c>
      <c r="D743" s="3">
        <f t="shared" si="83"/>
        <v>0.24000000000000021</v>
      </c>
      <c r="E743" s="3">
        <f t="shared" si="84"/>
        <v>0</v>
      </c>
      <c r="F743" s="3">
        <f t="shared" si="82"/>
        <v>0.17915393666526155</v>
      </c>
      <c r="G743" s="3">
        <f t="shared" si="82"/>
        <v>0.74422577717667782</v>
      </c>
      <c r="H743" s="3">
        <f t="shared" si="85"/>
        <v>0.2407252505347322</v>
      </c>
      <c r="I743" s="3">
        <f t="shared" si="86"/>
        <v>19.401978837053861</v>
      </c>
    </row>
    <row r="744" spans="1:9" ht="15.75" customHeight="1">
      <c r="A744" s="14">
        <v>11902</v>
      </c>
      <c r="B744">
        <v>7.53</v>
      </c>
      <c r="C744" s="3">
        <f t="shared" si="81"/>
        <v>2.5200000000000005</v>
      </c>
      <c r="D744" s="3">
        <f t="shared" si="83"/>
        <v>2.5200000000000005</v>
      </c>
      <c r="E744" s="3">
        <f t="shared" si="84"/>
        <v>0</v>
      </c>
      <c r="F744" s="3">
        <f t="shared" si="82"/>
        <v>0.34635722690345716</v>
      </c>
      <c r="G744" s="3">
        <f t="shared" si="82"/>
        <v>0.69106679309262931</v>
      </c>
      <c r="H744" s="3">
        <f t="shared" si="85"/>
        <v>0.50119211393945839</v>
      </c>
      <c r="I744" s="3">
        <f t="shared" si="86"/>
        <v>33.386274100802467</v>
      </c>
    </row>
    <row r="745" spans="1:9" ht="15.75" customHeight="1">
      <c r="A745" s="14">
        <v>11933</v>
      </c>
      <c r="B745">
        <v>8.26</v>
      </c>
      <c r="C745" s="3">
        <f t="shared" si="81"/>
        <v>0.72999999999999954</v>
      </c>
      <c r="D745" s="3">
        <f t="shared" si="83"/>
        <v>0.72999999999999954</v>
      </c>
      <c r="E745" s="3">
        <f t="shared" si="84"/>
        <v>0</v>
      </c>
      <c r="F745" s="3">
        <f t="shared" si="82"/>
        <v>0.37376028212463874</v>
      </c>
      <c r="G745" s="3">
        <f t="shared" si="82"/>
        <v>0.64170487930029874</v>
      </c>
      <c r="H745" s="3">
        <f t="shared" si="85"/>
        <v>0.5824488704717018</v>
      </c>
      <c r="I745" s="3">
        <f t="shared" si="86"/>
        <v>36.806805031121378</v>
      </c>
    </row>
    <row r="746" spans="1:9" ht="15.75" customHeight="1">
      <c r="A746" s="14">
        <v>11963</v>
      </c>
      <c r="B746">
        <v>7.12</v>
      </c>
      <c r="C746" s="3">
        <f t="shared" si="81"/>
        <v>-1.1399999999999997</v>
      </c>
      <c r="D746" s="3">
        <f t="shared" si="83"/>
        <v>0</v>
      </c>
      <c r="E746" s="3">
        <f t="shared" si="84"/>
        <v>1.1399999999999997</v>
      </c>
      <c r="F746" s="3">
        <f t="shared" si="82"/>
        <v>0.34706311911573595</v>
      </c>
      <c r="G746" s="3">
        <f t="shared" si="82"/>
        <v>0.67729738792170602</v>
      </c>
      <c r="H746" s="3">
        <f t="shared" si="85"/>
        <v>0.51242353108831951</v>
      </c>
      <c r="I746" s="3">
        <f t="shared" si="86"/>
        <v>33.880954676735726</v>
      </c>
    </row>
    <row r="747" spans="1:9" ht="15.75" customHeight="1">
      <c r="A747" s="14">
        <v>11994</v>
      </c>
      <c r="B747">
        <v>7.05</v>
      </c>
      <c r="C747" s="3">
        <f t="shared" ref="C747:C810" si="87">B747-B746</f>
        <v>-7.0000000000000284E-2</v>
      </c>
      <c r="D747" s="3">
        <f t="shared" si="83"/>
        <v>0</v>
      </c>
      <c r="E747" s="3">
        <f t="shared" si="84"/>
        <v>7.0000000000000284E-2</v>
      </c>
      <c r="F747" s="3">
        <f t="shared" si="82"/>
        <v>0.32227289632175482</v>
      </c>
      <c r="G747" s="3">
        <f t="shared" si="82"/>
        <v>0.63391900307015558</v>
      </c>
      <c r="H747" s="3">
        <f t="shared" si="85"/>
        <v>0.50838181969769569</v>
      </c>
      <c r="I747" s="3">
        <f t="shared" si="86"/>
        <v>33.703788593764926</v>
      </c>
    </row>
    <row r="748" spans="1:9" ht="15.75" customHeight="1">
      <c r="A748" s="14">
        <v>12024</v>
      </c>
      <c r="B748">
        <v>6.82</v>
      </c>
      <c r="C748" s="3">
        <f t="shared" si="87"/>
        <v>-0.22999999999999954</v>
      </c>
      <c r="D748" s="3">
        <f t="shared" si="83"/>
        <v>0</v>
      </c>
      <c r="E748" s="3">
        <f t="shared" si="84"/>
        <v>0.22999999999999954</v>
      </c>
      <c r="F748" s="3">
        <f t="shared" si="82"/>
        <v>0.29925340372734377</v>
      </c>
      <c r="G748" s="3">
        <f t="shared" si="82"/>
        <v>0.60506764570800164</v>
      </c>
      <c r="H748" s="3">
        <f t="shared" si="85"/>
        <v>0.49457842581746614</v>
      </c>
      <c r="I748" s="3">
        <f t="shared" si="86"/>
        <v>33.091500403998822</v>
      </c>
    </row>
    <row r="749" spans="1:9" ht="15.75" customHeight="1">
      <c r="A749" s="14">
        <v>12055</v>
      </c>
      <c r="B749">
        <v>7.09</v>
      </c>
      <c r="C749" s="3">
        <f t="shared" si="87"/>
        <v>0.26999999999999957</v>
      </c>
      <c r="D749" s="3">
        <f t="shared" si="83"/>
        <v>0.26999999999999957</v>
      </c>
      <c r="E749" s="3">
        <f t="shared" si="84"/>
        <v>0</v>
      </c>
      <c r="F749" s="3">
        <f t="shared" si="82"/>
        <v>0.29716387488967627</v>
      </c>
      <c r="G749" s="3">
        <f t="shared" si="82"/>
        <v>0.56184852815743003</v>
      </c>
      <c r="H749" s="3">
        <f t="shared" si="85"/>
        <v>0.52890389490601442</v>
      </c>
      <c r="I749" s="3">
        <f t="shared" si="86"/>
        <v>34.593665217821126</v>
      </c>
    </row>
    <row r="750" spans="1:9" ht="15.75" customHeight="1">
      <c r="A750" s="14">
        <v>12086</v>
      </c>
      <c r="B750">
        <v>6.25</v>
      </c>
      <c r="C750" s="3">
        <f t="shared" si="87"/>
        <v>-0.83999999999999986</v>
      </c>
      <c r="D750" s="3">
        <f t="shared" si="83"/>
        <v>0</v>
      </c>
      <c r="E750" s="3">
        <f t="shared" si="84"/>
        <v>0.83999999999999986</v>
      </c>
      <c r="F750" s="3">
        <f t="shared" si="82"/>
        <v>0.27593788382612799</v>
      </c>
      <c r="G750" s="3">
        <f t="shared" si="82"/>
        <v>0.58171649043189932</v>
      </c>
      <c r="H750" s="3">
        <f t="shared" si="85"/>
        <v>0.47435114590142707</v>
      </c>
      <c r="I750" s="3">
        <f t="shared" si="86"/>
        <v>32.173552902921642</v>
      </c>
    </row>
    <row r="751" spans="1:9" ht="15.75" customHeight="1">
      <c r="A751" s="14">
        <v>12114</v>
      </c>
      <c r="B751">
        <v>6.23</v>
      </c>
      <c r="C751" s="3">
        <f t="shared" si="87"/>
        <v>-1.9999999999999574E-2</v>
      </c>
      <c r="D751" s="3">
        <f t="shared" si="83"/>
        <v>0</v>
      </c>
      <c r="E751" s="3">
        <f t="shared" si="84"/>
        <v>1.9999999999999574E-2</v>
      </c>
      <c r="F751" s="3">
        <f t="shared" si="82"/>
        <v>0.25622803498140456</v>
      </c>
      <c r="G751" s="3">
        <f t="shared" si="82"/>
        <v>0.54159388397247787</v>
      </c>
      <c r="H751" s="3">
        <f t="shared" si="85"/>
        <v>0.47309994179037901</v>
      </c>
      <c r="I751" s="3">
        <f t="shared" si="86"/>
        <v>32.115943281851045</v>
      </c>
    </row>
    <row r="752" spans="1:9" ht="15.75" customHeight="1">
      <c r="A752" s="14">
        <v>12145</v>
      </c>
      <c r="B752">
        <v>6.89</v>
      </c>
      <c r="C752" s="3">
        <f t="shared" si="87"/>
        <v>0.65999999999999925</v>
      </c>
      <c r="D752" s="3">
        <f t="shared" si="83"/>
        <v>0.65999999999999925</v>
      </c>
      <c r="E752" s="3">
        <f t="shared" si="84"/>
        <v>0</v>
      </c>
      <c r="F752" s="3">
        <f t="shared" si="82"/>
        <v>0.28506888962558991</v>
      </c>
      <c r="G752" s="3">
        <f t="shared" si="82"/>
        <v>0.50290860654587233</v>
      </c>
      <c r="H752" s="3">
        <f t="shared" si="85"/>
        <v>0.56684034815695206</v>
      </c>
      <c r="I752" s="3">
        <f t="shared" si="86"/>
        <v>36.177288185341723</v>
      </c>
    </row>
    <row r="753" spans="1:9" ht="15.75" customHeight="1">
      <c r="A753" s="14">
        <v>12175</v>
      </c>
      <c r="B753">
        <v>8.8699999999999992</v>
      </c>
      <c r="C753" s="3">
        <f t="shared" si="87"/>
        <v>1.9799999999999995</v>
      </c>
      <c r="D753" s="3">
        <f t="shared" si="83"/>
        <v>1.9799999999999995</v>
      </c>
      <c r="E753" s="3">
        <f t="shared" si="84"/>
        <v>0</v>
      </c>
      <c r="F753" s="3">
        <f t="shared" si="82"/>
        <v>0.4061353975094763</v>
      </c>
      <c r="G753" s="3">
        <f t="shared" si="82"/>
        <v>0.46698656322116722</v>
      </c>
      <c r="H753" s="3">
        <f t="shared" si="85"/>
        <v>0.86969396872588067</v>
      </c>
      <c r="I753" s="3">
        <f t="shared" si="86"/>
        <v>46.515311236658761</v>
      </c>
    </row>
    <row r="754" spans="1:9" ht="15.75" customHeight="1">
      <c r="A754" s="14">
        <v>12206</v>
      </c>
      <c r="B754">
        <v>10.39</v>
      </c>
      <c r="C754" s="3">
        <f t="shared" si="87"/>
        <v>1.5200000000000014</v>
      </c>
      <c r="D754" s="3">
        <f t="shared" si="83"/>
        <v>1.5200000000000014</v>
      </c>
      <c r="E754" s="3">
        <f t="shared" si="84"/>
        <v>0</v>
      </c>
      <c r="F754" s="3">
        <f t="shared" si="82"/>
        <v>0.48569715483022813</v>
      </c>
      <c r="G754" s="3">
        <f t="shared" si="82"/>
        <v>0.43363038013394101</v>
      </c>
      <c r="H754" s="3">
        <f t="shared" si="85"/>
        <v>1.1200717871294086</v>
      </c>
      <c r="I754" s="3">
        <f t="shared" si="86"/>
        <v>52.831785882401334</v>
      </c>
    </row>
    <row r="755" spans="1:9" ht="15.75" customHeight="1">
      <c r="A755" s="14">
        <v>12236</v>
      </c>
      <c r="B755">
        <v>11.23</v>
      </c>
      <c r="C755" s="3">
        <f t="shared" si="87"/>
        <v>0.83999999999999986</v>
      </c>
      <c r="D755" s="3">
        <f t="shared" si="83"/>
        <v>0.83999999999999986</v>
      </c>
      <c r="E755" s="3">
        <f t="shared" si="84"/>
        <v>0</v>
      </c>
      <c r="F755" s="3">
        <f t="shared" si="82"/>
        <v>0.51100450091378324</v>
      </c>
      <c r="G755" s="3">
        <f t="shared" si="82"/>
        <v>0.40265678155294526</v>
      </c>
      <c r="H755" s="3">
        <f t="shared" si="85"/>
        <v>1.2690820677177428</v>
      </c>
      <c r="I755" s="3">
        <f t="shared" si="86"/>
        <v>55.929315460775449</v>
      </c>
    </row>
    <row r="756" spans="1:9" ht="15.75" customHeight="1">
      <c r="A756" s="14">
        <v>12267</v>
      </c>
      <c r="B756">
        <v>10.67</v>
      </c>
      <c r="C756" s="3">
        <f t="shared" si="87"/>
        <v>-0.5600000000000005</v>
      </c>
      <c r="D756" s="3">
        <f t="shared" si="83"/>
        <v>0</v>
      </c>
      <c r="E756" s="3">
        <f t="shared" si="84"/>
        <v>0.5600000000000005</v>
      </c>
      <c r="F756" s="3">
        <f t="shared" si="82"/>
        <v>0.47450417941994161</v>
      </c>
      <c r="G756" s="3">
        <f t="shared" si="82"/>
        <v>0.41389558287059203</v>
      </c>
      <c r="H756" s="3">
        <f t="shared" si="85"/>
        <v>1.1464345092281387</v>
      </c>
      <c r="I756" s="3">
        <f t="shared" si="86"/>
        <v>53.411110578929261</v>
      </c>
    </row>
    <row r="757" spans="1:9" ht="15.75" customHeight="1">
      <c r="A757" s="14">
        <v>12298</v>
      </c>
      <c r="B757">
        <v>10.58</v>
      </c>
      <c r="C757" s="3">
        <f t="shared" si="87"/>
        <v>-8.9999999999999858E-2</v>
      </c>
      <c r="D757" s="3">
        <f t="shared" si="83"/>
        <v>0</v>
      </c>
      <c r="E757" s="3">
        <f t="shared" si="84"/>
        <v>8.9999999999999858E-2</v>
      </c>
      <c r="F757" s="3">
        <f t="shared" si="82"/>
        <v>0.44061102374708866</v>
      </c>
      <c r="G757" s="3">
        <f t="shared" si="82"/>
        <v>0.39076018409412117</v>
      </c>
      <c r="H757" s="3">
        <f t="shared" si="85"/>
        <v>1.1275739998140653</v>
      </c>
      <c r="I757" s="3">
        <f t="shared" si="86"/>
        <v>52.998109579859836</v>
      </c>
    </row>
    <row r="758" spans="1:9" ht="15.75" customHeight="1">
      <c r="A758" s="14">
        <v>12328</v>
      </c>
      <c r="B758">
        <v>9.5500000000000007</v>
      </c>
      <c r="C758" s="3">
        <f t="shared" si="87"/>
        <v>-1.0299999999999994</v>
      </c>
      <c r="D758" s="3">
        <f t="shared" si="83"/>
        <v>0</v>
      </c>
      <c r="E758" s="3">
        <f t="shared" si="84"/>
        <v>1.0299999999999994</v>
      </c>
      <c r="F758" s="3">
        <f t="shared" si="82"/>
        <v>0.40913880776515377</v>
      </c>
      <c r="G758" s="3">
        <f t="shared" si="82"/>
        <v>0.43642017094454105</v>
      </c>
      <c r="H758" s="3">
        <f t="shared" si="85"/>
        <v>0.93748830829624019</v>
      </c>
      <c r="I758" s="3">
        <f t="shared" si="86"/>
        <v>48.386785317978756</v>
      </c>
    </row>
    <row r="759" spans="1:9" ht="15.75" customHeight="1">
      <c r="A759" s="14">
        <v>12359</v>
      </c>
      <c r="B759">
        <v>9.7799999999999994</v>
      </c>
      <c r="C759" s="3">
        <f t="shared" si="87"/>
        <v>0.22999999999999865</v>
      </c>
      <c r="D759" s="3">
        <f t="shared" si="83"/>
        <v>0.22999999999999865</v>
      </c>
      <c r="E759" s="3">
        <f t="shared" si="84"/>
        <v>0</v>
      </c>
      <c r="F759" s="3">
        <f t="shared" si="82"/>
        <v>0.39634317863907126</v>
      </c>
      <c r="G759" s="3">
        <f t="shared" si="82"/>
        <v>0.40524730159135958</v>
      </c>
      <c r="H759" s="3">
        <f t="shared" si="85"/>
        <v>0.97802792784227599</v>
      </c>
      <c r="I759" s="3">
        <f t="shared" si="86"/>
        <v>49.44459651331384</v>
      </c>
    </row>
    <row r="760" spans="1:9" ht="15.75" customHeight="1">
      <c r="A760" s="14">
        <v>12389</v>
      </c>
      <c r="B760">
        <v>9.9700000000000006</v>
      </c>
      <c r="C760" s="3">
        <f t="shared" si="87"/>
        <v>0.19000000000000128</v>
      </c>
      <c r="D760" s="3">
        <f t="shared" si="83"/>
        <v>0.19000000000000128</v>
      </c>
      <c r="E760" s="3">
        <f t="shared" si="84"/>
        <v>0</v>
      </c>
      <c r="F760" s="3">
        <f t="shared" si="82"/>
        <v>0.38160438016485199</v>
      </c>
      <c r="G760" s="3">
        <f t="shared" si="82"/>
        <v>0.37630106576340527</v>
      </c>
      <c r="H760" s="3">
        <f t="shared" si="85"/>
        <v>1.0140932749969438</v>
      </c>
      <c r="I760" s="3">
        <f t="shared" si="86"/>
        <v>50.34986649257754</v>
      </c>
    </row>
    <row r="761" spans="1:9" ht="15.75" customHeight="1">
      <c r="A761" s="14">
        <v>12420</v>
      </c>
      <c r="B761">
        <v>10.54</v>
      </c>
      <c r="C761" s="3">
        <f t="shared" si="87"/>
        <v>0.56999999999999851</v>
      </c>
      <c r="D761" s="3">
        <f t="shared" si="83"/>
        <v>0.56999999999999851</v>
      </c>
      <c r="E761" s="3">
        <f t="shared" si="84"/>
        <v>0</v>
      </c>
      <c r="F761" s="3">
        <f t="shared" si="82"/>
        <v>0.39506121015307677</v>
      </c>
      <c r="G761" s="3">
        <f t="shared" si="82"/>
        <v>0.34942241820887637</v>
      </c>
      <c r="H761" s="3">
        <f t="shared" si="85"/>
        <v>1.1306120888812539</v>
      </c>
      <c r="I761" s="3">
        <f t="shared" si="86"/>
        <v>53.065130662753248</v>
      </c>
    </row>
    <row r="762" spans="1:9" ht="15.75" customHeight="1">
      <c r="A762" s="14">
        <v>12451</v>
      </c>
      <c r="B762">
        <v>11.32</v>
      </c>
      <c r="C762" s="3">
        <f t="shared" si="87"/>
        <v>0.78000000000000114</v>
      </c>
      <c r="D762" s="3">
        <f t="shared" si="83"/>
        <v>0.78000000000000114</v>
      </c>
      <c r="E762" s="3">
        <f t="shared" si="84"/>
        <v>0</v>
      </c>
      <c r="F762" s="3">
        <f t="shared" si="82"/>
        <v>0.42255683799928567</v>
      </c>
      <c r="G762" s="3">
        <f t="shared" si="82"/>
        <v>0.32446367405109949</v>
      </c>
      <c r="H762" s="3">
        <f t="shared" si="85"/>
        <v>1.3023240251318167</v>
      </c>
      <c r="I762" s="3">
        <f t="shared" si="86"/>
        <v>56.565627206068605</v>
      </c>
    </row>
    <row r="763" spans="1:9" ht="15.75" customHeight="1">
      <c r="A763" s="14">
        <v>12479</v>
      </c>
      <c r="B763">
        <v>10.74</v>
      </c>
      <c r="C763" s="3">
        <f t="shared" si="87"/>
        <v>-0.58000000000000007</v>
      </c>
      <c r="D763" s="3">
        <f t="shared" si="83"/>
        <v>0</v>
      </c>
      <c r="E763" s="3">
        <f t="shared" si="84"/>
        <v>0.58000000000000007</v>
      </c>
      <c r="F763" s="3">
        <f t="shared" si="82"/>
        <v>0.39237420671362244</v>
      </c>
      <c r="G763" s="3">
        <f t="shared" si="82"/>
        <v>0.34271626876173528</v>
      </c>
      <c r="H763" s="3">
        <f t="shared" si="85"/>
        <v>1.1448951872967856</v>
      </c>
      <c r="I763" s="3">
        <f t="shared" si="86"/>
        <v>53.377675239212905</v>
      </c>
    </row>
    <row r="764" spans="1:9" ht="15.75" customHeight="1">
      <c r="A764" s="14">
        <v>12510</v>
      </c>
      <c r="B764">
        <v>10.92</v>
      </c>
      <c r="C764" s="3">
        <f t="shared" si="87"/>
        <v>0.17999999999999972</v>
      </c>
      <c r="D764" s="3">
        <f t="shared" si="83"/>
        <v>0.17999999999999972</v>
      </c>
      <c r="E764" s="3">
        <f t="shared" si="84"/>
        <v>0</v>
      </c>
      <c r="F764" s="3">
        <f t="shared" si="82"/>
        <v>0.37720462051979226</v>
      </c>
      <c r="G764" s="3">
        <f t="shared" si="82"/>
        <v>0.31823653527875423</v>
      </c>
      <c r="H764" s="3">
        <f t="shared" si="85"/>
        <v>1.185296402845091</v>
      </c>
      <c r="I764" s="3">
        <f t="shared" si="86"/>
        <v>54.239617165979148</v>
      </c>
    </row>
    <row r="765" spans="1:9" ht="15.75" customHeight="1">
      <c r="A765" s="14">
        <v>12540</v>
      </c>
      <c r="B765">
        <v>9.81</v>
      </c>
      <c r="C765" s="3">
        <f t="shared" si="87"/>
        <v>-1.1099999999999994</v>
      </c>
      <c r="D765" s="3">
        <f t="shared" si="83"/>
        <v>0</v>
      </c>
      <c r="E765" s="3">
        <f t="shared" si="84"/>
        <v>1.1099999999999994</v>
      </c>
      <c r="F765" s="3">
        <f t="shared" si="82"/>
        <v>0.35026143333980714</v>
      </c>
      <c r="G765" s="3">
        <f t="shared" si="82"/>
        <v>0.37479106847312893</v>
      </c>
      <c r="H765" s="3">
        <f t="shared" si="85"/>
        <v>0.93455117478318328</v>
      </c>
      <c r="I765" s="3">
        <f t="shared" si="86"/>
        <v>48.308423522987141</v>
      </c>
    </row>
    <row r="766" spans="1:9" ht="15.75" customHeight="1">
      <c r="A766" s="14">
        <v>12571</v>
      </c>
      <c r="B766">
        <v>9.94</v>
      </c>
      <c r="C766" s="3">
        <f t="shared" si="87"/>
        <v>0.12999999999999901</v>
      </c>
      <c r="D766" s="3">
        <f t="shared" si="83"/>
        <v>0.12999999999999901</v>
      </c>
      <c r="E766" s="3">
        <f t="shared" si="84"/>
        <v>0</v>
      </c>
      <c r="F766" s="3">
        <f t="shared" si="82"/>
        <v>0.33452847381553513</v>
      </c>
      <c r="G766" s="3">
        <f t="shared" si="82"/>
        <v>0.34802027786790546</v>
      </c>
      <c r="H766" s="3">
        <f t="shared" si="85"/>
        <v>0.96123270708527142</v>
      </c>
      <c r="I766" s="3">
        <f t="shared" si="86"/>
        <v>49.011660044861699</v>
      </c>
    </row>
    <row r="767" spans="1:9" ht="15.75" customHeight="1">
      <c r="A767" s="14">
        <v>12601</v>
      </c>
      <c r="B767">
        <v>9.4700000000000006</v>
      </c>
      <c r="C767" s="3">
        <f t="shared" si="87"/>
        <v>-0.46999999999999886</v>
      </c>
      <c r="D767" s="3">
        <f t="shared" si="83"/>
        <v>0</v>
      </c>
      <c r="E767" s="3">
        <f t="shared" si="84"/>
        <v>0.46999999999999886</v>
      </c>
      <c r="F767" s="3">
        <f t="shared" si="82"/>
        <v>0.31063358282871117</v>
      </c>
      <c r="G767" s="3">
        <f t="shared" si="82"/>
        <v>0.35673311516305495</v>
      </c>
      <c r="H767" s="3">
        <f t="shared" si="85"/>
        <v>0.87077305028642304</v>
      </c>
      <c r="I767" s="3">
        <f t="shared" si="86"/>
        <v>46.546161767356232</v>
      </c>
    </row>
    <row r="768" spans="1:9" ht="15.75" customHeight="1">
      <c r="A768" s="14">
        <v>12632</v>
      </c>
      <c r="B768">
        <v>9.1</v>
      </c>
      <c r="C768" s="3">
        <f t="shared" si="87"/>
        <v>-0.37000000000000099</v>
      </c>
      <c r="D768" s="3">
        <f t="shared" si="83"/>
        <v>0</v>
      </c>
      <c r="E768" s="3">
        <f t="shared" si="84"/>
        <v>0.37000000000000099</v>
      </c>
      <c r="F768" s="3">
        <f t="shared" si="82"/>
        <v>0.28844546976951752</v>
      </c>
      <c r="G768" s="3">
        <f t="shared" si="82"/>
        <v>0.3576807497942654</v>
      </c>
      <c r="H768" s="3">
        <f t="shared" si="85"/>
        <v>0.80643274745825333</v>
      </c>
      <c r="I768" s="3">
        <f t="shared" si="86"/>
        <v>44.642279021621313</v>
      </c>
    </row>
    <row r="769" spans="1:9" ht="15.75" customHeight="1">
      <c r="A769" s="14">
        <v>12663</v>
      </c>
      <c r="B769">
        <v>8.8800000000000008</v>
      </c>
      <c r="C769" s="3">
        <f t="shared" si="87"/>
        <v>-0.21999999999999886</v>
      </c>
      <c r="D769" s="3">
        <f t="shared" si="83"/>
        <v>0</v>
      </c>
      <c r="E769" s="3">
        <f t="shared" si="84"/>
        <v>0.21999999999999886</v>
      </c>
      <c r="F769" s="3">
        <f t="shared" si="82"/>
        <v>0.26784222192883772</v>
      </c>
      <c r="G769" s="3">
        <f t="shared" si="82"/>
        <v>0.34784641052324633</v>
      </c>
      <c r="H769" s="3">
        <f t="shared" si="85"/>
        <v>0.77000139666796419</v>
      </c>
      <c r="I769" s="3">
        <f t="shared" si="86"/>
        <v>43.50286943939679</v>
      </c>
    </row>
    <row r="770" spans="1:9" ht="15.75" customHeight="1">
      <c r="A770" s="14">
        <v>12693</v>
      </c>
      <c r="B770">
        <v>8.9499999999999993</v>
      </c>
      <c r="C770" s="3">
        <f t="shared" si="87"/>
        <v>6.9999999999998508E-2</v>
      </c>
      <c r="D770" s="3">
        <f t="shared" si="83"/>
        <v>6.9999999999998508E-2</v>
      </c>
      <c r="E770" s="3">
        <f t="shared" si="84"/>
        <v>0</v>
      </c>
      <c r="F770" s="3">
        <f t="shared" si="82"/>
        <v>0.25371063464820637</v>
      </c>
      <c r="G770" s="3">
        <f t="shared" si="82"/>
        <v>0.32300023834301445</v>
      </c>
      <c r="H770" s="3">
        <f t="shared" si="85"/>
        <v>0.78548126140629948</v>
      </c>
      <c r="I770" s="3">
        <f t="shared" si="86"/>
        <v>43.992691403976458</v>
      </c>
    </row>
    <row r="771" spans="1:9" ht="15.75" customHeight="1">
      <c r="A771" s="14">
        <v>12724</v>
      </c>
      <c r="B771">
        <v>9.1999999999999993</v>
      </c>
      <c r="C771" s="3">
        <f t="shared" si="87"/>
        <v>0.25</v>
      </c>
      <c r="D771" s="3">
        <f t="shared" si="83"/>
        <v>0.25</v>
      </c>
      <c r="E771" s="3">
        <f t="shared" si="84"/>
        <v>0</v>
      </c>
      <c r="F771" s="3">
        <f t="shared" si="82"/>
        <v>0.25344558931619166</v>
      </c>
      <c r="G771" s="3">
        <f t="shared" si="82"/>
        <v>0.29992879274708484</v>
      </c>
      <c r="H771" s="3">
        <f t="shared" si="85"/>
        <v>0.84501920270759012</v>
      </c>
      <c r="I771" s="3">
        <f t="shared" si="86"/>
        <v>45.800022106410232</v>
      </c>
    </row>
    <row r="772" spans="1:9" ht="15.75" customHeight="1">
      <c r="A772" s="14">
        <v>12754</v>
      </c>
      <c r="B772">
        <v>9.26</v>
      </c>
      <c r="C772" s="3">
        <f t="shared" si="87"/>
        <v>6.0000000000000497E-2</v>
      </c>
      <c r="D772" s="3">
        <f t="shared" si="83"/>
        <v>6.0000000000000497E-2</v>
      </c>
      <c r="E772" s="3">
        <f t="shared" si="84"/>
        <v>0</v>
      </c>
      <c r="F772" s="3">
        <f t="shared" si="82"/>
        <v>0.23962804722217798</v>
      </c>
      <c r="G772" s="3">
        <f t="shared" si="82"/>
        <v>0.2785053075508645</v>
      </c>
      <c r="H772" s="3">
        <f t="shared" si="85"/>
        <v>0.86040747061315437</v>
      </c>
      <c r="I772" s="3">
        <f t="shared" si="86"/>
        <v>46.248334529079301</v>
      </c>
    </row>
    <row r="773" spans="1:9" ht="15.75" customHeight="1">
      <c r="A773" s="14">
        <v>12785</v>
      </c>
      <c r="B773">
        <v>9.26</v>
      </c>
      <c r="C773" s="3">
        <f t="shared" si="87"/>
        <v>0</v>
      </c>
      <c r="D773" s="3">
        <f t="shared" si="83"/>
        <v>0</v>
      </c>
      <c r="E773" s="3">
        <f t="shared" si="84"/>
        <v>0</v>
      </c>
      <c r="F773" s="3">
        <f t="shared" si="82"/>
        <v>0.22251175813487953</v>
      </c>
      <c r="G773" s="3">
        <f t="shared" si="82"/>
        <v>0.25861207129723135</v>
      </c>
      <c r="H773" s="3">
        <f t="shared" si="85"/>
        <v>0.86040747061315426</v>
      </c>
      <c r="I773" s="3">
        <f t="shared" si="86"/>
        <v>46.248334529079294</v>
      </c>
    </row>
    <row r="774" spans="1:9" ht="15.75" customHeight="1">
      <c r="A774" s="14">
        <v>12816</v>
      </c>
      <c r="B774">
        <v>8.98</v>
      </c>
      <c r="C774" s="3">
        <f t="shared" si="87"/>
        <v>-0.27999999999999936</v>
      </c>
      <c r="D774" s="3">
        <f t="shared" si="83"/>
        <v>0</v>
      </c>
      <c r="E774" s="3">
        <f t="shared" si="84"/>
        <v>0.27999999999999936</v>
      </c>
      <c r="F774" s="3">
        <f t="shared" si="82"/>
        <v>0.20661806112524528</v>
      </c>
      <c r="G774" s="3">
        <f t="shared" si="82"/>
        <v>0.26013978049028619</v>
      </c>
      <c r="H774" s="3">
        <f t="shared" si="85"/>
        <v>0.79425784374781749</v>
      </c>
      <c r="I774" s="3">
        <f t="shared" si="86"/>
        <v>44.266650220616242</v>
      </c>
    </row>
    <row r="775" spans="1:9" ht="15.75" customHeight="1">
      <c r="A775" s="14">
        <v>12844</v>
      </c>
      <c r="B775">
        <v>8.41</v>
      </c>
      <c r="C775" s="3">
        <f t="shared" si="87"/>
        <v>-0.57000000000000028</v>
      </c>
      <c r="D775" s="3">
        <f t="shared" si="83"/>
        <v>0</v>
      </c>
      <c r="E775" s="3">
        <f t="shared" si="84"/>
        <v>0.57000000000000028</v>
      </c>
      <c r="F775" s="3">
        <f t="shared" si="82"/>
        <v>0.19185962818772775</v>
      </c>
      <c r="G775" s="3">
        <f t="shared" si="82"/>
        <v>0.28227265331240864</v>
      </c>
      <c r="H775" s="3">
        <f t="shared" si="85"/>
        <v>0.67969612336262986</v>
      </c>
      <c r="I775" s="3">
        <f t="shared" si="86"/>
        <v>40.465421924170869</v>
      </c>
    </row>
    <row r="776" spans="1:9" ht="15.75" customHeight="1">
      <c r="A776" s="14">
        <v>12875</v>
      </c>
      <c r="B776">
        <v>9.0399999999999991</v>
      </c>
      <c r="C776" s="3">
        <f t="shared" si="87"/>
        <v>0.62999999999999901</v>
      </c>
      <c r="D776" s="3">
        <f t="shared" si="83"/>
        <v>0.62999999999999901</v>
      </c>
      <c r="E776" s="3">
        <f t="shared" si="84"/>
        <v>0</v>
      </c>
      <c r="F776" s="3">
        <f t="shared" si="82"/>
        <v>0.22315536903146141</v>
      </c>
      <c r="G776" s="3">
        <f t="shared" si="82"/>
        <v>0.26211032093295089</v>
      </c>
      <c r="H776" s="3">
        <f t="shared" si="85"/>
        <v>0.85137955742134108</v>
      </c>
      <c r="I776" s="3">
        <f t="shared" si="86"/>
        <v>45.986224381086338</v>
      </c>
    </row>
    <row r="777" spans="1:9" ht="15.75" customHeight="1">
      <c r="A777" s="14">
        <v>12905</v>
      </c>
      <c r="B777">
        <v>9.75</v>
      </c>
      <c r="C777" s="3">
        <f t="shared" si="87"/>
        <v>0.71000000000000085</v>
      </c>
      <c r="D777" s="3">
        <f t="shared" si="83"/>
        <v>0.71000000000000085</v>
      </c>
      <c r="E777" s="3">
        <f t="shared" si="84"/>
        <v>0</v>
      </c>
      <c r="F777" s="3">
        <f t="shared" si="82"/>
        <v>0.2579299855292142</v>
      </c>
      <c r="G777" s="3">
        <f t="shared" si="82"/>
        <v>0.24338815515202583</v>
      </c>
      <c r="H777" s="3">
        <f t="shared" si="85"/>
        <v>1.0597474859370424</v>
      </c>
      <c r="I777" s="3">
        <f t="shared" si="86"/>
        <v>51.450359482047418</v>
      </c>
    </row>
    <row r="778" spans="1:9" ht="15.75" customHeight="1">
      <c r="A778" s="14">
        <v>12936</v>
      </c>
      <c r="B778">
        <v>10.119999999999999</v>
      </c>
      <c r="C778" s="3">
        <f t="shared" si="87"/>
        <v>0.36999999999999922</v>
      </c>
      <c r="D778" s="3">
        <f t="shared" si="83"/>
        <v>0.36999999999999922</v>
      </c>
      <c r="E778" s="3">
        <f t="shared" si="84"/>
        <v>0</v>
      </c>
      <c r="F778" s="3">
        <f t="shared" si="82"/>
        <v>0.2659349865628417</v>
      </c>
      <c r="G778" s="3">
        <f t="shared" si="82"/>
        <v>0.22600328692688113</v>
      </c>
      <c r="H778" s="3">
        <f t="shared" si="85"/>
        <v>1.1766863667291692</v>
      </c>
      <c r="I778" s="3">
        <f t="shared" si="86"/>
        <v>54.0586087511236</v>
      </c>
    </row>
    <row r="779" spans="1:9" ht="15.75" customHeight="1">
      <c r="A779" s="14">
        <v>12966</v>
      </c>
      <c r="B779">
        <v>10.65</v>
      </c>
      <c r="C779" s="3">
        <f t="shared" si="87"/>
        <v>0.53000000000000114</v>
      </c>
      <c r="D779" s="3">
        <f t="shared" si="83"/>
        <v>0.53000000000000114</v>
      </c>
      <c r="E779" s="3">
        <f t="shared" si="84"/>
        <v>0</v>
      </c>
      <c r="F779" s="3">
        <f t="shared" si="82"/>
        <v>0.28479677323692448</v>
      </c>
      <c r="G779" s="3">
        <f t="shared" si="82"/>
        <v>0.20986019500353245</v>
      </c>
      <c r="H779" s="3">
        <f t="shared" si="85"/>
        <v>1.3570785695311618</v>
      </c>
      <c r="I779" s="3">
        <f t="shared" si="86"/>
        <v>57.574600485256354</v>
      </c>
    </row>
    <row r="780" spans="1:9" ht="15.75" customHeight="1">
      <c r="A780" s="14">
        <v>12997</v>
      </c>
      <c r="B780">
        <v>11.37</v>
      </c>
      <c r="C780" s="3">
        <f t="shared" si="87"/>
        <v>0.71999999999999886</v>
      </c>
      <c r="D780" s="3">
        <f t="shared" si="83"/>
        <v>0.71999999999999886</v>
      </c>
      <c r="E780" s="3">
        <f t="shared" si="84"/>
        <v>0</v>
      </c>
      <c r="F780" s="3">
        <f t="shared" si="82"/>
        <v>0.31588271800571555</v>
      </c>
      <c r="G780" s="3">
        <f t="shared" si="82"/>
        <v>0.19487018107470869</v>
      </c>
      <c r="H780" s="3">
        <f t="shared" si="85"/>
        <v>1.6209905295085321</v>
      </c>
      <c r="I780" s="3">
        <f t="shared" si="86"/>
        <v>61.846485565611246</v>
      </c>
    </row>
    <row r="781" spans="1:9" ht="15.75" customHeight="1">
      <c r="A781" s="14">
        <v>13028</v>
      </c>
      <c r="B781">
        <v>11.61</v>
      </c>
      <c r="C781" s="3">
        <f t="shared" si="87"/>
        <v>0.24000000000000021</v>
      </c>
      <c r="D781" s="3">
        <f t="shared" si="83"/>
        <v>0.24000000000000021</v>
      </c>
      <c r="E781" s="3">
        <f t="shared" si="84"/>
        <v>0</v>
      </c>
      <c r="F781" s="3">
        <f t="shared" si="82"/>
        <v>0.31046252386245016</v>
      </c>
      <c r="G781" s="3">
        <f t="shared" si="82"/>
        <v>0.18095088242651519</v>
      </c>
      <c r="H781" s="3">
        <f t="shared" si="85"/>
        <v>1.7157281561670754</v>
      </c>
      <c r="I781" s="3">
        <f t="shared" si="86"/>
        <v>63.177463188680115</v>
      </c>
    </row>
    <row r="782" spans="1:9" ht="15.75" customHeight="1">
      <c r="A782" s="14">
        <v>13058</v>
      </c>
      <c r="B782">
        <v>11.92</v>
      </c>
      <c r="C782" s="3">
        <f t="shared" si="87"/>
        <v>0.3100000000000005</v>
      </c>
      <c r="D782" s="3">
        <f t="shared" si="83"/>
        <v>0.3100000000000005</v>
      </c>
      <c r="E782" s="3">
        <f t="shared" si="84"/>
        <v>0</v>
      </c>
      <c r="F782" s="3">
        <f t="shared" si="82"/>
        <v>0.31042948644370372</v>
      </c>
      <c r="G782" s="3">
        <f t="shared" si="82"/>
        <v>0.16802581939604982</v>
      </c>
      <c r="H782" s="3">
        <f t="shared" si="85"/>
        <v>1.8475106240190233</v>
      </c>
      <c r="I782" s="3">
        <f t="shared" si="86"/>
        <v>64.881606004736042</v>
      </c>
    </row>
    <row r="783" spans="1:9" ht="15.75" customHeight="1">
      <c r="A783" s="14">
        <v>13089</v>
      </c>
      <c r="B783">
        <v>13.04</v>
      </c>
      <c r="C783" s="3">
        <f t="shared" si="87"/>
        <v>1.1199999999999992</v>
      </c>
      <c r="D783" s="3">
        <f t="shared" si="83"/>
        <v>1.1199999999999992</v>
      </c>
      <c r="E783" s="3">
        <f t="shared" si="84"/>
        <v>0</v>
      </c>
      <c r="F783" s="3">
        <f t="shared" si="82"/>
        <v>0.36825595169772479</v>
      </c>
      <c r="G783" s="3">
        <f t="shared" si="82"/>
        <v>0.15602397515347485</v>
      </c>
      <c r="H783" s="3">
        <f t="shared" si="85"/>
        <v>2.3602523351650628</v>
      </c>
      <c r="I783" s="3">
        <f t="shared" si="86"/>
        <v>70.240330181903502</v>
      </c>
    </row>
    <row r="784" spans="1:9" ht="15.75" customHeight="1">
      <c r="A784" s="14">
        <v>13119</v>
      </c>
      <c r="B784">
        <v>13.04</v>
      </c>
      <c r="C784" s="3">
        <f t="shared" si="87"/>
        <v>0</v>
      </c>
      <c r="D784" s="3">
        <f t="shared" si="83"/>
        <v>0</v>
      </c>
      <c r="E784" s="3">
        <f t="shared" si="84"/>
        <v>0</v>
      </c>
      <c r="F784" s="3">
        <f t="shared" si="82"/>
        <v>0.34195195514788729</v>
      </c>
      <c r="G784" s="3">
        <f t="shared" si="82"/>
        <v>0.14487940549965522</v>
      </c>
      <c r="H784" s="3">
        <f t="shared" si="85"/>
        <v>2.3602523351650628</v>
      </c>
      <c r="I784" s="3">
        <f t="shared" si="86"/>
        <v>70.240330181903502</v>
      </c>
    </row>
    <row r="785" spans="1:9" ht="15.75" customHeight="1">
      <c r="A785" s="14">
        <v>13150</v>
      </c>
      <c r="B785">
        <v>13.76</v>
      </c>
      <c r="C785" s="3">
        <f t="shared" si="87"/>
        <v>0.72000000000000064</v>
      </c>
      <c r="D785" s="3">
        <f t="shared" si="83"/>
        <v>0.72000000000000064</v>
      </c>
      <c r="E785" s="3">
        <f t="shared" si="84"/>
        <v>0</v>
      </c>
      <c r="F785" s="3">
        <f t="shared" si="82"/>
        <v>0.36895538692303825</v>
      </c>
      <c r="G785" s="3">
        <f t="shared" si="82"/>
        <v>0.13453087653539414</v>
      </c>
      <c r="H785" s="3">
        <f t="shared" si="85"/>
        <v>2.7425331375579689</v>
      </c>
      <c r="I785" s="3">
        <f t="shared" si="86"/>
        <v>73.280129707749026</v>
      </c>
    </row>
    <row r="786" spans="1:9" ht="15.75" customHeight="1">
      <c r="A786" s="14">
        <v>13181</v>
      </c>
      <c r="B786">
        <v>14.55</v>
      </c>
      <c r="C786" s="3">
        <f t="shared" si="87"/>
        <v>0.79000000000000092</v>
      </c>
      <c r="D786" s="3">
        <f t="shared" si="83"/>
        <v>0.79000000000000092</v>
      </c>
      <c r="E786" s="3">
        <f t="shared" si="84"/>
        <v>0</v>
      </c>
      <c r="F786" s="3">
        <f t="shared" ref="F786:G849" si="88">((F785*13)+D786)/14</f>
        <v>0.39903000214282131</v>
      </c>
      <c r="G786" s="3">
        <f t="shared" si="88"/>
        <v>0.12492152821143741</v>
      </c>
      <c r="H786" s="3">
        <f t="shared" si="85"/>
        <v>3.1942452822658263</v>
      </c>
      <c r="I786" s="3">
        <f t="shared" si="86"/>
        <v>76.157808313495266</v>
      </c>
    </row>
    <row r="787" spans="1:9" ht="15.75" customHeight="1">
      <c r="A787" s="14">
        <v>13210</v>
      </c>
      <c r="B787">
        <v>14.86</v>
      </c>
      <c r="C787" s="3">
        <f t="shared" si="87"/>
        <v>0.30999999999999872</v>
      </c>
      <c r="D787" s="3">
        <f t="shared" si="83"/>
        <v>0.30999999999999872</v>
      </c>
      <c r="E787" s="3">
        <f t="shared" si="84"/>
        <v>0</v>
      </c>
      <c r="F787" s="3">
        <f t="shared" si="88"/>
        <v>0.39267071627547684</v>
      </c>
      <c r="G787" s="3">
        <f t="shared" si="88"/>
        <v>0.11599856191062045</v>
      </c>
      <c r="H787" s="3">
        <f t="shared" si="85"/>
        <v>3.3851343482864782</v>
      </c>
      <c r="I787" s="3">
        <f t="shared" si="86"/>
        <v>77.195681578359</v>
      </c>
    </row>
    <row r="788" spans="1:9" ht="15.75" customHeight="1">
      <c r="A788" s="14">
        <v>13241</v>
      </c>
      <c r="B788">
        <v>14.88</v>
      </c>
      <c r="C788" s="3">
        <f t="shared" si="87"/>
        <v>2.000000000000135E-2</v>
      </c>
      <c r="D788" s="3">
        <f t="shared" si="83"/>
        <v>2.000000000000135E-2</v>
      </c>
      <c r="E788" s="3">
        <f t="shared" si="84"/>
        <v>0</v>
      </c>
      <c r="F788" s="3">
        <f t="shared" si="88"/>
        <v>0.36605137939865717</v>
      </c>
      <c r="G788" s="3">
        <f t="shared" si="88"/>
        <v>0.10771295034557614</v>
      </c>
      <c r="H788" s="3">
        <f t="shared" si="85"/>
        <v>3.3983971121787326</v>
      </c>
      <c r="I788" s="3">
        <f t="shared" si="86"/>
        <v>77.264444876268726</v>
      </c>
    </row>
    <row r="789" spans="1:9" ht="15.75" customHeight="1">
      <c r="A789" s="14">
        <v>13271</v>
      </c>
      <c r="B789">
        <v>14.09</v>
      </c>
      <c r="C789" s="3">
        <f t="shared" si="87"/>
        <v>-0.79000000000000092</v>
      </c>
      <c r="D789" s="3">
        <f t="shared" si="83"/>
        <v>0</v>
      </c>
      <c r="E789" s="3">
        <f t="shared" si="84"/>
        <v>0.79000000000000092</v>
      </c>
      <c r="F789" s="3">
        <f t="shared" si="88"/>
        <v>0.33990485229875311</v>
      </c>
      <c r="G789" s="3">
        <f t="shared" si="88"/>
        <v>0.15644773960660649</v>
      </c>
      <c r="H789" s="3">
        <f t="shared" si="85"/>
        <v>2.1726415041435319</v>
      </c>
      <c r="I789" s="3">
        <f t="shared" si="86"/>
        <v>68.480523289694702</v>
      </c>
    </row>
    <row r="790" spans="1:9" ht="15.75" customHeight="1">
      <c r="A790" s="14">
        <v>13302</v>
      </c>
      <c r="B790">
        <v>14.69</v>
      </c>
      <c r="C790" s="3">
        <f t="shared" si="87"/>
        <v>0.59999999999999964</v>
      </c>
      <c r="D790" s="3">
        <f t="shared" si="83"/>
        <v>0.59999999999999964</v>
      </c>
      <c r="E790" s="3">
        <f t="shared" si="84"/>
        <v>0</v>
      </c>
      <c r="F790" s="3">
        <f t="shared" si="88"/>
        <v>0.35848307713455646</v>
      </c>
      <c r="G790" s="3">
        <f t="shared" si="88"/>
        <v>0.14527290106327745</v>
      </c>
      <c r="H790" s="3">
        <f t="shared" si="85"/>
        <v>2.4676527728898985</v>
      </c>
      <c r="I790" s="3">
        <f t="shared" si="86"/>
        <v>71.162049216173031</v>
      </c>
    </row>
    <row r="791" spans="1:9" ht="15.75" customHeight="1">
      <c r="A791" s="14">
        <v>13332</v>
      </c>
      <c r="B791">
        <v>15.56</v>
      </c>
      <c r="C791" s="3">
        <f t="shared" si="87"/>
        <v>0.87000000000000099</v>
      </c>
      <c r="D791" s="3">
        <f t="shared" si="83"/>
        <v>0.87000000000000099</v>
      </c>
      <c r="E791" s="3">
        <f t="shared" si="84"/>
        <v>0</v>
      </c>
      <c r="F791" s="3">
        <f t="shared" si="88"/>
        <v>0.3950200001963739</v>
      </c>
      <c r="G791" s="3">
        <f t="shared" si="88"/>
        <v>0.13489626527304335</v>
      </c>
      <c r="H791" s="3">
        <f t="shared" si="85"/>
        <v>2.9283242156246092</v>
      </c>
      <c r="I791" s="3">
        <f t="shared" si="86"/>
        <v>74.543852668204508</v>
      </c>
    </row>
    <row r="792" spans="1:9" ht="15.75" customHeight="1">
      <c r="A792" s="14">
        <v>13363</v>
      </c>
      <c r="B792">
        <v>15.87</v>
      </c>
      <c r="C792" s="3">
        <f t="shared" si="87"/>
        <v>0.30999999999999872</v>
      </c>
      <c r="D792" s="3">
        <f t="shared" si="83"/>
        <v>0.30999999999999872</v>
      </c>
      <c r="E792" s="3">
        <f t="shared" si="84"/>
        <v>0</v>
      </c>
      <c r="F792" s="3">
        <f t="shared" si="88"/>
        <v>0.38894714303948996</v>
      </c>
      <c r="G792" s="3">
        <f t="shared" si="88"/>
        <v>0.12526081775354025</v>
      </c>
      <c r="H792" s="3">
        <f t="shared" si="85"/>
        <v>3.1050982263645417</v>
      </c>
      <c r="I792" s="3">
        <f t="shared" si="86"/>
        <v>75.640046964586375</v>
      </c>
    </row>
    <row r="793" spans="1:9" ht="15.75" customHeight="1">
      <c r="A793" s="14">
        <v>13394</v>
      </c>
      <c r="B793">
        <v>16.05</v>
      </c>
      <c r="C793" s="3">
        <f t="shared" si="87"/>
        <v>0.18000000000000149</v>
      </c>
      <c r="D793" s="3">
        <f t="shared" si="83"/>
        <v>0.18000000000000149</v>
      </c>
      <c r="E793" s="3">
        <f t="shared" si="84"/>
        <v>0</v>
      </c>
      <c r="F793" s="3">
        <f t="shared" si="88"/>
        <v>0.3740223471080979</v>
      </c>
      <c r="G793" s="3">
        <f t="shared" si="88"/>
        <v>0.11631361648543025</v>
      </c>
      <c r="H793" s="3">
        <f t="shared" si="85"/>
        <v>3.2156368137254931</v>
      </c>
      <c r="I793" s="3">
        <f t="shared" si="86"/>
        <v>76.278791456983498</v>
      </c>
    </row>
    <row r="794" spans="1:9" ht="15.75" customHeight="1">
      <c r="A794" s="14">
        <v>13424</v>
      </c>
      <c r="B794">
        <v>16.89</v>
      </c>
      <c r="C794" s="3">
        <f t="shared" si="87"/>
        <v>0.83999999999999986</v>
      </c>
      <c r="D794" s="3">
        <f t="shared" si="83"/>
        <v>0.83999999999999986</v>
      </c>
      <c r="E794" s="3">
        <f t="shared" si="84"/>
        <v>0</v>
      </c>
      <c r="F794" s="3">
        <f t="shared" si="88"/>
        <v>0.40730646517180519</v>
      </c>
      <c r="G794" s="3">
        <f t="shared" si="88"/>
        <v>0.10800550102218523</v>
      </c>
      <c r="H794" s="3">
        <f t="shared" si="85"/>
        <v>3.7711640732830918</v>
      </c>
      <c r="I794" s="3">
        <f t="shared" si="86"/>
        <v>79.040754318224714</v>
      </c>
    </row>
    <row r="795" spans="1:9" ht="15.75" customHeight="1">
      <c r="A795" s="14">
        <v>13455</v>
      </c>
      <c r="B795">
        <v>17.36</v>
      </c>
      <c r="C795" s="3">
        <f t="shared" si="87"/>
        <v>0.46999999999999886</v>
      </c>
      <c r="D795" s="3">
        <f t="shared" si="83"/>
        <v>0.46999999999999886</v>
      </c>
      <c r="E795" s="3">
        <f t="shared" si="84"/>
        <v>0</v>
      </c>
      <c r="F795" s="3">
        <f t="shared" si="88"/>
        <v>0.41178457480239045</v>
      </c>
      <c r="G795" s="3">
        <f t="shared" si="88"/>
        <v>0.10029082237774344</v>
      </c>
      <c r="H795" s="3">
        <f t="shared" si="85"/>
        <v>4.1059048578883104</v>
      </c>
      <c r="I795" s="3">
        <f t="shared" si="86"/>
        <v>80.414832868359042</v>
      </c>
    </row>
    <row r="796" spans="1:9" ht="15.75" customHeight="1">
      <c r="A796" s="14">
        <v>13485</v>
      </c>
      <c r="B796">
        <v>17.059999999999999</v>
      </c>
      <c r="C796" s="3">
        <f t="shared" si="87"/>
        <v>-0.30000000000000071</v>
      </c>
      <c r="D796" s="3">
        <f t="shared" si="83"/>
        <v>0</v>
      </c>
      <c r="E796" s="3">
        <f t="shared" si="84"/>
        <v>0.30000000000000071</v>
      </c>
      <c r="F796" s="3">
        <f t="shared" si="88"/>
        <v>0.38237139088793398</v>
      </c>
      <c r="G796" s="3">
        <f t="shared" si="88"/>
        <v>0.1145557636364761</v>
      </c>
      <c r="H796" s="3">
        <f t="shared" si="85"/>
        <v>3.3378625286923738</v>
      </c>
      <c r="I796" s="3">
        <f t="shared" si="86"/>
        <v>76.947171714511555</v>
      </c>
    </row>
    <row r="797" spans="1:9" ht="15.75" customHeight="1">
      <c r="A797" s="14">
        <v>13516</v>
      </c>
      <c r="B797">
        <v>17.59</v>
      </c>
      <c r="C797" s="3">
        <f t="shared" si="87"/>
        <v>0.53000000000000114</v>
      </c>
      <c r="D797" s="3">
        <f t="shared" si="83"/>
        <v>0.53000000000000114</v>
      </c>
      <c r="E797" s="3">
        <f t="shared" si="84"/>
        <v>0</v>
      </c>
      <c r="F797" s="3">
        <f t="shared" si="88"/>
        <v>0.39291629153879593</v>
      </c>
      <c r="G797" s="3">
        <f t="shared" si="88"/>
        <v>0.10637320909101353</v>
      </c>
      <c r="H797" s="3">
        <f t="shared" si="85"/>
        <v>3.6937523545295554</v>
      </c>
      <c r="I797" s="3">
        <f t="shared" si="86"/>
        <v>78.69508392288779</v>
      </c>
    </row>
    <row r="798" spans="1:9" ht="15.75" customHeight="1">
      <c r="A798" s="14">
        <v>13547</v>
      </c>
      <c r="B798">
        <v>18.11</v>
      </c>
      <c r="C798" s="3">
        <f t="shared" si="87"/>
        <v>0.51999999999999957</v>
      </c>
      <c r="D798" s="3">
        <f t="shared" si="83"/>
        <v>0.51999999999999957</v>
      </c>
      <c r="E798" s="3">
        <f t="shared" si="84"/>
        <v>0</v>
      </c>
      <c r="F798" s="3">
        <f t="shared" si="88"/>
        <v>0.40199369928602474</v>
      </c>
      <c r="G798" s="3">
        <f t="shared" si="88"/>
        <v>9.8775122727369699E-2</v>
      </c>
      <c r="H798" s="3">
        <f t="shared" si="85"/>
        <v>4.0697868874895953</v>
      </c>
      <c r="I798" s="3">
        <f t="shared" si="86"/>
        <v>80.275305013951595</v>
      </c>
    </row>
    <row r="799" spans="1:9" ht="15.75" customHeight="1">
      <c r="A799" s="14">
        <v>13575</v>
      </c>
      <c r="B799">
        <v>18.09</v>
      </c>
      <c r="C799" s="3">
        <f t="shared" si="87"/>
        <v>-1.9999999999999574E-2</v>
      </c>
      <c r="D799" s="3">
        <f t="shared" si="83"/>
        <v>0</v>
      </c>
      <c r="E799" s="3">
        <f t="shared" si="84"/>
        <v>1.9999999999999574E-2</v>
      </c>
      <c r="F799" s="3">
        <f t="shared" si="88"/>
        <v>0.3732798636227373</v>
      </c>
      <c r="G799" s="3">
        <f t="shared" si="88"/>
        <v>9.3148328246843257E-2</v>
      </c>
      <c r="H799" s="3">
        <f t="shared" si="85"/>
        <v>4.0073705094689931</v>
      </c>
      <c r="I799" s="3">
        <f t="shared" si="86"/>
        <v>80.029438642317587</v>
      </c>
    </row>
    <row r="800" spans="1:9" ht="15.75" customHeight="1">
      <c r="A800" s="14">
        <v>13606</v>
      </c>
      <c r="B800">
        <v>17.010000000000002</v>
      </c>
      <c r="C800" s="3">
        <f t="shared" si="87"/>
        <v>-1.0799999999999983</v>
      </c>
      <c r="D800" s="3">
        <f t="shared" si="83"/>
        <v>0</v>
      </c>
      <c r="E800" s="3">
        <f t="shared" si="84"/>
        <v>1.0799999999999983</v>
      </c>
      <c r="F800" s="3">
        <f t="shared" si="88"/>
        <v>0.34661701622111318</v>
      </c>
      <c r="G800" s="3">
        <f t="shared" si="88"/>
        <v>0.16363773337206863</v>
      </c>
      <c r="H800" s="3">
        <f t="shared" si="85"/>
        <v>2.1181973685311224</v>
      </c>
      <c r="I800" s="3">
        <f t="shared" si="86"/>
        <v>67.930189086425074</v>
      </c>
    </row>
    <row r="801" spans="1:9" ht="15.75" customHeight="1">
      <c r="A801" s="14">
        <v>13636</v>
      </c>
      <c r="B801">
        <v>16.25</v>
      </c>
      <c r="C801" s="3">
        <f t="shared" si="87"/>
        <v>-0.76000000000000156</v>
      </c>
      <c r="D801" s="3">
        <f t="shared" si="83"/>
        <v>0</v>
      </c>
      <c r="E801" s="3">
        <f t="shared" si="84"/>
        <v>0.76000000000000156</v>
      </c>
      <c r="F801" s="3">
        <f t="shared" si="88"/>
        <v>0.32185865791960511</v>
      </c>
      <c r="G801" s="3">
        <f t="shared" si="88"/>
        <v>0.20623503813120672</v>
      </c>
      <c r="H801" s="3">
        <f t="shared" si="85"/>
        <v>1.5606400388416959</v>
      </c>
      <c r="I801" s="3">
        <f t="shared" si="86"/>
        <v>60.947263776584954</v>
      </c>
    </row>
    <row r="802" spans="1:9" ht="15.75" customHeight="1">
      <c r="A802" s="14">
        <v>13667</v>
      </c>
      <c r="B802">
        <v>15.64</v>
      </c>
      <c r="C802" s="3">
        <f t="shared" si="87"/>
        <v>-0.60999999999999943</v>
      </c>
      <c r="D802" s="3">
        <f t="shared" si="83"/>
        <v>0</v>
      </c>
      <c r="E802" s="3">
        <f t="shared" si="84"/>
        <v>0.60999999999999943</v>
      </c>
      <c r="F802" s="3">
        <f t="shared" si="88"/>
        <v>0.29886875378249045</v>
      </c>
      <c r="G802" s="3">
        <f t="shared" si="88"/>
        <v>0.23507539255040619</v>
      </c>
      <c r="H802" s="3">
        <f t="shared" si="85"/>
        <v>1.2713740495760539</v>
      </c>
      <c r="I802" s="3">
        <f t="shared" si="86"/>
        <v>55.973785991494999</v>
      </c>
    </row>
    <row r="803" spans="1:9" ht="15.75" customHeight="1">
      <c r="A803" s="14">
        <v>13697</v>
      </c>
      <c r="B803">
        <v>16.57</v>
      </c>
      <c r="C803" s="3">
        <f t="shared" si="87"/>
        <v>0.92999999999999972</v>
      </c>
      <c r="D803" s="3">
        <f t="shared" si="83"/>
        <v>0.92999999999999972</v>
      </c>
      <c r="E803" s="3">
        <f t="shared" si="84"/>
        <v>0</v>
      </c>
      <c r="F803" s="3">
        <f t="shared" si="88"/>
        <v>0.34394955708374109</v>
      </c>
      <c r="G803" s="3">
        <f t="shared" si="88"/>
        <v>0.21828429308252001</v>
      </c>
      <c r="H803" s="3">
        <f t="shared" si="85"/>
        <v>1.5756954026633272</v>
      </c>
      <c r="I803" s="3">
        <f t="shared" si="86"/>
        <v>61.175533451433061</v>
      </c>
    </row>
    <row r="804" spans="1:9" ht="15.75" customHeight="1">
      <c r="A804" s="14">
        <v>13728</v>
      </c>
      <c r="B804">
        <v>16.739999999999998</v>
      </c>
      <c r="C804" s="3">
        <f t="shared" si="87"/>
        <v>0.16999999999999815</v>
      </c>
      <c r="D804" s="3">
        <f t="shared" si="83"/>
        <v>0.16999999999999815</v>
      </c>
      <c r="E804" s="3">
        <f t="shared" si="84"/>
        <v>0</v>
      </c>
      <c r="F804" s="3">
        <f t="shared" si="88"/>
        <v>0.33152458872061658</v>
      </c>
      <c r="G804" s="3">
        <f t="shared" si="88"/>
        <v>0.20269255786234</v>
      </c>
      <c r="H804" s="3">
        <f t="shared" si="85"/>
        <v>1.6356031628244274</v>
      </c>
      <c r="I804" s="3">
        <f t="shared" si="86"/>
        <v>62.058020945446266</v>
      </c>
    </row>
    <row r="805" spans="1:9" ht="15.75" customHeight="1">
      <c r="A805" s="14">
        <v>13759</v>
      </c>
      <c r="B805">
        <v>14.37</v>
      </c>
      <c r="C805" s="3">
        <f t="shared" si="87"/>
        <v>-2.3699999999999992</v>
      </c>
      <c r="D805" s="3">
        <f t="shared" si="83"/>
        <v>0</v>
      </c>
      <c r="E805" s="3">
        <f t="shared" si="84"/>
        <v>2.3699999999999992</v>
      </c>
      <c r="F805" s="3">
        <f t="shared" si="88"/>
        <v>0.30784426095485828</v>
      </c>
      <c r="G805" s="3">
        <f t="shared" si="88"/>
        <v>0.35750023230074424</v>
      </c>
      <c r="H805" s="3">
        <f t="shared" si="85"/>
        <v>0.86110226830814118</v>
      </c>
      <c r="I805" s="3">
        <f t="shared" si="86"/>
        <v>46.268401418420559</v>
      </c>
    </row>
    <row r="806" spans="1:9" ht="15.75" customHeight="1">
      <c r="A806" s="14">
        <v>13789</v>
      </c>
      <c r="B806">
        <v>12.28</v>
      </c>
      <c r="C806" s="3">
        <f t="shared" si="87"/>
        <v>-2.09</v>
      </c>
      <c r="D806" s="3">
        <f t="shared" ref="D806:D869" si="89">IF(C806&gt;0,C806,0)</f>
        <v>0</v>
      </c>
      <c r="E806" s="3">
        <f t="shared" ref="E806:E869" si="90">IF(C806&lt;0,-C806,0)</f>
        <v>2.09</v>
      </c>
      <c r="F806" s="3">
        <f t="shared" si="88"/>
        <v>0.28585538517236841</v>
      </c>
      <c r="G806" s="3">
        <f t="shared" si="88"/>
        <v>0.48125021570783394</v>
      </c>
      <c r="H806" s="3">
        <f t="shared" ref="H806:H869" si="91">F806/G806</f>
        <v>0.59398494970423177</v>
      </c>
      <c r="I806" s="3">
        <f t="shared" ref="I806:I869" si="92">IF(G806=0,100,100-(100/(1+H806)))</f>
        <v>37.264150443481121</v>
      </c>
    </row>
    <row r="807" spans="1:9" ht="15.75" customHeight="1">
      <c r="A807" s="14">
        <v>13820</v>
      </c>
      <c r="B807">
        <v>11.2</v>
      </c>
      <c r="C807" s="3">
        <f t="shared" si="87"/>
        <v>-1.08</v>
      </c>
      <c r="D807" s="3">
        <f t="shared" si="89"/>
        <v>0</v>
      </c>
      <c r="E807" s="3">
        <f t="shared" si="90"/>
        <v>1.08</v>
      </c>
      <c r="F807" s="3">
        <f t="shared" si="88"/>
        <v>0.2654371433743421</v>
      </c>
      <c r="G807" s="3">
        <f t="shared" si="88"/>
        <v>0.52401805744298868</v>
      </c>
      <c r="H807" s="3">
        <f t="shared" si="91"/>
        <v>0.50654197809437274</v>
      </c>
      <c r="I807" s="3">
        <f t="shared" si="92"/>
        <v>33.622825348358262</v>
      </c>
    </row>
    <row r="808" spans="1:9" ht="15.75" customHeight="1">
      <c r="A808" s="14">
        <v>13850</v>
      </c>
      <c r="B808">
        <v>11.02</v>
      </c>
      <c r="C808" s="3">
        <f t="shared" si="87"/>
        <v>-0.17999999999999972</v>
      </c>
      <c r="D808" s="3">
        <f t="shared" si="89"/>
        <v>0</v>
      </c>
      <c r="E808" s="3">
        <f t="shared" si="90"/>
        <v>0.17999999999999972</v>
      </c>
      <c r="F808" s="3">
        <f t="shared" si="88"/>
        <v>0.24647734741903196</v>
      </c>
      <c r="G808" s="3">
        <f t="shared" si="88"/>
        <v>0.4994453390542038</v>
      </c>
      <c r="H808" s="3">
        <f t="shared" si="91"/>
        <v>0.49350214757391553</v>
      </c>
      <c r="I808" s="3">
        <f t="shared" si="92"/>
        <v>33.04328342450485</v>
      </c>
    </row>
    <row r="809" spans="1:9" ht="15.75" customHeight="1">
      <c r="A809" s="14">
        <v>13881</v>
      </c>
      <c r="B809">
        <v>11.31</v>
      </c>
      <c r="C809" s="3">
        <f t="shared" si="87"/>
        <v>0.29000000000000092</v>
      </c>
      <c r="D809" s="3">
        <f t="shared" si="89"/>
        <v>0.29000000000000092</v>
      </c>
      <c r="E809" s="3">
        <f t="shared" si="90"/>
        <v>0</v>
      </c>
      <c r="F809" s="3">
        <f t="shared" si="88"/>
        <v>0.24958610831767261</v>
      </c>
      <c r="G809" s="3">
        <f t="shared" si="88"/>
        <v>0.46377067197890354</v>
      </c>
      <c r="H809" s="3">
        <f t="shared" si="91"/>
        <v>0.53816707997660107</v>
      </c>
      <c r="I809" s="3">
        <f t="shared" si="92"/>
        <v>34.987556747397534</v>
      </c>
    </row>
    <row r="810" spans="1:9" ht="15.75" customHeight="1">
      <c r="A810" s="14">
        <v>13912</v>
      </c>
      <c r="B810">
        <v>11.04</v>
      </c>
      <c r="C810" s="3">
        <f t="shared" si="87"/>
        <v>-0.27000000000000135</v>
      </c>
      <c r="D810" s="3">
        <f t="shared" si="89"/>
        <v>0</v>
      </c>
      <c r="E810" s="3">
        <f t="shared" si="90"/>
        <v>0.27000000000000135</v>
      </c>
      <c r="F810" s="3">
        <f t="shared" si="88"/>
        <v>0.23175852915212455</v>
      </c>
      <c r="G810" s="3">
        <f t="shared" si="88"/>
        <v>0.44992990969469621</v>
      </c>
      <c r="H810" s="3">
        <f t="shared" si="91"/>
        <v>0.51509918358036322</v>
      </c>
      <c r="I810" s="3">
        <f t="shared" si="92"/>
        <v>33.997720358024438</v>
      </c>
    </row>
    <row r="811" spans="1:9" ht="15.75" customHeight="1">
      <c r="A811" s="14">
        <v>13940</v>
      </c>
      <c r="B811">
        <v>10.31</v>
      </c>
      <c r="C811" s="3">
        <f t="shared" ref="C811:C874" si="93">B811-B810</f>
        <v>-0.72999999999999865</v>
      </c>
      <c r="D811" s="3">
        <f t="shared" si="89"/>
        <v>0</v>
      </c>
      <c r="E811" s="3">
        <f t="shared" si="90"/>
        <v>0.72999999999999865</v>
      </c>
      <c r="F811" s="3">
        <f t="shared" si="88"/>
        <v>0.21520434849840137</v>
      </c>
      <c r="G811" s="3">
        <f t="shared" si="88"/>
        <v>0.46993491614507493</v>
      </c>
      <c r="H811" s="3">
        <f t="shared" si="91"/>
        <v>0.45794500707405411</v>
      </c>
      <c r="I811" s="3">
        <f t="shared" si="92"/>
        <v>31.410307305973262</v>
      </c>
    </row>
    <row r="812" spans="1:9" ht="15.75" customHeight="1">
      <c r="A812" s="14">
        <v>13971</v>
      </c>
      <c r="B812">
        <v>9.89</v>
      </c>
      <c r="C812" s="3">
        <f t="shared" si="93"/>
        <v>-0.41999999999999993</v>
      </c>
      <c r="D812" s="3">
        <f t="shared" si="89"/>
        <v>0</v>
      </c>
      <c r="E812" s="3">
        <f t="shared" si="90"/>
        <v>0.41999999999999993</v>
      </c>
      <c r="F812" s="3">
        <f t="shared" si="88"/>
        <v>0.19983260931994412</v>
      </c>
      <c r="G812" s="3">
        <f t="shared" si="88"/>
        <v>0.46636813642042668</v>
      </c>
      <c r="H812" s="3">
        <f t="shared" si="91"/>
        <v>0.42848684057565378</v>
      </c>
      <c r="I812" s="3">
        <f t="shared" si="92"/>
        <v>29.995854942771587</v>
      </c>
    </row>
    <row r="813" spans="1:9" ht="15.75" customHeight="1">
      <c r="A813" s="14">
        <v>14001</v>
      </c>
      <c r="B813">
        <v>9.98</v>
      </c>
      <c r="C813" s="3">
        <f t="shared" si="93"/>
        <v>8.9999999999999858E-2</v>
      </c>
      <c r="D813" s="3">
        <f t="shared" si="89"/>
        <v>8.9999999999999858E-2</v>
      </c>
      <c r="E813" s="3">
        <f t="shared" si="90"/>
        <v>0</v>
      </c>
      <c r="F813" s="3">
        <f t="shared" si="88"/>
        <v>0.19198742293994811</v>
      </c>
      <c r="G813" s="3">
        <f t="shared" si="88"/>
        <v>0.43305612667611049</v>
      </c>
      <c r="H813" s="3">
        <f t="shared" si="91"/>
        <v>0.44333150165437685</v>
      </c>
      <c r="I813" s="3">
        <f t="shared" si="92"/>
        <v>30.715847409013179</v>
      </c>
    </row>
    <row r="814" spans="1:9" ht="15.75" customHeight="1">
      <c r="A814" s="14">
        <v>14032</v>
      </c>
      <c r="B814">
        <v>10.210000000000001</v>
      </c>
      <c r="C814" s="3">
        <f t="shared" si="93"/>
        <v>0.23000000000000043</v>
      </c>
      <c r="D814" s="3">
        <f t="shared" si="89"/>
        <v>0.23000000000000043</v>
      </c>
      <c r="E814" s="3">
        <f t="shared" si="90"/>
        <v>0</v>
      </c>
      <c r="F814" s="3">
        <f t="shared" si="88"/>
        <v>0.19470260701566613</v>
      </c>
      <c r="G814" s="3">
        <f t="shared" si="88"/>
        <v>0.40212354619924545</v>
      </c>
      <c r="H814" s="3">
        <f t="shared" si="91"/>
        <v>0.48418603898214474</v>
      </c>
      <c r="I814" s="3">
        <f t="shared" si="92"/>
        <v>32.62300185185677</v>
      </c>
    </row>
    <row r="815" spans="1:9" ht="15.75" customHeight="1">
      <c r="A815" s="14">
        <v>14062</v>
      </c>
      <c r="B815">
        <v>12.24</v>
      </c>
      <c r="C815" s="3">
        <f t="shared" si="93"/>
        <v>2.0299999999999994</v>
      </c>
      <c r="D815" s="3">
        <f t="shared" si="89"/>
        <v>2.0299999999999994</v>
      </c>
      <c r="E815" s="3">
        <f t="shared" si="90"/>
        <v>0</v>
      </c>
      <c r="F815" s="3">
        <f t="shared" si="88"/>
        <v>0.32579527794311852</v>
      </c>
      <c r="G815" s="3">
        <f t="shared" si="88"/>
        <v>0.37340043575644222</v>
      </c>
      <c r="H815" s="3">
        <f t="shared" si="91"/>
        <v>0.87250909946882038</v>
      </c>
      <c r="I815" s="3">
        <f t="shared" si="92"/>
        <v>46.595720133820834</v>
      </c>
    </row>
    <row r="816" spans="1:9" ht="15.75" customHeight="1">
      <c r="A816" s="14">
        <v>14093</v>
      </c>
      <c r="B816">
        <v>12.31</v>
      </c>
      <c r="C816" s="3">
        <f t="shared" si="93"/>
        <v>7.0000000000000284E-2</v>
      </c>
      <c r="D816" s="3">
        <f t="shared" si="89"/>
        <v>7.0000000000000284E-2</v>
      </c>
      <c r="E816" s="3">
        <f t="shared" si="90"/>
        <v>0</v>
      </c>
      <c r="F816" s="3">
        <f t="shared" si="88"/>
        <v>0.30752418666146719</v>
      </c>
      <c r="G816" s="3">
        <f t="shared" si="88"/>
        <v>0.3467289760595535</v>
      </c>
      <c r="H816" s="3">
        <f t="shared" si="91"/>
        <v>0.88692958447363057</v>
      </c>
      <c r="I816" s="3">
        <f t="shared" si="92"/>
        <v>47.00385174792013</v>
      </c>
    </row>
    <row r="817" spans="1:9" ht="15.75" customHeight="1">
      <c r="A817" s="14">
        <v>14124</v>
      </c>
      <c r="B817">
        <v>11.75</v>
      </c>
      <c r="C817" s="3">
        <f t="shared" si="93"/>
        <v>-0.5600000000000005</v>
      </c>
      <c r="D817" s="3">
        <f t="shared" si="89"/>
        <v>0</v>
      </c>
      <c r="E817" s="3">
        <f t="shared" si="90"/>
        <v>0.5600000000000005</v>
      </c>
      <c r="F817" s="3">
        <f t="shared" si="88"/>
        <v>0.28555817332850525</v>
      </c>
      <c r="G817" s="3">
        <f t="shared" si="88"/>
        <v>0.36196262062672829</v>
      </c>
      <c r="H817" s="3">
        <f t="shared" si="91"/>
        <v>0.78891619481058339</v>
      </c>
      <c r="I817" s="3">
        <f t="shared" si="92"/>
        <v>44.100232146096509</v>
      </c>
    </row>
    <row r="818" spans="1:9" ht="15.75" customHeight="1">
      <c r="A818" s="14">
        <v>14154</v>
      </c>
      <c r="B818">
        <v>13.06</v>
      </c>
      <c r="C818" s="3">
        <f t="shared" si="93"/>
        <v>1.3100000000000005</v>
      </c>
      <c r="D818" s="3">
        <f t="shared" si="89"/>
        <v>1.3100000000000005</v>
      </c>
      <c r="E818" s="3">
        <f t="shared" si="90"/>
        <v>0</v>
      </c>
      <c r="F818" s="3">
        <f t="shared" si="88"/>
        <v>0.35873258951932635</v>
      </c>
      <c r="G818" s="3">
        <f t="shared" si="88"/>
        <v>0.33610814772481917</v>
      </c>
      <c r="H818" s="3">
        <f t="shared" si="91"/>
        <v>1.0673129822875653</v>
      </c>
      <c r="I818" s="3">
        <f t="shared" si="92"/>
        <v>51.628030754517894</v>
      </c>
    </row>
    <row r="819" spans="1:9" ht="15.75" customHeight="1">
      <c r="A819" s="14">
        <v>14185</v>
      </c>
      <c r="B819">
        <v>13.07</v>
      </c>
      <c r="C819" s="3">
        <f t="shared" si="93"/>
        <v>9.9999999999997868E-3</v>
      </c>
      <c r="D819" s="3">
        <f t="shared" si="89"/>
        <v>9.9999999999997868E-3</v>
      </c>
      <c r="E819" s="3">
        <f t="shared" si="90"/>
        <v>0</v>
      </c>
      <c r="F819" s="3">
        <f t="shared" si="88"/>
        <v>0.33382311883937449</v>
      </c>
      <c r="G819" s="3">
        <f t="shared" si="88"/>
        <v>0.31210042288733214</v>
      </c>
      <c r="H819" s="3">
        <f t="shared" si="91"/>
        <v>1.0696016229362311</v>
      </c>
      <c r="I819" s="3">
        <f t="shared" si="92"/>
        <v>51.681522235121854</v>
      </c>
    </row>
    <row r="820" spans="1:9" ht="15.75" customHeight="1">
      <c r="A820" s="14">
        <v>14215</v>
      </c>
      <c r="B820">
        <v>12.69</v>
      </c>
      <c r="C820" s="3">
        <f t="shared" si="93"/>
        <v>-0.38000000000000078</v>
      </c>
      <c r="D820" s="3">
        <f t="shared" si="89"/>
        <v>0</v>
      </c>
      <c r="E820" s="3">
        <f t="shared" si="90"/>
        <v>0.38000000000000078</v>
      </c>
      <c r="F820" s="3">
        <f t="shared" si="88"/>
        <v>0.30997861035084773</v>
      </c>
      <c r="G820" s="3">
        <f t="shared" si="88"/>
        <v>0.31695039268109421</v>
      </c>
      <c r="H820" s="3">
        <f t="shared" si="91"/>
        <v>0.9780035535805085</v>
      </c>
      <c r="I820" s="3">
        <f t="shared" si="92"/>
        <v>49.443973536355017</v>
      </c>
    </row>
    <row r="821" spans="1:9" ht="15.75" customHeight="1">
      <c r="A821" s="14">
        <v>14246</v>
      </c>
      <c r="B821">
        <v>12.5</v>
      </c>
      <c r="C821" s="3">
        <f t="shared" si="93"/>
        <v>-0.1899999999999995</v>
      </c>
      <c r="D821" s="3">
        <f t="shared" si="89"/>
        <v>0</v>
      </c>
      <c r="E821" s="3">
        <f t="shared" si="90"/>
        <v>0.1899999999999995</v>
      </c>
      <c r="F821" s="3">
        <f t="shared" si="88"/>
        <v>0.28783728104007295</v>
      </c>
      <c r="G821" s="3">
        <f t="shared" si="88"/>
        <v>0.30788250748958745</v>
      </c>
      <c r="H821" s="3">
        <f t="shared" si="91"/>
        <v>0.93489325972768222</v>
      </c>
      <c r="I821" s="3">
        <f t="shared" si="92"/>
        <v>48.317562481935546</v>
      </c>
    </row>
    <row r="822" spans="1:9" ht="15.75" customHeight="1">
      <c r="A822" s="14">
        <v>14277</v>
      </c>
      <c r="B822">
        <v>12.4</v>
      </c>
      <c r="C822" s="3">
        <f t="shared" si="93"/>
        <v>-9.9999999999999645E-2</v>
      </c>
      <c r="D822" s="3">
        <f t="shared" si="89"/>
        <v>0</v>
      </c>
      <c r="E822" s="3">
        <f t="shared" si="90"/>
        <v>9.9999999999999645E-2</v>
      </c>
      <c r="F822" s="3">
        <f t="shared" si="88"/>
        <v>0.26727747525149631</v>
      </c>
      <c r="G822" s="3">
        <f t="shared" si="88"/>
        <v>0.29303375695461692</v>
      </c>
      <c r="H822" s="3">
        <f t="shared" si="91"/>
        <v>0.91210472823747213</v>
      </c>
      <c r="I822" s="3">
        <f t="shared" si="92"/>
        <v>47.701609371481773</v>
      </c>
    </row>
    <row r="823" spans="1:9" ht="15.75" customHeight="1">
      <c r="A823" s="14">
        <v>14305</v>
      </c>
      <c r="B823">
        <v>12.39</v>
      </c>
      <c r="C823" s="3">
        <f t="shared" si="93"/>
        <v>-9.9999999999997868E-3</v>
      </c>
      <c r="D823" s="3">
        <f t="shared" si="89"/>
        <v>0</v>
      </c>
      <c r="E823" s="3">
        <f t="shared" si="90"/>
        <v>9.9999999999997868E-3</v>
      </c>
      <c r="F823" s="3">
        <f t="shared" si="88"/>
        <v>0.24818622701924656</v>
      </c>
      <c r="G823" s="3">
        <f t="shared" si="88"/>
        <v>0.27281706002928713</v>
      </c>
      <c r="H823" s="3">
        <f t="shared" si="91"/>
        <v>0.90971666871787116</v>
      </c>
      <c r="I823" s="3">
        <f t="shared" si="92"/>
        <v>47.636211361585318</v>
      </c>
    </row>
    <row r="824" spans="1:9" ht="15.75" customHeight="1">
      <c r="A824" s="14">
        <v>14336</v>
      </c>
      <c r="B824">
        <v>10.83</v>
      </c>
      <c r="C824" s="3">
        <f t="shared" si="93"/>
        <v>-1.5600000000000005</v>
      </c>
      <c r="D824" s="3">
        <f t="shared" si="89"/>
        <v>0</v>
      </c>
      <c r="E824" s="3">
        <f t="shared" si="90"/>
        <v>1.5600000000000005</v>
      </c>
      <c r="F824" s="3">
        <f t="shared" si="88"/>
        <v>0.23045863937501468</v>
      </c>
      <c r="G824" s="3">
        <f t="shared" si="88"/>
        <v>0.36475869859862381</v>
      </c>
      <c r="H824" s="3">
        <f t="shared" si="91"/>
        <v>0.63181122276293855</v>
      </c>
      <c r="I824" s="3">
        <f t="shared" si="92"/>
        <v>38.718401611013128</v>
      </c>
    </row>
    <row r="825" spans="1:9" ht="15.75" customHeight="1">
      <c r="A825" s="14">
        <v>14366</v>
      </c>
      <c r="B825">
        <v>11.23</v>
      </c>
      <c r="C825" s="3">
        <f t="shared" si="93"/>
        <v>0.40000000000000036</v>
      </c>
      <c r="D825" s="3">
        <f t="shared" si="89"/>
        <v>0.40000000000000036</v>
      </c>
      <c r="E825" s="3">
        <f t="shared" si="90"/>
        <v>0</v>
      </c>
      <c r="F825" s="3">
        <f t="shared" si="88"/>
        <v>0.24256873656251368</v>
      </c>
      <c r="G825" s="3">
        <f t="shared" si="88"/>
        <v>0.33870450584157924</v>
      </c>
      <c r="H825" s="3">
        <f t="shared" si="91"/>
        <v>0.7161662522315817</v>
      </c>
      <c r="I825" s="3">
        <f t="shared" si="92"/>
        <v>41.730587074552339</v>
      </c>
    </row>
    <row r="826" spans="1:9" ht="15.75" customHeight="1">
      <c r="A826" s="14">
        <v>14397</v>
      </c>
      <c r="B826">
        <v>11.43</v>
      </c>
      <c r="C826" s="3">
        <f t="shared" si="93"/>
        <v>0.19999999999999929</v>
      </c>
      <c r="D826" s="3">
        <f t="shared" si="89"/>
        <v>0.19999999999999929</v>
      </c>
      <c r="E826" s="3">
        <f t="shared" si="90"/>
        <v>0</v>
      </c>
      <c r="F826" s="3">
        <f t="shared" si="88"/>
        <v>0.23952811252233408</v>
      </c>
      <c r="G826" s="3">
        <f t="shared" si="88"/>
        <v>0.31451132685289501</v>
      </c>
      <c r="H826" s="3">
        <f t="shared" si="91"/>
        <v>0.76158819117623544</v>
      </c>
      <c r="I826" s="3">
        <f t="shared" si="92"/>
        <v>43.233043624555243</v>
      </c>
    </row>
    <row r="827" spans="1:9" ht="15.75" customHeight="1">
      <c r="A827" s="14">
        <v>14427</v>
      </c>
      <c r="B827">
        <v>11.71</v>
      </c>
      <c r="C827" s="3">
        <f t="shared" si="93"/>
        <v>0.28000000000000114</v>
      </c>
      <c r="D827" s="3">
        <f t="shared" si="89"/>
        <v>0.28000000000000114</v>
      </c>
      <c r="E827" s="3">
        <f t="shared" si="90"/>
        <v>0</v>
      </c>
      <c r="F827" s="3">
        <f t="shared" si="88"/>
        <v>0.24241896162788173</v>
      </c>
      <c r="G827" s="3">
        <f t="shared" si="88"/>
        <v>0.29204623207768821</v>
      </c>
      <c r="H827" s="3">
        <f t="shared" si="91"/>
        <v>0.83007049912356012</v>
      </c>
      <c r="I827" s="3">
        <f t="shared" si="92"/>
        <v>45.357296318425412</v>
      </c>
    </row>
    <row r="828" spans="1:9" ht="15.75" customHeight="1">
      <c r="A828" s="14">
        <v>14458</v>
      </c>
      <c r="B828">
        <v>11.54</v>
      </c>
      <c r="C828" s="3">
        <f t="shared" si="93"/>
        <v>-0.17000000000000171</v>
      </c>
      <c r="D828" s="3">
        <f t="shared" si="89"/>
        <v>0</v>
      </c>
      <c r="E828" s="3">
        <f t="shared" si="90"/>
        <v>0.17000000000000171</v>
      </c>
      <c r="F828" s="3">
        <f t="shared" si="88"/>
        <v>0.22510332151160448</v>
      </c>
      <c r="G828" s="3">
        <f t="shared" si="88"/>
        <v>0.28332864407213915</v>
      </c>
      <c r="H828" s="3">
        <f t="shared" si="91"/>
        <v>0.79449546038236163</v>
      </c>
      <c r="I828" s="3">
        <f t="shared" si="92"/>
        <v>44.274030106104291</v>
      </c>
    </row>
    <row r="829" spans="1:9" ht="15.75" customHeight="1">
      <c r="A829" s="14">
        <v>14489</v>
      </c>
      <c r="B829">
        <v>12.77</v>
      </c>
      <c r="C829" s="3">
        <f t="shared" si="93"/>
        <v>1.2300000000000004</v>
      </c>
      <c r="D829" s="3">
        <f t="shared" si="89"/>
        <v>1.2300000000000004</v>
      </c>
      <c r="E829" s="3">
        <f t="shared" si="90"/>
        <v>0</v>
      </c>
      <c r="F829" s="3">
        <f t="shared" si="88"/>
        <v>0.2968816556893471</v>
      </c>
      <c r="G829" s="3">
        <f t="shared" si="88"/>
        <v>0.26309088378127204</v>
      </c>
      <c r="H829" s="3">
        <f t="shared" si="91"/>
        <v>1.1284376388205377</v>
      </c>
      <c r="I829" s="3">
        <f t="shared" si="92"/>
        <v>53.017181158563581</v>
      </c>
    </row>
    <row r="830" spans="1:9" ht="15.75" customHeight="1">
      <c r="A830" s="14">
        <v>14519</v>
      </c>
      <c r="B830">
        <v>12.9</v>
      </c>
      <c r="C830" s="3">
        <f t="shared" si="93"/>
        <v>0.13000000000000078</v>
      </c>
      <c r="D830" s="3">
        <f t="shared" si="89"/>
        <v>0.13000000000000078</v>
      </c>
      <c r="E830" s="3">
        <f t="shared" si="90"/>
        <v>0</v>
      </c>
      <c r="F830" s="3">
        <f t="shared" si="88"/>
        <v>0.28496153742582236</v>
      </c>
      <c r="G830" s="3">
        <f t="shared" si="88"/>
        <v>0.24429867779689546</v>
      </c>
      <c r="H830" s="3">
        <f t="shared" si="91"/>
        <v>1.1664473176671595</v>
      </c>
      <c r="I830" s="3">
        <f t="shared" si="92"/>
        <v>53.84148085000264</v>
      </c>
    </row>
    <row r="831" spans="1:9" ht="15.75" customHeight="1">
      <c r="A831" s="14">
        <v>14550</v>
      </c>
      <c r="B831">
        <v>12.67</v>
      </c>
      <c r="C831" s="3">
        <f t="shared" si="93"/>
        <v>-0.23000000000000043</v>
      </c>
      <c r="D831" s="3">
        <f t="shared" si="89"/>
        <v>0</v>
      </c>
      <c r="E831" s="3">
        <f t="shared" si="90"/>
        <v>0.23000000000000043</v>
      </c>
      <c r="F831" s="3">
        <f t="shared" si="88"/>
        <v>0.26460714189540646</v>
      </c>
      <c r="G831" s="3">
        <f t="shared" si="88"/>
        <v>0.24327734366854581</v>
      </c>
      <c r="H831" s="3">
        <f t="shared" si="91"/>
        <v>1.087676879010655</v>
      </c>
      <c r="I831" s="3">
        <f t="shared" si="92"/>
        <v>52.099867079339518</v>
      </c>
    </row>
    <row r="832" spans="1:9" ht="15.75" customHeight="1">
      <c r="A832" s="14">
        <v>14580</v>
      </c>
      <c r="B832">
        <v>12.37</v>
      </c>
      <c r="C832" s="3">
        <f t="shared" si="93"/>
        <v>-0.30000000000000071</v>
      </c>
      <c r="D832" s="3">
        <f t="shared" si="89"/>
        <v>0</v>
      </c>
      <c r="E832" s="3">
        <f t="shared" si="90"/>
        <v>0.30000000000000071</v>
      </c>
      <c r="F832" s="3">
        <f t="shared" si="88"/>
        <v>0.24570663176002028</v>
      </c>
      <c r="G832" s="3">
        <f t="shared" si="88"/>
        <v>0.24732896197793547</v>
      </c>
      <c r="H832" s="3">
        <f t="shared" si="91"/>
        <v>0.99344059747414493</v>
      </c>
      <c r="I832" s="3">
        <f t="shared" si="92"/>
        <v>49.835475345135279</v>
      </c>
    </row>
    <row r="833" spans="1:9" ht="15.75" customHeight="1">
      <c r="A833" s="14">
        <v>14611</v>
      </c>
      <c r="B833">
        <v>12.3</v>
      </c>
      <c r="C833" s="3">
        <f t="shared" si="93"/>
        <v>-6.9999999999998508E-2</v>
      </c>
      <c r="D833" s="3">
        <f t="shared" si="89"/>
        <v>0</v>
      </c>
      <c r="E833" s="3">
        <f t="shared" si="90"/>
        <v>6.9999999999998508E-2</v>
      </c>
      <c r="F833" s="3">
        <f t="shared" si="88"/>
        <v>0.22815615806287598</v>
      </c>
      <c r="G833" s="3">
        <f t="shared" si="88"/>
        <v>0.23466260755093996</v>
      </c>
      <c r="H833" s="3">
        <f t="shared" si="91"/>
        <v>0.97227317314859563</v>
      </c>
      <c r="I833" s="3">
        <f t="shared" si="92"/>
        <v>49.297084520823745</v>
      </c>
    </row>
    <row r="834" spans="1:9" ht="15.75" customHeight="1">
      <c r="A834" s="14">
        <v>14642</v>
      </c>
      <c r="B834">
        <v>12.22</v>
      </c>
      <c r="C834" s="3">
        <f t="shared" si="93"/>
        <v>-8.0000000000000071E-2</v>
      </c>
      <c r="D834" s="3">
        <f t="shared" si="89"/>
        <v>0</v>
      </c>
      <c r="E834" s="3">
        <f t="shared" si="90"/>
        <v>8.0000000000000071E-2</v>
      </c>
      <c r="F834" s="3">
        <f t="shared" si="88"/>
        <v>0.21185928962981343</v>
      </c>
      <c r="G834" s="3">
        <f t="shared" si="88"/>
        <v>0.22361527844015855</v>
      </c>
      <c r="H834" s="3">
        <f t="shared" si="91"/>
        <v>0.94742761365703765</v>
      </c>
      <c r="I834" s="3">
        <f t="shared" si="92"/>
        <v>48.650209487267212</v>
      </c>
    </row>
    <row r="835" spans="1:9" ht="15.75" customHeight="1">
      <c r="A835" s="14">
        <v>14671</v>
      </c>
      <c r="B835">
        <v>12.15</v>
      </c>
      <c r="C835" s="3">
        <f t="shared" si="93"/>
        <v>-7.0000000000000284E-2</v>
      </c>
      <c r="D835" s="3">
        <f t="shared" si="89"/>
        <v>0</v>
      </c>
      <c r="E835" s="3">
        <f t="shared" si="90"/>
        <v>7.0000000000000284E-2</v>
      </c>
      <c r="F835" s="3">
        <f t="shared" si="88"/>
        <v>0.19672648322768388</v>
      </c>
      <c r="G835" s="3">
        <f t="shared" si="88"/>
        <v>0.2126427585515758</v>
      </c>
      <c r="H835" s="3">
        <f t="shared" si="91"/>
        <v>0.92515016531808447</v>
      </c>
      <c r="I835" s="3">
        <f t="shared" si="92"/>
        <v>48.056000097282066</v>
      </c>
    </row>
    <row r="836" spans="1:9" ht="15.75" customHeight="1">
      <c r="A836" s="14">
        <v>14702</v>
      </c>
      <c r="B836">
        <v>12.27</v>
      </c>
      <c r="C836" s="3">
        <f t="shared" si="93"/>
        <v>0.11999999999999922</v>
      </c>
      <c r="D836" s="3">
        <f t="shared" si="89"/>
        <v>0.11999999999999922</v>
      </c>
      <c r="E836" s="3">
        <f t="shared" si="90"/>
        <v>0</v>
      </c>
      <c r="F836" s="3">
        <f t="shared" si="88"/>
        <v>0.19124602013999212</v>
      </c>
      <c r="G836" s="3">
        <f t="shared" si="88"/>
        <v>0.19745399008360609</v>
      </c>
      <c r="H836" s="3">
        <f t="shared" si="91"/>
        <v>0.9685599164595996</v>
      </c>
      <c r="I836" s="3">
        <f t="shared" si="92"/>
        <v>49.201444587042481</v>
      </c>
    </row>
    <row r="837" spans="1:9" ht="15.75" customHeight="1">
      <c r="A837" s="14">
        <v>14732</v>
      </c>
      <c r="B837">
        <v>10.58</v>
      </c>
      <c r="C837" s="3">
        <f t="shared" si="93"/>
        <v>-1.6899999999999995</v>
      </c>
      <c r="D837" s="3">
        <f t="shared" si="89"/>
        <v>0</v>
      </c>
      <c r="E837" s="3">
        <f t="shared" si="90"/>
        <v>1.6899999999999995</v>
      </c>
      <c r="F837" s="3">
        <f t="shared" si="88"/>
        <v>0.1775855901299927</v>
      </c>
      <c r="G837" s="3">
        <f t="shared" si="88"/>
        <v>0.30406441936334844</v>
      </c>
      <c r="H837" s="3">
        <f t="shared" si="91"/>
        <v>0.58403936409864154</v>
      </c>
      <c r="I837" s="3">
        <f t="shared" si="92"/>
        <v>36.870255710531211</v>
      </c>
    </row>
    <row r="838" spans="1:9" ht="15.75" customHeight="1">
      <c r="A838" s="14">
        <v>14763</v>
      </c>
      <c r="B838">
        <v>9.67</v>
      </c>
      <c r="C838" s="3">
        <f t="shared" si="93"/>
        <v>-0.91000000000000014</v>
      </c>
      <c r="D838" s="3">
        <f t="shared" si="89"/>
        <v>0</v>
      </c>
      <c r="E838" s="3">
        <f t="shared" si="90"/>
        <v>0.91000000000000014</v>
      </c>
      <c r="F838" s="3">
        <f t="shared" si="88"/>
        <v>0.16490090512070751</v>
      </c>
      <c r="G838" s="3">
        <f t="shared" si="88"/>
        <v>0.34734553226596648</v>
      </c>
      <c r="H838" s="3">
        <f t="shared" si="91"/>
        <v>0.47474600880843054</v>
      </c>
      <c r="I838" s="3">
        <f t="shared" si="92"/>
        <v>32.191713418639267</v>
      </c>
    </row>
    <row r="839" spans="1:9" ht="15.75" customHeight="1">
      <c r="A839" s="14">
        <v>14793</v>
      </c>
      <c r="B839">
        <v>9.99</v>
      </c>
      <c r="C839" s="3">
        <f t="shared" si="93"/>
        <v>0.32000000000000028</v>
      </c>
      <c r="D839" s="3">
        <f t="shared" si="89"/>
        <v>0.32000000000000028</v>
      </c>
      <c r="E839" s="3">
        <f t="shared" si="90"/>
        <v>0</v>
      </c>
      <c r="F839" s="3">
        <f t="shared" si="88"/>
        <v>0.17597941189779984</v>
      </c>
      <c r="G839" s="3">
        <f t="shared" si="88"/>
        <v>0.32253513710411175</v>
      </c>
      <c r="H839" s="3">
        <f t="shared" si="91"/>
        <v>0.54561314924579862</v>
      </c>
      <c r="I839" s="3">
        <f t="shared" si="92"/>
        <v>35.300757470395325</v>
      </c>
    </row>
    <row r="840" spans="1:9" ht="15.75" customHeight="1">
      <c r="A840" s="14">
        <v>14824</v>
      </c>
      <c r="B840">
        <v>10.199999999999999</v>
      </c>
      <c r="C840" s="3">
        <f t="shared" si="93"/>
        <v>0.20999999999999908</v>
      </c>
      <c r="D840" s="3">
        <f t="shared" si="89"/>
        <v>0.20999999999999908</v>
      </c>
      <c r="E840" s="3">
        <f t="shared" si="90"/>
        <v>0</v>
      </c>
      <c r="F840" s="3">
        <f t="shared" si="88"/>
        <v>0.17840945390509977</v>
      </c>
      <c r="G840" s="3">
        <f t="shared" si="88"/>
        <v>0.29949691302524661</v>
      </c>
      <c r="H840" s="3">
        <f t="shared" si="91"/>
        <v>0.59569713792028445</v>
      </c>
      <c r="I840" s="3">
        <f t="shared" si="92"/>
        <v>37.331466213987994</v>
      </c>
    </row>
    <row r="841" spans="1:9" ht="15.75" customHeight="1">
      <c r="A841" s="14">
        <v>14855</v>
      </c>
      <c r="B841">
        <v>10.63</v>
      </c>
      <c r="C841" s="3">
        <f t="shared" si="93"/>
        <v>0.43000000000000149</v>
      </c>
      <c r="D841" s="3">
        <f t="shared" si="89"/>
        <v>0.43000000000000149</v>
      </c>
      <c r="E841" s="3">
        <f t="shared" si="90"/>
        <v>0</v>
      </c>
      <c r="F841" s="3">
        <f t="shared" si="88"/>
        <v>0.19638020719759272</v>
      </c>
      <c r="G841" s="3">
        <f t="shared" si="88"/>
        <v>0.27810427638058616</v>
      </c>
      <c r="H841" s="3">
        <f t="shared" si="91"/>
        <v>0.70613875397171555</v>
      </c>
      <c r="I841" s="3">
        <f t="shared" si="92"/>
        <v>41.388119947917311</v>
      </c>
    </row>
    <row r="842" spans="1:9" ht="15.75" customHeight="1">
      <c r="A842" s="14">
        <v>14885</v>
      </c>
      <c r="B842">
        <v>10.73</v>
      </c>
      <c r="C842" s="3">
        <f t="shared" si="93"/>
        <v>9.9999999999999645E-2</v>
      </c>
      <c r="D842" s="3">
        <f t="shared" si="89"/>
        <v>9.9999999999999645E-2</v>
      </c>
      <c r="E842" s="3">
        <f t="shared" si="90"/>
        <v>0</v>
      </c>
      <c r="F842" s="3">
        <f t="shared" si="88"/>
        <v>0.18949590668347893</v>
      </c>
      <c r="G842" s="3">
        <f t="shared" si="88"/>
        <v>0.2582396852105443</v>
      </c>
      <c r="H842" s="3">
        <f t="shared" si="91"/>
        <v>0.73379855047833498</v>
      </c>
      <c r="I842" s="3">
        <f t="shared" si="92"/>
        <v>42.323172451372074</v>
      </c>
    </row>
    <row r="843" spans="1:9" ht="15.75" customHeight="1">
      <c r="A843" s="14">
        <v>14916</v>
      </c>
      <c r="B843">
        <v>10.98</v>
      </c>
      <c r="C843" s="3">
        <f t="shared" si="93"/>
        <v>0.25</v>
      </c>
      <c r="D843" s="3">
        <f t="shared" si="89"/>
        <v>0.25</v>
      </c>
      <c r="E843" s="3">
        <f t="shared" si="90"/>
        <v>0</v>
      </c>
      <c r="F843" s="3">
        <f t="shared" si="88"/>
        <v>0.19381762763465901</v>
      </c>
      <c r="G843" s="3">
        <f t="shared" si="88"/>
        <v>0.23979399340979116</v>
      </c>
      <c r="H843" s="3">
        <f t="shared" si="91"/>
        <v>0.80826723338077222</v>
      </c>
      <c r="I843" s="3">
        <f t="shared" si="92"/>
        <v>44.698439393253828</v>
      </c>
    </row>
    <row r="844" spans="1:9" ht="15.75" customHeight="1">
      <c r="A844" s="14">
        <v>14946</v>
      </c>
      <c r="B844">
        <v>10.53</v>
      </c>
      <c r="C844" s="3">
        <f t="shared" si="93"/>
        <v>-0.45000000000000107</v>
      </c>
      <c r="D844" s="3">
        <f t="shared" si="89"/>
        <v>0</v>
      </c>
      <c r="E844" s="3">
        <f t="shared" si="90"/>
        <v>0.45000000000000107</v>
      </c>
      <c r="F844" s="3">
        <f t="shared" si="88"/>
        <v>0.1799735113750405</v>
      </c>
      <c r="G844" s="3">
        <f t="shared" si="88"/>
        <v>0.25480870816623474</v>
      </c>
      <c r="H844" s="3">
        <f t="shared" si="91"/>
        <v>0.70630832309556513</v>
      </c>
      <c r="I844" s="3">
        <f t="shared" si="92"/>
        <v>41.393944666119225</v>
      </c>
    </row>
    <row r="845" spans="1:9" ht="15.75" customHeight="1">
      <c r="A845" s="14">
        <v>14977</v>
      </c>
      <c r="B845">
        <v>10.55</v>
      </c>
      <c r="C845" s="3">
        <f t="shared" si="93"/>
        <v>2.000000000000135E-2</v>
      </c>
      <c r="D845" s="3">
        <f t="shared" si="89"/>
        <v>2.000000000000135E-2</v>
      </c>
      <c r="E845" s="3">
        <f t="shared" si="90"/>
        <v>0</v>
      </c>
      <c r="F845" s="3">
        <f t="shared" si="88"/>
        <v>0.16854683199110915</v>
      </c>
      <c r="G845" s="3">
        <f t="shared" si="88"/>
        <v>0.23660808615436085</v>
      </c>
      <c r="H845" s="3">
        <f t="shared" si="91"/>
        <v>0.71234603487368053</v>
      </c>
      <c r="I845" s="3">
        <f t="shared" si="92"/>
        <v>41.600588921048903</v>
      </c>
    </row>
    <row r="846" spans="1:9" ht="15.75" customHeight="1">
      <c r="A846" s="14">
        <v>15008</v>
      </c>
      <c r="B846">
        <v>9.89</v>
      </c>
      <c r="C846" s="3">
        <f t="shared" si="93"/>
        <v>-0.66000000000000014</v>
      </c>
      <c r="D846" s="3">
        <f t="shared" si="89"/>
        <v>0</v>
      </c>
      <c r="E846" s="3">
        <f t="shared" si="90"/>
        <v>0.66000000000000014</v>
      </c>
      <c r="F846" s="3">
        <f t="shared" si="88"/>
        <v>0.15650777256317278</v>
      </c>
      <c r="G846" s="3">
        <f t="shared" si="88"/>
        <v>0.26685036571476367</v>
      </c>
      <c r="H846" s="3">
        <f t="shared" si="91"/>
        <v>0.58650012393261597</v>
      </c>
      <c r="I846" s="3">
        <f t="shared" si="92"/>
        <v>36.968173849164266</v>
      </c>
    </row>
    <row r="847" spans="1:9" ht="15.75" customHeight="1">
      <c r="A847" s="14">
        <v>15036</v>
      </c>
      <c r="B847">
        <v>9.9499999999999993</v>
      </c>
      <c r="C847" s="3">
        <f t="shared" si="93"/>
        <v>5.9999999999998721E-2</v>
      </c>
      <c r="D847" s="3">
        <f t="shared" si="89"/>
        <v>5.9999999999998721E-2</v>
      </c>
      <c r="E847" s="3">
        <f t="shared" si="90"/>
        <v>0</v>
      </c>
      <c r="F847" s="3">
        <f t="shared" si="88"/>
        <v>0.14961436023723176</v>
      </c>
      <c r="G847" s="3">
        <f t="shared" si="88"/>
        <v>0.24778962530656629</v>
      </c>
      <c r="H847" s="3">
        <f t="shared" si="91"/>
        <v>0.60379590167315644</v>
      </c>
      <c r="I847" s="3">
        <f t="shared" si="92"/>
        <v>37.647926462665716</v>
      </c>
    </row>
    <row r="848" spans="1:9" ht="15.75" customHeight="1">
      <c r="A848" s="14">
        <v>15067</v>
      </c>
      <c r="B848">
        <v>9.64</v>
      </c>
      <c r="C848" s="3">
        <f t="shared" si="93"/>
        <v>-0.30999999999999872</v>
      </c>
      <c r="D848" s="3">
        <f t="shared" si="89"/>
        <v>0</v>
      </c>
      <c r="E848" s="3">
        <f t="shared" si="90"/>
        <v>0.30999999999999872</v>
      </c>
      <c r="F848" s="3">
        <f t="shared" si="88"/>
        <v>0.13892762022028665</v>
      </c>
      <c r="G848" s="3">
        <f t="shared" si="88"/>
        <v>0.25223322349895433</v>
      </c>
      <c r="H848" s="3">
        <f t="shared" si="91"/>
        <v>0.55079032925598159</v>
      </c>
      <c r="I848" s="3">
        <f t="shared" si="92"/>
        <v>35.516750321768697</v>
      </c>
    </row>
    <row r="849" spans="1:9" ht="15.75" customHeight="1">
      <c r="A849" s="14">
        <v>15097</v>
      </c>
      <c r="B849">
        <v>9.43</v>
      </c>
      <c r="C849" s="3">
        <f t="shared" si="93"/>
        <v>-0.21000000000000085</v>
      </c>
      <c r="D849" s="3">
        <f t="shared" si="89"/>
        <v>0</v>
      </c>
      <c r="E849" s="3">
        <f t="shared" si="90"/>
        <v>0.21000000000000085</v>
      </c>
      <c r="F849" s="3">
        <f t="shared" si="88"/>
        <v>0.12900421877598048</v>
      </c>
      <c r="G849" s="3">
        <f t="shared" si="88"/>
        <v>0.24921656467760051</v>
      </c>
      <c r="H849" s="3">
        <f t="shared" si="91"/>
        <v>0.51763902187989408</v>
      </c>
      <c r="I849" s="3">
        <f t="shared" si="92"/>
        <v>34.10817819106262</v>
      </c>
    </row>
    <row r="850" spans="1:9" ht="15.75" customHeight="1">
      <c r="A850" s="14">
        <v>15128</v>
      </c>
      <c r="B850">
        <v>9.76</v>
      </c>
      <c r="C850" s="3">
        <f t="shared" si="93"/>
        <v>0.33000000000000007</v>
      </c>
      <c r="D850" s="3">
        <f t="shared" si="89"/>
        <v>0.33000000000000007</v>
      </c>
      <c r="E850" s="3">
        <f t="shared" si="90"/>
        <v>0</v>
      </c>
      <c r="F850" s="3">
        <f t="shared" ref="F850:G913" si="94">((F849*13)+D850)/14</f>
        <v>0.1433610602919819</v>
      </c>
      <c r="G850" s="3">
        <f t="shared" si="94"/>
        <v>0.23141538148634333</v>
      </c>
      <c r="H850" s="3">
        <f t="shared" si="91"/>
        <v>0.61949667896402194</v>
      </c>
      <c r="I850" s="3">
        <f t="shared" si="92"/>
        <v>38.252420459442291</v>
      </c>
    </row>
    <row r="851" spans="1:9" ht="15.75" customHeight="1">
      <c r="A851" s="14">
        <v>15158</v>
      </c>
      <c r="B851">
        <v>10.26</v>
      </c>
      <c r="C851" s="3">
        <f t="shared" si="93"/>
        <v>0.5</v>
      </c>
      <c r="D851" s="3">
        <f t="shared" si="89"/>
        <v>0.5</v>
      </c>
      <c r="E851" s="3">
        <f t="shared" si="90"/>
        <v>0</v>
      </c>
      <c r="F851" s="3">
        <f t="shared" si="94"/>
        <v>0.16883527027112605</v>
      </c>
      <c r="G851" s="3">
        <f t="shared" si="94"/>
        <v>0.21488571138017593</v>
      </c>
      <c r="H851" s="3">
        <f t="shared" si="91"/>
        <v>0.78569798422949855</v>
      </c>
      <c r="I851" s="3">
        <f t="shared" si="92"/>
        <v>43.999488780770243</v>
      </c>
    </row>
    <row r="852" spans="1:9" ht="15.75" customHeight="1">
      <c r="A852" s="14">
        <v>15189</v>
      </c>
      <c r="B852">
        <v>10.210000000000001</v>
      </c>
      <c r="C852" s="3">
        <f t="shared" si="93"/>
        <v>-4.9999999999998934E-2</v>
      </c>
      <c r="D852" s="3">
        <f t="shared" si="89"/>
        <v>0</v>
      </c>
      <c r="E852" s="3">
        <f t="shared" si="90"/>
        <v>4.9999999999998934E-2</v>
      </c>
      <c r="F852" s="3">
        <f t="shared" si="94"/>
        <v>0.15677560810890276</v>
      </c>
      <c r="G852" s="3">
        <f t="shared" si="94"/>
        <v>0.20310816056730616</v>
      </c>
      <c r="H852" s="3">
        <f t="shared" si="91"/>
        <v>0.77188236883741712</v>
      </c>
      <c r="I852" s="3">
        <f t="shared" si="92"/>
        <v>43.562844938960104</v>
      </c>
    </row>
    <row r="853" spans="1:9" ht="15.75" customHeight="1">
      <c r="A853" s="14">
        <v>15220</v>
      </c>
      <c r="B853">
        <v>10.24</v>
      </c>
      <c r="C853" s="3">
        <f t="shared" si="93"/>
        <v>2.9999999999999361E-2</v>
      </c>
      <c r="D853" s="3">
        <f t="shared" si="89"/>
        <v>2.9999999999999361E-2</v>
      </c>
      <c r="E853" s="3">
        <f t="shared" si="90"/>
        <v>0</v>
      </c>
      <c r="F853" s="3">
        <f t="shared" si="94"/>
        <v>0.14772020752969536</v>
      </c>
      <c r="G853" s="3">
        <f t="shared" si="94"/>
        <v>0.18860043481249858</v>
      </c>
      <c r="H853" s="3">
        <f t="shared" si="91"/>
        <v>0.78324425750425641</v>
      </c>
      <c r="I853" s="3">
        <f t="shared" si="92"/>
        <v>43.922432622912112</v>
      </c>
    </row>
    <row r="854" spans="1:9" ht="15.75" customHeight="1">
      <c r="A854" s="14">
        <v>15250</v>
      </c>
      <c r="B854">
        <v>9.83</v>
      </c>
      <c r="C854" s="3">
        <f t="shared" si="93"/>
        <v>-0.41000000000000014</v>
      </c>
      <c r="D854" s="3">
        <f t="shared" si="89"/>
        <v>0</v>
      </c>
      <c r="E854" s="3">
        <f t="shared" si="90"/>
        <v>0.41000000000000014</v>
      </c>
      <c r="F854" s="3">
        <f t="shared" si="94"/>
        <v>0.13716876413471712</v>
      </c>
      <c r="G854" s="3">
        <f t="shared" si="94"/>
        <v>0.20441468946874869</v>
      </c>
      <c r="H854" s="3">
        <f t="shared" si="91"/>
        <v>0.67103183480210582</v>
      </c>
      <c r="I854" s="3">
        <f t="shared" si="92"/>
        <v>40.156735546667406</v>
      </c>
    </row>
    <row r="855" spans="1:9" ht="15.75" customHeight="1">
      <c r="A855" s="14">
        <v>15281</v>
      </c>
      <c r="B855">
        <v>9.3699999999999992</v>
      </c>
      <c r="C855" s="3">
        <f t="shared" si="93"/>
        <v>-0.46000000000000085</v>
      </c>
      <c r="D855" s="3">
        <f t="shared" si="89"/>
        <v>0</v>
      </c>
      <c r="E855" s="3">
        <f t="shared" si="90"/>
        <v>0.46000000000000085</v>
      </c>
      <c r="F855" s="3">
        <f t="shared" si="94"/>
        <v>0.12737099526795162</v>
      </c>
      <c r="G855" s="3">
        <f t="shared" si="94"/>
        <v>0.22267078307812385</v>
      </c>
      <c r="H855" s="3">
        <f t="shared" si="91"/>
        <v>0.57201485308139244</v>
      </c>
      <c r="I855" s="3">
        <f t="shared" si="92"/>
        <v>36.387369493370549</v>
      </c>
    </row>
    <row r="856" spans="1:9" ht="15.75" customHeight="1">
      <c r="A856" s="14">
        <v>15311</v>
      </c>
      <c r="B856">
        <v>8.76</v>
      </c>
      <c r="C856" s="3">
        <f t="shared" si="93"/>
        <v>-0.60999999999999943</v>
      </c>
      <c r="D856" s="3">
        <f t="shared" si="89"/>
        <v>0</v>
      </c>
      <c r="E856" s="3">
        <f t="shared" si="90"/>
        <v>0.60999999999999943</v>
      </c>
      <c r="F856" s="3">
        <f t="shared" si="94"/>
        <v>0.11827306703452652</v>
      </c>
      <c r="G856" s="3">
        <f t="shared" si="94"/>
        <v>0.25033715571540066</v>
      </c>
      <c r="H856" s="3">
        <f t="shared" si="91"/>
        <v>0.47245510438325394</v>
      </c>
      <c r="I856" s="3">
        <f t="shared" si="92"/>
        <v>32.086214579774534</v>
      </c>
    </row>
    <row r="857" spans="1:9" ht="15.75" customHeight="1">
      <c r="A857" s="14">
        <v>15342</v>
      </c>
      <c r="B857">
        <v>8.93</v>
      </c>
      <c r="C857" s="3">
        <f t="shared" si="93"/>
        <v>0.16999999999999993</v>
      </c>
      <c r="D857" s="3">
        <f t="shared" si="89"/>
        <v>0.16999999999999993</v>
      </c>
      <c r="E857" s="3">
        <f t="shared" si="90"/>
        <v>0</v>
      </c>
      <c r="F857" s="3">
        <f t="shared" si="94"/>
        <v>0.12196784796063176</v>
      </c>
      <c r="G857" s="3">
        <f t="shared" si="94"/>
        <v>0.23245593030715778</v>
      </c>
      <c r="H857" s="3">
        <f t="shared" si="91"/>
        <v>0.52469234834950618</v>
      </c>
      <c r="I857" s="3">
        <f t="shared" si="92"/>
        <v>34.412998065969873</v>
      </c>
    </row>
    <row r="858" spans="1:9" ht="15.75" customHeight="1">
      <c r="A858" s="14">
        <v>15373</v>
      </c>
      <c r="B858">
        <v>8.65</v>
      </c>
      <c r="C858" s="3">
        <f t="shared" si="93"/>
        <v>-0.27999999999999936</v>
      </c>
      <c r="D858" s="3">
        <f t="shared" si="89"/>
        <v>0</v>
      </c>
      <c r="E858" s="3">
        <f t="shared" si="90"/>
        <v>0.27999999999999936</v>
      </c>
      <c r="F858" s="3">
        <f t="shared" si="94"/>
        <v>0.11325585882058663</v>
      </c>
      <c r="G858" s="3">
        <f t="shared" si="94"/>
        <v>0.23585193528521789</v>
      </c>
      <c r="H858" s="3">
        <f t="shared" si="91"/>
        <v>0.48019898027813629</v>
      </c>
      <c r="I858" s="3">
        <f t="shared" si="92"/>
        <v>32.441515409496134</v>
      </c>
    </row>
    <row r="859" spans="1:9" ht="15.75" customHeight="1">
      <c r="A859" s="14">
        <v>15401</v>
      </c>
      <c r="B859">
        <v>8.18</v>
      </c>
      <c r="C859" s="3">
        <f t="shared" si="93"/>
        <v>-0.47000000000000064</v>
      </c>
      <c r="D859" s="3">
        <f t="shared" si="89"/>
        <v>0</v>
      </c>
      <c r="E859" s="3">
        <f t="shared" si="90"/>
        <v>0.47000000000000064</v>
      </c>
      <c r="F859" s="3">
        <f t="shared" si="94"/>
        <v>0.10516615461911616</v>
      </c>
      <c r="G859" s="3">
        <f t="shared" si="94"/>
        <v>0.25257679705055952</v>
      </c>
      <c r="H859" s="3">
        <f t="shared" si="91"/>
        <v>0.41637298377041554</v>
      </c>
      <c r="I859" s="3">
        <f t="shared" si="92"/>
        <v>29.397128337058618</v>
      </c>
    </row>
    <row r="860" spans="1:9" ht="15.75" customHeight="1">
      <c r="A860" s="14">
        <v>15432</v>
      </c>
      <c r="B860">
        <v>7.84</v>
      </c>
      <c r="C860" s="3">
        <f t="shared" si="93"/>
        <v>-0.33999999999999986</v>
      </c>
      <c r="D860" s="3">
        <f t="shared" si="89"/>
        <v>0</v>
      </c>
      <c r="E860" s="3">
        <f t="shared" si="90"/>
        <v>0.33999999999999986</v>
      </c>
      <c r="F860" s="3">
        <f t="shared" si="94"/>
        <v>9.7654286432036441E-2</v>
      </c>
      <c r="G860" s="3">
        <f t="shared" si="94"/>
        <v>0.2588213115469481</v>
      </c>
      <c r="H860" s="3">
        <f t="shared" si="91"/>
        <v>0.37730388524950637</v>
      </c>
      <c r="I860" s="3">
        <f t="shared" si="92"/>
        <v>27.394381827446566</v>
      </c>
    </row>
    <row r="861" spans="1:9" ht="15.75" customHeight="1">
      <c r="A861" s="14">
        <v>15462</v>
      </c>
      <c r="B861">
        <v>7.93</v>
      </c>
      <c r="C861" s="3">
        <f t="shared" si="93"/>
        <v>8.9999999999999858E-2</v>
      </c>
      <c r="D861" s="3">
        <f t="shared" si="89"/>
        <v>8.9999999999999858E-2</v>
      </c>
      <c r="E861" s="3">
        <f t="shared" si="90"/>
        <v>0</v>
      </c>
      <c r="F861" s="3">
        <f t="shared" si="94"/>
        <v>9.7107551686890975E-2</v>
      </c>
      <c r="G861" s="3">
        <f t="shared" si="94"/>
        <v>0.24033407500788037</v>
      </c>
      <c r="H861" s="3">
        <f t="shared" si="91"/>
        <v>0.40405236620611079</v>
      </c>
      <c r="I861" s="3">
        <f t="shared" si="92"/>
        <v>28.777585219125442</v>
      </c>
    </row>
    <row r="862" spans="1:9" ht="15.75" customHeight="1">
      <c r="A862" s="14">
        <v>15493</v>
      </c>
      <c r="B862">
        <v>8.33</v>
      </c>
      <c r="C862" s="3">
        <f t="shared" si="93"/>
        <v>0.40000000000000036</v>
      </c>
      <c r="D862" s="3">
        <f t="shared" si="89"/>
        <v>0.40000000000000036</v>
      </c>
      <c r="E862" s="3">
        <f t="shared" si="90"/>
        <v>0</v>
      </c>
      <c r="F862" s="3">
        <f t="shared" si="94"/>
        <v>0.1187427265663988</v>
      </c>
      <c r="G862" s="3">
        <f t="shared" si="94"/>
        <v>0.22316735536446036</v>
      </c>
      <c r="H862" s="3">
        <f t="shared" si="91"/>
        <v>0.53207928360524315</v>
      </c>
      <c r="I862" s="3">
        <f t="shared" si="92"/>
        <v>34.729226437496763</v>
      </c>
    </row>
    <row r="863" spans="1:9" ht="15.75" customHeight="1">
      <c r="A863" s="14">
        <v>15523</v>
      </c>
      <c r="B863">
        <v>8.64</v>
      </c>
      <c r="C863" s="3">
        <f t="shared" si="93"/>
        <v>0.3100000000000005</v>
      </c>
      <c r="D863" s="3">
        <f t="shared" si="89"/>
        <v>0.3100000000000005</v>
      </c>
      <c r="E863" s="3">
        <f t="shared" si="90"/>
        <v>0</v>
      </c>
      <c r="F863" s="3">
        <f t="shared" si="94"/>
        <v>0.13240396038308463</v>
      </c>
      <c r="G863" s="3">
        <f t="shared" si="94"/>
        <v>0.20722682998128464</v>
      </c>
      <c r="H863" s="3">
        <f t="shared" si="91"/>
        <v>0.63893251851144217</v>
      </c>
      <c r="I863" s="3">
        <f t="shared" si="92"/>
        <v>38.984675164768326</v>
      </c>
    </row>
    <row r="864" spans="1:9" ht="15.75" customHeight="1">
      <c r="A864" s="14">
        <v>15554</v>
      </c>
      <c r="B864">
        <v>8.59</v>
      </c>
      <c r="C864" s="3">
        <f t="shared" si="93"/>
        <v>-5.0000000000000711E-2</v>
      </c>
      <c r="D864" s="3">
        <f t="shared" si="89"/>
        <v>0</v>
      </c>
      <c r="E864" s="3">
        <f t="shared" si="90"/>
        <v>5.0000000000000711E-2</v>
      </c>
      <c r="F864" s="3">
        <f t="shared" si="94"/>
        <v>0.12294653464143572</v>
      </c>
      <c r="G864" s="3">
        <f t="shared" si="94"/>
        <v>0.19599634212547865</v>
      </c>
      <c r="H864" s="3">
        <f t="shared" si="91"/>
        <v>0.62728994484358402</v>
      </c>
      <c r="I864" s="3">
        <f t="shared" si="92"/>
        <v>38.548136232961205</v>
      </c>
    </row>
    <row r="865" spans="1:9" ht="15.75" customHeight="1">
      <c r="A865" s="14">
        <v>15585</v>
      </c>
      <c r="B865">
        <v>8.68</v>
      </c>
      <c r="C865" s="3">
        <f t="shared" si="93"/>
        <v>8.9999999999999858E-2</v>
      </c>
      <c r="D865" s="3">
        <f t="shared" si="89"/>
        <v>8.9999999999999858E-2</v>
      </c>
      <c r="E865" s="3">
        <f t="shared" si="90"/>
        <v>0</v>
      </c>
      <c r="F865" s="3">
        <f t="shared" si="94"/>
        <v>0.12059321073847602</v>
      </c>
      <c r="G865" s="3">
        <f t="shared" si="94"/>
        <v>0.18199660340223017</v>
      </c>
      <c r="H865" s="3">
        <f t="shared" si="91"/>
        <v>0.66261242508989748</v>
      </c>
      <c r="I865" s="3">
        <f t="shared" si="92"/>
        <v>39.853691400993227</v>
      </c>
    </row>
    <row r="866" spans="1:9" ht="15.75" customHeight="1">
      <c r="A866" s="14">
        <v>15615</v>
      </c>
      <c r="B866">
        <v>9.32</v>
      </c>
      <c r="C866" s="3">
        <f t="shared" si="93"/>
        <v>0.64000000000000057</v>
      </c>
      <c r="D866" s="3">
        <f t="shared" si="89"/>
        <v>0.64000000000000057</v>
      </c>
      <c r="E866" s="3">
        <f t="shared" si="90"/>
        <v>0</v>
      </c>
      <c r="F866" s="3">
        <f t="shared" si="94"/>
        <v>0.15769369568572777</v>
      </c>
      <c r="G866" s="3">
        <f t="shared" si="94"/>
        <v>0.16899684601635659</v>
      </c>
      <c r="H866" s="3">
        <f t="shared" si="91"/>
        <v>0.93311620543773444</v>
      </c>
      <c r="I866" s="3">
        <f t="shared" si="92"/>
        <v>48.270052406210098</v>
      </c>
    </row>
    <row r="867" spans="1:9" ht="15.75" customHeight="1">
      <c r="A867" s="14">
        <v>15646</v>
      </c>
      <c r="B867">
        <v>9.4700000000000006</v>
      </c>
      <c r="C867" s="3">
        <f t="shared" si="93"/>
        <v>0.15000000000000036</v>
      </c>
      <c r="D867" s="3">
        <f t="shared" si="89"/>
        <v>0.15000000000000036</v>
      </c>
      <c r="E867" s="3">
        <f t="shared" si="90"/>
        <v>0</v>
      </c>
      <c r="F867" s="3">
        <f t="shared" si="94"/>
        <v>0.15714414599389009</v>
      </c>
      <c r="G867" s="3">
        <f t="shared" si="94"/>
        <v>0.15692564272947399</v>
      </c>
      <c r="H867" s="3">
        <f t="shared" si="91"/>
        <v>1.0013923999966836</v>
      </c>
      <c r="I867" s="3">
        <f t="shared" si="92"/>
        <v>50.034785782055685</v>
      </c>
    </row>
    <row r="868" spans="1:9" ht="15.75" customHeight="1">
      <c r="A868" s="14">
        <v>15676</v>
      </c>
      <c r="B868">
        <v>9.52</v>
      </c>
      <c r="C868" s="3">
        <f t="shared" si="93"/>
        <v>4.9999999999998934E-2</v>
      </c>
      <c r="D868" s="3">
        <f t="shared" si="89"/>
        <v>4.9999999999998934E-2</v>
      </c>
      <c r="E868" s="3">
        <f t="shared" si="90"/>
        <v>0</v>
      </c>
      <c r="F868" s="3">
        <f t="shared" si="94"/>
        <v>0.14949099270861216</v>
      </c>
      <c r="G868" s="3">
        <f t="shared" si="94"/>
        <v>0.14571666824879728</v>
      </c>
      <c r="H868" s="3">
        <f t="shared" si="91"/>
        <v>1.0259018031716904</v>
      </c>
      <c r="I868" s="3">
        <f t="shared" si="92"/>
        <v>50.639266008133738</v>
      </c>
    </row>
    <row r="869" spans="1:9" ht="15.75" customHeight="1">
      <c r="A869" s="14">
        <v>15707</v>
      </c>
      <c r="B869">
        <v>10.09</v>
      </c>
      <c r="C869" s="3">
        <f t="shared" si="93"/>
        <v>0.57000000000000028</v>
      </c>
      <c r="D869" s="3">
        <f t="shared" si="89"/>
        <v>0.57000000000000028</v>
      </c>
      <c r="E869" s="3">
        <f t="shared" si="90"/>
        <v>0</v>
      </c>
      <c r="F869" s="3">
        <f t="shared" si="94"/>
        <v>0.17952735037228273</v>
      </c>
      <c r="G869" s="3">
        <f t="shared" si="94"/>
        <v>0.13530833480245461</v>
      </c>
      <c r="H869" s="3">
        <f t="shared" si="91"/>
        <v>1.3268018606125509</v>
      </c>
      <c r="I869" s="3">
        <f t="shared" si="92"/>
        <v>57.022554566088345</v>
      </c>
    </row>
    <row r="870" spans="1:9" ht="15.75" customHeight="1">
      <c r="A870" s="14">
        <v>15738</v>
      </c>
      <c r="B870">
        <v>10.69</v>
      </c>
      <c r="C870" s="3">
        <f t="shared" si="93"/>
        <v>0.59999999999999964</v>
      </c>
      <c r="D870" s="3">
        <f t="shared" ref="D870:D933" si="95">IF(C870&gt;0,C870,0)</f>
        <v>0.59999999999999964</v>
      </c>
      <c r="E870" s="3">
        <f t="shared" ref="E870:E933" si="96">IF(C870&lt;0,-C870,0)</f>
        <v>0</v>
      </c>
      <c r="F870" s="3">
        <f t="shared" si="94"/>
        <v>0.2095611110599768</v>
      </c>
      <c r="G870" s="3">
        <f t="shared" si="94"/>
        <v>0.12564345374513641</v>
      </c>
      <c r="H870" s="3">
        <f t="shared" ref="H870:H933" si="97">F870/G870</f>
        <v>1.6679031403025946</v>
      </c>
      <c r="I870" s="3">
        <f t="shared" ref="I870:I933" si="98">IF(G870=0,100,100-(100/(1+H870)))</f>
        <v>62.517379851857001</v>
      </c>
    </row>
    <row r="871" spans="1:9" ht="15.75" customHeight="1">
      <c r="A871" s="14">
        <v>15766</v>
      </c>
      <c r="B871">
        <v>11.07</v>
      </c>
      <c r="C871" s="3">
        <f t="shared" si="93"/>
        <v>0.38000000000000078</v>
      </c>
      <c r="D871" s="3">
        <f t="shared" si="95"/>
        <v>0.38000000000000078</v>
      </c>
      <c r="E871" s="3">
        <f t="shared" si="96"/>
        <v>0</v>
      </c>
      <c r="F871" s="3">
        <f t="shared" si="94"/>
        <v>0.22173531741283564</v>
      </c>
      <c r="G871" s="3">
        <f t="shared" si="94"/>
        <v>0.11666892133476951</v>
      </c>
      <c r="H871" s="3">
        <f t="shared" si="97"/>
        <v>1.9005517054245225</v>
      </c>
      <c r="I871" s="3">
        <f t="shared" si="98"/>
        <v>65.523800243593968</v>
      </c>
    </row>
    <row r="872" spans="1:9" ht="15.75" customHeight="1">
      <c r="A872" s="14">
        <v>15797</v>
      </c>
      <c r="B872">
        <v>11.44</v>
      </c>
      <c r="C872" s="3">
        <f t="shared" si="93"/>
        <v>0.36999999999999922</v>
      </c>
      <c r="D872" s="3">
        <f t="shared" si="95"/>
        <v>0.36999999999999922</v>
      </c>
      <c r="E872" s="3">
        <f t="shared" si="96"/>
        <v>0</v>
      </c>
      <c r="F872" s="3">
        <f t="shared" si="94"/>
        <v>0.23232565188334733</v>
      </c>
      <c r="G872" s="3">
        <f t="shared" si="94"/>
        <v>0.10833542695371455</v>
      </c>
      <c r="H872" s="3">
        <f t="shared" si="97"/>
        <v>2.1445030348438707</v>
      </c>
      <c r="I872" s="3">
        <f t="shared" si="98"/>
        <v>68.198472416177793</v>
      </c>
    </row>
    <row r="873" spans="1:9" ht="15.75" customHeight="1">
      <c r="A873" s="14">
        <v>15827</v>
      </c>
      <c r="B873">
        <v>11.89</v>
      </c>
      <c r="C873" s="3">
        <f t="shared" si="93"/>
        <v>0.45000000000000107</v>
      </c>
      <c r="D873" s="3">
        <f t="shared" si="95"/>
        <v>0.45000000000000107</v>
      </c>
      <c r="E873" s="3">
        <f t="shared" si="96"/>
        <v>0</v>
      </c>
      <c r="F873" s="3">
        <f t="shared" si="94"/>
        <v>0.24787381960596547</v>
      </c>
      <c r="G873" s="3">
        <f t="shared" si="94"/>
        <v>0.10059718217130638</v>
      </c>
      <c r="H873" s="3">
        <f t="shared" si="97"/>
        <v>2.4640234870979043</v>
      </c>
      <c r="I873" s="3">
        <f t="shared" si="98"/>
        <v>71.13183545883571</v>
      </c>
    </row>
    <row r="874" spans="1:9" ht="15.75" customHeight="1">
      <c r="A874" s="14">
        <v>15858</v>
      </c>
      <c r="B874">
        <v>12.1</v>
      </c>
      <c r="C874" s="3">
        <f t="shared" si="93"/>
        <v>0.20999999999999908</v>
      </c>
      <c r="D874" s="3">
        <f t="shared" si="95"/>
        <v>0.20999999999999908</v>
      </c>
      <c r="E874" s="3">
        <f t="shared" si="96"/>
        <v>0</v>
      </c>
      <c r="F874" s="3">
        <f t="shared" si="94"/>
        <v>0.24516854677696789</v>
      </c>
      <c r="G874" s="3">
        <f t="shared" si="94"/>
        <v>9.3411669159070204E-2</v>
      </c>
      <c r="H874" s="3">
        <f t="shared" si="97"/>
        <v>2.624602996435828</v>
      </c>
      <c r="I874" s="3">
        <f t="shared" si="98"/>
        <v>72.41077158013367</v>
      </c>
    </row>
    <row r="875" spans="1:9" ht="15.75" customHeight="1">
      <c r="A875" s="14">
        <v>15888</v>
      </c>
      <c r="B875">
        <v>12.35</v>
      </c>
      <c r="C875" s="3">
        <f t="shared" ref="C875:C938" si="99">B875-B874</f>
        <v>0.25</v>
      </c>
      <c r="D875" s="3">
        <f t="shared" si="95"/>
        <v>0.25</v>
      </c>
      <c r="E875" s="3">
        <f t="shared" si="96"/>
        <v>0</v>
      </c>
      <c r="F875" s="3">
        <f t="shared" si="94"/>
        <v>0.24551365057861305</v>
      </c>
      <c r="G875" s="3">
        <f t="shared" si="94"/>
        <v>8.6739407076279473E-2</v>
      </c>
      <c r="H875" s="3">
        <f t="shared" si="97"/>
        <v>2.83047416225368</v>
      </c>
      <c r="I875" s="3">
        <f t="shared" si="98"/>
        <v>73.89357145770056</v>
      </c>
    </row>
    <row r="876" spans="1:9" ht="15.75" customHeight="1">
      <c r="A876" s="14">
        <v>15919</v>
      </c>
      <c r="B876">
        <v>11.74</v>
      </c>
      <c r="C876" s="3">
        <f t="shared" si="99"/>
        <v>-0.60999999999999943</v>
      </c>
      <c r="D876" s="3">
        <f t="shared" si="95"/>
        <v>0</v>
      </c>
      <c r="E876" s="3">
        <f t="shared" si="96"/>
        <v>0.60999999999999943</v>
      </c>
      <c r="F876" s="3">
        <f t="shared" si="94"/>
        <v>0.22797696125156924</v>
      </c>
      <c r="G876" s="3">
        <f t="shared" si="94"/>
        <v>0.12411516371368804</v>
      </c>
      <c r="H876" s="3">
        <f t="shared" si="97"/>
        <v>1.8368179554391291</v>
      </c>
      <c r="I876" s="3">
        <f t="shared" si="98"/>
        <v>64.749236090998878</v>
      </c>
    </row>
    <row r="877" spans="1:9" ht="15.75" customHeight="1">
      <c r="A877" s="14">
        <v>15950</v>
      </c>
      <c r="B877">
        <v>11.99</v>
      </c>
      <c r="C877" s="3">
        <f t="shared" si="99"/>
        <v>0.25</v>
      </c>
      <c r="D877" s="3">
        <f t="shared" si="95"/>
        <v>0.25</v>
      </c>
      <c r="E877" s="3">
        <f t="shared" si="96"/>
        <v>0</v>
      </c>
      <c r="F877" s="3">
        <f t="shared" si="94"/>
        <v>0.22955003544788571</v>
      </c>
      <c r="G877" s="3">
        <f t="shared" si="94"/>
        <v>0.11524979487699603</v>
      </c>
      <c r="H877" s="3">
        <f t="shared" si="97"/>
        <v>1.9917609024196548</v>
      </c>
      <c r="I877" s="3">
        <f t="shared" si="98"/>
        <v>66.574869028095549</v>
      </c>
    </row>
    <row r="878" spans="1:9" ht="15.75" customHeight="1">
      <c r="A878" s="14">
        <v>15980</v>
      </c>
      <c r="B878">
        <v>11.88</v>
      </c>
      <c r="C878" s="3">
        <f t="shared" si="99"/>
        <v>-0.10999999999999943</v>
      </c>
      <c r="D878" s="3">
        <f t="shared" si="95"/>
        <v>0</v>
      </c>
      <c r="E878" s="3">
        <f t="shared" si="96"/>
        <v>0.10999999999999943</v>
      </c>
      <c r="F878" s="3">
        <f t="shared" si="94"/>
        <v>0.21315360434446531</v>
      </c>
      <c r="G878" s="3">
        <f t="shared" si="94"/>
        <v>0.11487480952863914</v>
      </c>
      <c r="H878" s="3">
        <f t="shared" si="97"/>
        <v>1.8555295562107073</v>
      </c>
      <c r="I878" s="3">
        <f t="shared" si="98"/>
        <v>64.980225898029175</v>
      </c>
    </row>
    <row r="879" spans="1:9" ht="15.75" customHeight="1">
      <c r="A879" s="14">
        <v>16011</v>
      </c>
      <c r="B879">
        <v>11.33</v>
      </c>
      <c r="C879" s="3">
        <f t="shared" si="99"/>
        <v>-0.55000000000000071</v>
      </c>
      <c r="D879" s="3">
        <f t="shared" si="95"/>
        <v>0</v>
      </c>
      <c r="E879" s="3">
        <f t="shared" si="96"/>
        <v>0.55000000000000071</v>
      </c>
      <c r="F879" s="3">
        <f t="shared" si="94"/>
        <v>0.19792834689128921</v>
      </c>
      <c r="G879" s="3">
        <f t="shared" si="94"/>
        <v>0.14595518027659354</v>
      </c>
      <c r="H879" s="3">
        <f t="shared" si="97"/>
        <v>1.3560899073003336</v>
      </c>
      <c r="I879" s="3">
        <f t="shared" si="98"/>
        <v>57.556797943002735</v>
      </c>
    </row>
    <row r="880" spans="1:9" ht="15.75" customHeight="1">
      <c r="A880" s="14">
        <v>16041</v>
      </c>
      <c r="B880">
        <v>11.48</v>
      </c>
      <c r="C880" s="3">
        <f t="shared" si="99"/>
        <v>0.15000000000000036</v>
      </c>
      <c r="D880" s="3">
        <f t="shared" si="95"/>
        <v>0.15000000000000036</v>
      </c>
      <c r="E880" s="3">
        <f t="shared" si="96"/>
        <v>0</v>
      </c>
      <c r="F880" s="3">
        <f t="shared" si="94"/>
        <v>0.19450489354191142</v>
      </c>
      <c r="G880" s="3">
        <f t="shared" si="94"/>
        <v>0.13552981025683686</v>
      </c>
      <c r="H880" s="3">
        <f t="shared" si="97"/>
        <v>1.4351447343821506</v>
      </c>
      <c r="I880" s="3">
        <f t="shared" si="98"/>
        <v>58.934679081663631</v>
      </c>
    </row>
    <row r="881" spans="1:9" ht="15.75" customHeight="1">
      <c r="A881" s="14">
        <v>16072</v>
      </c>
      <c r="B881">
        <v>11.85</v>
      </c>
      <c r="C881" s="3">
        <f t="shared" si="99"/>
        <v>0.36999999999999922</v>
      </c>
      <c r="D881" s="3">
        <f t="shared" si="95"/>
        <v>0.36999999999999922</v>
      </c>
      <c r="E881" s="3">
        <f t="shared" si="96"/>
        <v>0</v>
      </c>
      <c r="F881" s="3">
        <f t="shared" si="94"/>
        <v>0.2070402582889177</v>
      </c>
      <c r="G881" s="3">
        <f t="shared" si="94"/>
        <v>0.12584910952420564</v>
      </c>
      <c r="H881" s="3">
        <f t="shared" si="97"/>
        <v>1.6451467878610286</v>
      </c>
      <c r="I881" s="3">
        <f t="shared" si="98"/>
        <v>62.194914679625775</v>
      </c>
    </row>
    <row r="882" spans="1:9" ht="15.75" customHeight="1">
      <c r="A882" s="14">
        <v>16103</v>
      </c>
      <c r="B882">
        <v>11.77</v>
      </c>
      <c r="C882" s="3">
        <f t="shared" si="99"/>
        <v>-8.0000000000000071E-2</v>
      </c>
      <c r="D882" s="3">
        <f t="shared" si="95"/>
        <v>0</v>
      </c>
      <c r="E882" s="3">
        <f t="shared" si="96"/>
        <v>8.0000000000000071E-2</v>
      </c>
      <c r="F882" s="3">
        <f t="shared" si="94"/>
        <v>0.19225166841113786</v>
      </c>
      <c r="G882" s="3">
        <f t="shared" si="94"/>
        <v>0.12257417312961952</v>
      </c>
      <c r="H882" s="3">
        <f t="shared" si="97"/>
        <v>1.5684516852325483</v>
      </c>
      <c r="I882" s="3">
        <f t="shared" si="98"/>
        <v>61.066038121349372</v>
      </c>
    </row>
    <row r="883" spans="1:9" ht="15.75" customHeight="1">
      <c r="A883" s="14">
        <v>16132</v>
      </c>
      <c r="B883">
        <v>12.1</v>
      </c>
      <c r="C883" s="3">
        <f t="shared" si="99"/>
        <v>0.33000000000000007</v>
      </c>
      <c r="D883" s="3">
        <f t="shared" si="95"/>
        <v>0.33000000000000007</v>
      </c>
      <c r="E883" s="3">
        <f t="shared" si="96"/>
        <v>0</v>
      </c>
      <c r="F883" s="3">
        <f t="shared" si="94"/>
        <v>0.20209083495319943</v>
      </c>
      <c r="G883" s="3">
        <f t="shared" si="94"/>
        <v>0.11381887504893241</v>
      </c>
      <c r="H883" s="3">
        <f t="shared" si="97"/>
        <v>1.7755476397593775</v>
      </c>
      <c r="I883" s="3">
        <f t="shared" si="98"/>
        <v>63.971074188202593</v>
      </c>
    </row>
    <row r="884" spans="1:9" ht="15.75" customHeight="1">
      <c r="A884" s="14">
        <v>16163</v>
      </c>
      <c r="B884">
        <v>11.89</v>
      </c>
      <c r="C884" s="3">
        <f t="shared" si="99"/>
        <v>-0.20999999999999908</v>
      </c>
      <c r="D884" s="3">
        <f t="shared" si="95"/>
        <v>0</v>
      </c>
      <c r="E884" s="3">
        <f t="shared" si="96"/>
        <v>0.20999999999999908</v>
      </c>
      <c r="F884" s="3">
        <f t="shared" si="94"/>
        <v>0.18765577531368519</v>
      </c>
      <c r="G884" s="3">
        <f t="shared" si="94"/>
        <v>0.12068895540258004</v>
      </c>
      <c r="H884" s="3">
        <f t="shared" si="97"/>
        <v>1.5548711536008004</v>
      </c>
      <c r="I884" s="3">
        <f t="shared" si="98"/>
        <v>60.85908290949962</v>
      </c>
    </row>
    <row r="885" spans="1:9" ht="15.75" customHeight="1">
      <c r="A885" s="14">
        <v>16193</v>
      </c>
      <c r="B885">
        <v>12.1</v>
      </c>
      <c r="C885" s="3">
        <f t="shared" si="99"/>
        <v>0.20999999999999908</v>
      </c>
      <c r="D885" s="3">
        <f t="shared" si="95"/>
        <v>0.20999999999999908</v>
      </c>
      <c r="E885" s="3">
        <f t="shared" si="96"/>
        <v>0</v>
      </c>
      <c r="F885" s="3">
        <f t="shared" si="94"/>
        <v>0.18925179136270762</v>
      </c>
      <c r="G885" s="3">
        <f t="shared" si="94"/>
        <v>0.11206831573096718</v>
      </c>
      <c r="H885" s="3">
        <f t="shared" si="97"/>
        <v>1.6887180835038889</v>
      </c>
      <c r="I885" s="3">
        <f t="shared" si="98"/>
        <v>62.807554792177463</v>
      </c>
    </row>
    <row r="886" spans="1:9" ht="15.75" customHeight="1">
      <c r="A886" s="14">
        <v>16224</v>
      </c>
      <c r="B886">
        <v>12.67</v>
      </c>
      <c r="C886" s="3">
        <f t="shared" si="99"/>
        <v>0.57000000000000028</v>
      </c>
      <c r="D886" s="3">
        <f t="shared" si="95"/>
        <v>0.57000000000000028</v>
      </c>
      <c r="E886" s="3">
        <f t="shared" si="96"/>
        <v>0</v>
      </c>
      <c r="F886" s="3">
        <f t="shared" si="94"/>
        <v>0.21644809197965711</v>
      </c>
      <c r="G886" s="3">
        <f t="shared" si="94"/>
        <v>0.10406343603589809</v>
      </c>
      <c r="H886" s="3">
        <f t="shared" si="97"/>
        <v>2.0799629555283032</v>
      </c>
      <c r="I886" s="3">
        <f t="shared" si="98"/>
        <v>67.532077026930637</v>
      </c>
    </row>
    <row r="887" spans="1:9" ht="15.75" customHeight="1">
      <c r="A887" s="14">
        <v>16254</v>
      </c>
      <c r="B887">
        <v>13</v>
      </c>
      <c r="C887" s="3">
        <f t="shared" si="99"/>
        <v>0.33000000000000007</v>
      </c>
      <c r="D887" s="3">
        <f t="shared" si="95"/>
        <v>0.33000000000000007</v>
      </c>
      <c r="E887" s="3">
        <f t="shared" si="96"/>
        <v>0</v>
      </c>
      <c r="F887" s="3">
        <f t="shared" si="94"/>
        <v>0.22455894255253875</v>
      </c>
      <c r="G887" s="3">
        <f t="shared" si="94"/>
        <v>9.6630333461905374E-2</v>
      </c>
      <c r="H887" s="3">
        <f t="shared" si="97"/>
        <v>2.3238970052925123</v>
      </c>
      <c r="I887" s="3">
        <f t="shared" si="98"/>
        <v>69.914831945522423</v>
      </c>
    </row>
    <row r="888" spans="1:9" ht="15.75" customHeight="1">
      <c r="A888" s="14">
        <v>16285</v>
      </c>
      <c r="B888">
        <v>12.81</v>
      </c>
      <c r="C888" s="3">
        <f t="shared" si="99"/>
        <v>-0.1899999999999995</v>
      </c>
      <c r="D888" s="3">
        <f t="shared" si="95"/>
        <v>0</v>
      </c>
      <c r="E888" s="3">
        <f t="shared" si="96"/>
        <v>0.1899999999999995</v>
      </c>
      <c r="F888" s="3">
        <f t="shared" si="94"/>
        <v>0.20851901808450027</v>
      </c>
      <c r="G888" s="3">
        <f t="shared" si="94"/>
        <v>0.10329959535748354</v>
      </c>
      <c r="H888" s="3">
        <f t="shared" si="97"/>
        <v>2.0185850424959493</v>
      </c>
      <c r="I888" s="3">
        <f t="shared" si="98"/>
        <v>66.871895741816189</v>
      </c>
    </row>
    <row r="889" spans="1:9" ht="15.75" customHeight="1">
      <c r="A889" s="14">
        <v>16316</v>
      </c>
      <c r="B889">
        <v>12.6</v>
      </c>
      <c r="C889" s="3">
        <f t="shared" si="99"/>
        <v>-0.21000000000000085</v>
      </c>
      <c r="D889" s="3">
        <f t="shared" si="95"/>
        <v>0</v>
      </c>
      <c r="E889" s="3">
        <f t="shared" si="96"/>
        <v>0.21000000000000085</v>
      </c>
      <c r="F889" s="3">
        <f t="shared" si="94"/>
        <v>0.19362480250703595</v>
      </c>
      <c r="G889" s="3">
        <f t="shared" si="94"/>
        <v>0.11092105283194906</v>
      </c>
      <c r="H889" s="3">
        <f t="shared" si="97"/>
        <v>1.7456091297689647</v>
      </c>
      <c r="I889" s="3">
        <f t="shared" si="98"/>
        <v>63.578209689150206</v>
      </c>
    </row>
    <row r="890" spans="1:9" ht="15.75" customHeight="1">
      <c r="A890" s="14">
        <v>16346</v>
      </c>
      <c r="B890">
        <v>12.91</v>
      </c>
      <c r="C890" s="3">
        <f t="shared" si="99"/>
        <v>0.3100000000000005</v>
      </c>
      <c r="D890" s="3">
        <f t="shared" si="95"/>
        <v>0.3100000000000005</v>
      </c>
      <c r="E890" s="3">
        <f t="shared" si="96"/>
        <v>0</v>
      </c>
      <c r="F890" s="3">
        <f t="shared" si="94"/>
        <v>0.20193731661367625</v>
      </c>
      <c r="G890" s="3">
        <f t="shared" si="94"/>
        <v>0.10299812048680983</v>
      </c>
      <c r="H890" s="3">
        <f t="shared" si="97"/>
        <v>1.9605922482783247</v>
      </c>
      <c r="I890" s="3">
        <f t="shared" si="98"/>
        <v>66.222974454468329</v>
      </c>
    </row>
    <row r="891" spans="1:9" ht="15.75" customHeight="1">
      <c r="A891" s="14">
        <v>16377</v>
      </c>
      <c r="B891">
        <v>12.82</v>
      </c>
      <c r="C891" s="3">
        <f t="shared" si="99"/>
        <v>-8.9999999999999858E-2</v>
      </c>
      <c r="D891" s="3">
        <f t="shared" si="95"/>
        <v>0</v>
      </c>
      <c r="E891" s="3">
        <f t="shared" si="96"/>
        <v>8.9999999999999858E-2</v>
      </c>
      <c r="F891" s="3">
        <f t="shared" si="94"/>
        <v>0.18751322256984224</v>
      </c>
      <c r="G891" s="3">
        <f t="shared" si="94"/>
        <v>0.10206968330918054</v>
      </c>
      <c r="H891" s="3">
        <f t="shared" si="97"/>
        <v>1.8371098693609504</v>
      </c>
      <c r="I891" s="3">
        <f t="shared" si="98"/>
        <v>64.75286308791253</v>
      </c>
    </row>
    <row r="892" spans="1:9" ht="15.75" customHeight="1">
      <c r="A892" s="14">
        <v>16407</v>
      </c>
      <c r="B892">
        <v>13.1</v>
      </c>
      <c r="C892" s="3">
        <f t="shared" si="99"/>
        <v>0.27999999999999936</v>
      </c>
      <c r="D892" s="3">
        <f t="shared" si="95"/>
        <v>0.27999999999999936</v>
      </c>
      <c r="E892" s="3">
        <f t="shared" si="96"/>
        <v>0</v>
      </c>
      <c r="F892" s="3">
        <f t="shared" si="94"/>
        <v>0.19411942095771059</v>
      </c>
      <c r="G892" s="3">
        <f t="shared" si="94"/>
        <v>9.4778991644239072E-2</v>
      </c>
      <c r="H892" s="3">
        <f t="shared" si="97"/>
        <v>2.0481270964176765</v>
      </c>
      <c r="I892" s="3">
        <f t="shared" si="98"/>
        <v>67.192969047279746</v>
      </c>
    </row>
    <row r="893" spans="1:9" ht="15.75" customHeight="1">
      <c r="A893" s="14">
        <v>16438</v>
      </c>
      <c r="B893">
        <v>13.49</v>
      </c>
      <c r="C893" s="3">
        <f t="shared" si="99"/>
        <v>0.39000000000000057</v>
      </c>
      <c r="D893" s="3">
        <f t="shared" si="95"/>
        <v>0.39000000000000057</v>
      </c>
      <c r="E893" s="3">
        <f t="shared" si="96"/>
        <v>0</v>
      </c>
      <c r="F893" s="3">
        <f t="shared" si="94"/>
        <v>0.20811089088930274</v>
      </c>
      <c r="G893" s="3">
        <f t="shared" si="94"/>
        <v>8.800906366965057E-2</v>
      </c>
      <c r="H893" s="3">
        <f t="shared" si="97"/>
        <v>2.3646529370027669</v>
      </c>
      <c r="I893" s="3">
        <f t="shared" si="98"/>
        <v>70.279252608716305</v>
      </c>
    </row>
    <row r="894" spans="1:9" ht="15.75" customHeight="1">
      <c r="A894" s="14">
        <v>16469</v>
      </c>
      <c r="B894">
        <v>13.94</v>
      </c>
      <c r="C894" s="3">
        <f t="shared" si="99"/>
        <v>0.44999999999999929</v>
      </c>
      <c r="D894" s="3">
        <f t="shared" si="95"/>
        <v>0.44999999999999929</v>
      </c>
      <c r="E894" s="3">
        <f t="shared" si="96"/>
        <v>0</v>
      </c>
      <c r="F894" s="3">
        <f t="shared" si="94"/>
        <v>0.22538868439720963</v>
      </c>
      <c r="G894" s="3">
        <f t="shared" si="94"/>
        <v>8.172270197896124E-2</v>
      </c>
      <c r="H894" s="3">
        <f t="shared" si="97"/>
        <v>2.7579690702741799</v>
      </c>
      <c r="I894" s="3">
        <f t="shared" si="98"/>
        <v>73.389882106532596</v>
      </c>
    </row>
    <row r="895" spans="1:9" ht="15.75" customHeight="1">
      <c r="A895" s="14">
        <v>16497</v>
      </c>
      <c r="B895">
        <v>13.93</v>
      </c>
      <c r="C895" s="3">
        <f t="shared" si="99"/>
        <v>-9.9999999999997868E-3</v>
      </c>
      <c r="D895" s="3">
        <f t="shared" si="95"/>
        <v>0</v>
      </c>
      <c r="E895" s="3">
        <f t="shared" si="96"/>
        <v>9.9999999999997868E-3</v>
      </c>
      <c r="F895" s="3">
        <f t="shared" si="94"/>
        <v>0.20928949265455182</v>
      </c>
      <c r="G895" s="3">
        <f t="shared" si="94"/>
        <v>7.659965183760685E-2</v>
      </c>
      <c r="H895" s="3">
        <f t="shared" si="97"/>
        <v>2.7322512261315586</v>
      </c>
      <c r="I895" s="3">
        <f t="shared" si="98"/>
        <v>73.206519620157238</v>
      </c>
    </row>
    <row r="896" spans="1:9" ht="15.75" customHeight="1">
      <c r="A896" s="14">
        <v>16528</v>
      </c>
      <c r="B896">
        <v>14.28</v>
      </c>
      <c r="C896" s="3">
        <f t="shared" si="99"/>
        <v>0.34999999999999964</v>
      </c>
      <c r="D896" s="3">
        <f t="shared" si="95"/>
        <v>0.34999999999999964</v>
      </c>
      <c r="E896" s="3">
        <f t="shared" si="96"/>
        <v>0</v>
      </c>
      <c r="F896" s="3">
        <f t="shared" si="94"/>
        <v>0.21934024317922665</v>
      </c>
      <c r="G896" s="3">
        <f t="shared" si="94"/>
        <v>7.1128248134920649E-2</v>
      </c>
      <c r="H896" s="3">
        <f t="shared" si="97"/>
        <v>3.0837290237089481</v>
      </c>
      <c r="I896" s="3">
        <f t="shared" si="98"/>
        <v>75.512577005127184</v>
      </c>
    </row>
    <row r="897" spans="1:9" ht="15.75" customHeight="1">
      <c r="A897" s="14">
        <v>16558</v>
      </c>
      <c r="B897">
        <v>14.82</v>
      </c>
      <c r="C897" s="3">
        <f t="shared" si="99"/>
        <v>0.54000000000000092</v>
      </c>
      <c r="D897" s="3">
        <f t="shared" si="95"/>
        <v>0.54000000000000092</v>
      </c>
      <c r="E897" s="3">
        <f t="shared" si="96"/>
        <v>0</v>
      </c>
      <c r="F897" s="3">
        <f t="shared" si="94"/>
        <v>0.24224451152356766</v>
      </c>
      <c r="G897" s="3">
        <f t="shared" si="94"/>
        <v>6.6047658982426316E-2</v>
      </c>
      <c r="H897" s="3">
        <f t="shared" si="97"/>
        <v>3.667722902760612</v>
      </c>
      <c r="I897" s="3">
        <f t="shared" si="98"/>
        <v>78.576277537628158</v>
      </c>
    </row>
    <row r="898" spans="1:9" ht="15.75" customHeight="1">
      <c r="A898" s="14">
        <v>16589</v>
      </c>
      <c r="B898">
        <v>15.09</v>
      </c>
      <c r="C898" s="3">
        <f t="shared" si="99"/>
        <v>0.26999999999999957</v>
      </c>
      <c r="D898" s="3">
        <f t="shared" si="95"/>
        <v>0.26999999999999957</v>
      </c>
      <c r="E898" s="3">
        <f t="shared" si="96"/>
        <v>0</v>
      </c>
      <c r="F898" s="3">
        <f t="shared" si="94"/>
        <v>0.24422704641474136</v>
      </c>
      <c r="G898" s="3">
        <f t="shared" si="94"/>
        <v>6.1329969055110158E-2</v>
      </c>
      <c r="H898" s="3">
        <f t="shared" si="97"/>
        <v>3.9821811453268912</v>
      </c>
      <c r="I898" s="3">
        <f t="shared" si="98"/>
        <v>79.928469663573665</v>
      </c>
    </row>
    <row r="899" spans="1:9" ht="15.75" customHeight="1">
      <c r="A899" s="14">
        <v>16619</v>
      </c>
      <c r="B899">
        <v>14.78</v>
      </c>
      <c r="C899" s="3">
        <f t="shared" si="99"/>
        <v>-0.3100000000000005</v>
      </c>
      <c r="D899" s="3">
        <f t="shared" si="95"/>
        <v>0</v>
      </c>
      <c r="E899" s="3">
        <f t="shared" si="96"/>
        <v>0.3100000000000005</v>
      </c>
      <c r="F899" s="3">
        <f t="shared" si="94"/>
        <v>0.22678225738511698</v>
      </c>
      <c r="G899" s="3">
        <f t="shared" si="94"/>
        <v>7.9092114122602322E-2</v>
      </c>
      <c r="H899" s="3">
        <f t="shared" si="97"/>
        <v>2.8673181884299757</v>
      </c>
      <c r="I899" s="3">
        <f t="shared" si="98"/>
        <v>74.142287981585184</v>
      </c>
    </row>
    <row r="900" spans="1:9" ht="15.75" customHeight="1">
      <c r="A900" s="14">
        <v>16650</v>
      </c>
      <c r="B900">
        <v>14.83</v>
      </c>
      <c r="C900" s="3">
        <f t="shared" si="99"/>
        <v>5.0000000000000711E-2</v>
      </c>
      <c r="D900" s="3">
        <f t="shared" si="95"/>
        <v>5.0000000000000711E-2</v>
      </c>
      <c r="E900" s="3">
        <f t="shared" si="96"/>
        <v>0</v>
      </c>
      <c r="F900" s="3">
        <f t="shared" si="94"/>
        <v>0.21415495328618012</v>
      </c>
      <c r="G900" s="3">
        <f t="shared" si="94"/>
        <v>7.34426773995593E-2</v>
      </c>
      <c r="H900" s="3">
        <f t="shared" si="97"/>
        <v>2.9159469789082766</v>
      </c>
      <c r="I900" s="3">
        <f t="shared" si="98"/>
        <v>74.463392753116665</v>
      </c>
    </row>
    <row r="901" spans="1:9" ht="15.75" customHeight="1">
      <c r="A901" s="14">
        <v>16681</v>
      </c>
      <c r="B901">
        <v>15.84</v>
      </c>
      <c r="C901" s="3">
        <f t="shared" si="99"/>
        <v>1.0099999999999998</v>
      </c>
      <c r="D901" s="3">
        <f t="shared" si="95"/>
        <v>1.0099999999999998</v>
      </c>
      <c r="E901" s="3">
        <f t="shared" si="96"/>
        <v>0</v>
      </c>
      <c r="F901" s="3">
        <f t="shared" si="94"/>
        <v>0.27100102805145293</v>
      </c>
      <c r="G901" s="3">
        <f t="shared" si="94"/>
        <v>6.8196771871019343E-2</v>
      </c>
      <c r="H901" s="3">
        <f t="shared" si="97"/>
        <v>3.9738102056208406</v>
      </c>
      <c r="I901" s="3">
        <f t="shared" si="98"/>
        <v>79.894689208890355</v>
      </c>
    </row>
    <row r="902" spans="1:9" ht="15.75" customHeight="1">
      <c r="A902" s="14">
        <v>16711</v>
      </c>
      <c r="B902">
        <v>16.5</v>
      </c>
      <c r="C902" s="3">
        <f t="shared" si="99"/>
        <v>0.66000000000000014</v>
      </c>
      <c r="D902" s="3">
        <f t="shared" si="95"/>
        <v>0.66000000000000014</v>
      </c>
      <c r="E902" s="3">
        <f t="shared" si="96"/>
        <v>0</v>
      </c>
      <c r="F902" s="3">
        <f t="shared" si="94"/>
        <v>0.29878666890492056</v>
      </c>
      <c r="G902" s="3">
        <f t="shared" si="94"/>
        <v>6.3325573880232244E-2</v>
      </c>
      <c r="H902" s="3">
        <f t="shared" si="97"/>
        <v>4.7182623164223703</v>
      </c>
      <c r="I902" s="3">
        <f t="shared" si="98"/>
        <v>82.512169874962126</v>
      </c>
    </row>
    <row r="903" spans="1:9" ht="15.75" customHeight="1">
      <c r="A903" s="14">
        <v>16742</v>
      </c>
      <c r="B903">
        <v>17.04</v>
      </c>
      <c r="C903" s="3">
        <f t="shared" si="99"/>
        <v>0.53999999999999915</v>
      </c>
      <c r="D903" s="3">
        <f t="shared" si="95"/>
        <v>0.53999999999999915</v>
      </c>
      <c r="E903" s="3">
        <f t="shared" si="96"/>
        <v>0</v>
      </c>
      <c r="F903" s="3">
        <f t="shared" si="94"/>
        <v>0.31601619255456903</v>
      </c>
      <c r="G903" s="3">
        <f t="shared" si="94"/>
        <v>5.8802318603072799E-2</v>
      </c>
      <c r="H903" s="3">
        <f t="shared" si="97"/>
        <v>5.3742131273384031</v>
      </c>
      <c r="I903" s="3">
        <f t="shared" si="98"/>
        <v>84.311789078543768</v>
      </c>
    </row>
    <row r="904" spans="1:9" ht="15.75" customHeight="1">
      <c r="A904" s="14">
        <v>16772</v>
      </c>
      <c r="B904">
        <v>17.329999999999998</v>
      </c>
      <c r="C904" s="3">
        <f t="shared" si="99"/>
        <v>0.28999999999999915</v>
      </c>
      <c r="D904" s="3">
        <f t="shared" si="95"/>
        <v>0.28999999999999915</v>
      </c>
      <c r="E904" s="3">
        <f t="shared" si="96"/>
        <v>0</v>
      </c>
      <c r="F904" s="3">
        <f t="shared" si="94"/>
        <v>0.31415789308638548</v>
      </c>
      <c r="G904" s="3">
        <f t="shared" si="94"/>
        <v>5.4602152988567597E-2</v>
      </c>
      <c r="H904" s="3">
        <f t="shared" si="97"/>
        <v>5.753580690346821</v>
      </c>
      <c r="I904" s="3">
        <f t="shared" si="98"/>
        <v>85.19303987247325</v>
      </c>
    </row>
    <row r="905" spans="1:9" ht="15.75" customHeight="1">
      <c r="A905" s="14">
        <v>16803</v>
      </c>
      <c r="B905">
        <v>18.02</v>
      </c>
      <c r="C905" s="3">
        <f t="shared" si="99"/>
        <v>0.69000000000000128</v>
      </c>
      <c r="D905" s="3">
        <f t="shared" si="95"/>
        <v>0.69000000000000128</v>
      </c>
      <c r="E905" s="3">
        <f t="shared" si="96"/>
        <v>0</v>
      </c>
      <c r="F905" s="3">
        <f t="shared" si="94"/>
        <v>0.34100375786592946</v>
      </c>
      <c r="G905" s="3">
        <f t="shared" si="94"/>
        <v>5.0701999203669912E-2</v>
      </c>
      <c r="H905" s="3">
        <f t="shared" si="97"/>
        <v>6.7256471780553957</v>
      </c>
      <c r="I905" s="3">
        <f t="shared" si="98"/>
        <v>87.056100583515033</v>
      </c>
    </row>
    <row r="906" spans="1:9" ht="15.75" customHeight="1">
      <c r="A906" s="14">
        <v>16834</v>
      </c>
      <c r="B906">
        <v>18.07</v>
      </c>
      <c r="C906" s="3">
        <f t="shared" si="99"/>
        <v>5.0000000000000711E-2</v>
      </c>
      <c r="D906" s="3">
        <f t="shared" si="95"/>
        <v>5.0000000000000711E-2</v>
      </c>
      <c r="E906" s="3">
        <f t="shared" si="96"/>
        <v>0</v>
      </c>
      <c r="F906" s="3">
        <f t="shared" si="94"/>
        <v>0.32021777516122024</v>
      </c>
      <c r="G906" s="3">
        <f t="shared" si="94"/>
        <v>4.7080427831979202E-2</v>
      </c>
      <c r="H906" s="3">
        <f t="shared" si="97"/>
        <v>6.8015052094261881</v>
      </c>
      <c r="I906" s="3">
        <f t="shared" si="98"/>
        <v>87.181960747885583</v>
      </c>
    </row>
    <row r="907" spans="1:9" ht="15.75" customHeight="1">
      <c r="A907" s="14">
        <v>16862</v>
      </c>
      <c r="B907">
        <v>17.53</v>
      </c>
      <c r="C907" s="3">
        <f t="shared" si="99"/>
        <v>-0.53999999999999915</v>
      </c>
      <c r="D907" s="3">
        <f t="shared" si="95"/>
        <v>0</v>
      </c>
      <c r="E907" s="3">
        <f t="shared" si="96"/>
        <v>0.53999999999999915</v>
      </c>
      <c r="F907" s="3">
        <f t="shared" si="94"/>
        <v>0.29734507693541878</v>
      </c>
      <c r="G907" s="3">
        <f t="shared" si="94"/>
        <v>8.2288968701123483E-2</v>
      </c>
      <c r="H907" s="3">
        <f t="shared" si="97"/>
        <v>3.6134257316480278</v>
      </c>
      <c r="I907" s="3">
        <f t="shared" si="98"/>
        <v>78.32413355784584</v>
      </c>
    </row>
    <row r="908" spans="1:9" ht="15.75" customHeight="1">
      <c r="A908" s="14">
        <v>16893</v>
      </c>
      <c r="B908">
        <v>18.66</v>
      </c>
      <c r="C908" s="3">
        <f t="shared" si="99"/>
        <v>1.129999999999999</v>
      </c>
      <c r="D908" s="3">
        <f t="shared" si="95"/>
        <v>1.129999999999999</v>
      </c>
      <c r="E908" s="3">
        <f t="shared" si="96"/>
        <v>0</v>
      </c>
      <c r="F908" s="3">
        <f t="shared" si="94"/>
        <v>0.35682042858288882</v>
      </c>
      <c r="G908" s="3">
        <f t="shared" si="94"/>
        <v>7.6411185222471811E-2</v>
      </c>
      <c r="H908" s="3">
        <f t="shared" si="97"/>
        <v>4.6697407917964249</v>
      </c>
      <c r="I908" s="3">
        <f t="shared" si="98"/>
        <v>82.362509385845215</v>
      </c>
    </row>
    <row r="909" spans="1:9" ht="15.75" customHeight="1">
      <c r="A909" s="14">
        <v>16923</v>
      </c>
      <c r="B909">
        <v>18.7</v>
      </c>
      <c r="C909" s="3">
        <f t="shared" si="99"/>
        <v>3.9999999999999147E-2</v>
      </c>
      <c r="D909" s="3">
        <f t="shared" si="95"/>
        <v>3.9999999999999147E-2</v>
      </c>
      <c r="E909" s="3">
        <f t="shared" si="96"/>
        <v>0</v>
      </c>
      <c r="F909" s="3">
        <f t="shared" si="94"/>
        <v>0.33419039796982525</v>
      </c>
      <c r="G909" s="3">
        <f t="shared" si="94"/>
        <v>7.0953243420866688E-2</v>
      </c>
      <c r="H909" s="3">
        <f t="shared" si="97"/>
        <v>4.7100087586911208</v>
      </c>
      <c r="I909" s="3">
        <f t="shared" si="98"/>
        <v>82.486892012592548</v>
      </c>
    </row>
    <row r="910" spans="1:9" ht="15.75" customHeight="1">
      <c r="A910" s="14">
        <v>16954</v>
      </c>
      <c r="B910">
        <v>18.579999999999998</v>
      </c>
      <c r="C910" s="3">
        <f t="shared" si="99"/>
        <v>-0.12000000000000099</v>
      </c>
      <c r="D910" s="3">
        <f t="shared" si="95"/>
        <v>0</v>
      </c>
      <c r="E910" s="3">
        <f t="shared" si="96"/>
        <v>0.12000000000000099</v>
      </c>
      <c r="F910" s="3">
        <f t="shared" si="94"/>
        <v>0.31031965525769489</v>
      </c>
      <c r="G910" s="3">
        <f t="shared" si="94"/>
        <v>7.4456583176519139E-2</v>
      </c>
      <c r="H910" s="3">
        <f t="shared" si="97"/>
        <v>4.1677933907066294</v>
      </c>
      <c r="I910" s="3">
        <f t="shared" si="98"/>
        <v>80.649381188529617</v>
      </c>
    </row>
    <row r="911" spans="1:9" ht="15.75" customHeight="1">
      <c r="A911" s="14">
        <v>16984</v>
      </c>
      <c r="B911">
        <v>18.05</v>
      </c>
      <c r="C911" s="3">
        <f t="shared" si="99"/>
        <v>-0.52999999999999758</v>
      </c>
      <c r="D911" s="3">
        <f t="shared" si="95"/>
        <v>0</v>
      </c>
      <c r="E911" s="3">
        <f t="shared" si="96"/>
        <v>0.52999999999999758</v>
      </c>
      <c r="F911" s="3">
        <f t="shared" si="94"/>
        <v>0.28815396559643097</v>
      </c>
      <c r="G911" s="3">
        <f t="shared" si="94"/>
        <v>0.10699539866391046</v>
      </c>
      <c r="H911" s="3">
        <f t="shared" si="97"/>
        <v>2.6931435294854906</v>
      </c>
      <c r="I911" s="3">
        <f t="shared" si="98"/>
        <v>72.922796202851217</v>
      </c>
    </row>
    <row r="912" spans="1:9" ht="15.75" customHeight="1">
      <c r="A912" s="14">
        <v>17015</v>
      </c>
      <c r="B912">
        <v>17.7</v>
      </c>
      <c r="C912" s="3">
        <f t="shared" si="99"/>
        <v>-0.35000000000000142</v>
      </c>
      <c r="D912" s="3">
        <f t="shared" si="95"/>
        <v>0</v>
      </c>
      <c r="E912" s="3">
        <f t="shared" si="96"/>
        <v>0.35000000000000142</v>
      </c>
      <c r="F912" s="3">
        <f t="shared" si="94"/>
        <v>0.2675715394824002</v>
      </c>
      <c r="G912" s="3">
        <f t="shared" si="94"/>
        <v>0.12435287018791696</v>
      </c>
      <c r="H912" s="3">
        <f t="shared" si="97"/>
        <v>2.1517118107371149</v>
      </c>
      <c r="I912" s="3">
        <f t="shared" si="98"/>
        <v>68.271210692765649</v>
      </c>
    </row>
    <row r="913" spans="1:9" ht="15.75" customHeight="1">
      <c r="A913" s="14">
        <v>17046</v>
      </c>
      <c r="B913">
        <v>15.09</v>
      </c>
      <c r="C913" s="3">
        <f t="shared" si="99"/>
        <v>-2.6099999999999994</v>
      </c>
      <c r="D913" s="3">
        <f t="shared" si="95"/>
        <v>0</v>
      </c>
      <c r="E913" s="3">
        <f t="shared" si="96"/>
        <v>2.6099999999999994</v>
      </c>
      <c r="F913" s="3">
        <f t="shared" si="94"/>
        <v>0.24845928666222877</v>
      </c>
      <c r="G913" s="3">
        <f t="shared" si="94"/>
        <v>0.30189909374592283</v>
      </c>
      <c r="H913" s="3">
        <f t="shared" si="97"/>
        <v>0.82298785193217971</v>
      </c>
      <c r="I913" s="3">
        <f t="shared" si="98"/>
        <v>45.144999241761113</v>
      </c>
    </row>
    <row r="914" spans="1:9" ht="15.75" customHeight="1">
      <c r="A914" s="14">
        <v>17076</v>
      </c>
      <c r="B914">
        <v>14.75</v>
      </c>
      <c r="C914" s="3">
        <f t="shared" si="99"/>
        <v>-0.33999999999999986</v>
      </c>
      <c r="D914" s="3">
        <f t="shared" si="95"/>
        <v>0</v>
      </c>
      <c r="E914" s="3">
        <f t="shared" si="96"/>
        <v>0.33999999999999986</v>
      </c>
      <c r="F914" s="3">
        <f t="shared" ref="F914:G977" si="100">((F913*13)+D914)/14</f>
        <v>0.23071219475778387</v>
      </c>
      <c r="G914" s="3">
        <f t="shared" si="100"/>
        <v>0.30462058704978545</v>
      </c>
      <c r="H914" s="3">
        <f t="shared" si="97"/>
        <v>0.75737558315478393</v>
      </c>
      <c r="I914" s="3">
        <f t="shared" si="98"/>
        <v>43.096967456163682</v>
      </c>
    </row>
    <row r="915" spans="1:9" ht="15.75" customHeight="1">
      <c r="A915" s="14">
        <v>17107</v>
      </c>
      <c r="B915">
        <v>14.69</v>
      </c>
      <c r="C915" s="3">
        <f t="shared" si="99"/>
        <v>-6.0000000000000497E-2</v>
      </c>
      <c r="D915" s="3">
        <f t="shared" si="95"/>
        <v>0</v>
      </c>
      <c r="E915" s="3">
        <f t="shared" si="96"/>
        <v>6.0000000000000497E-2</v>
      </c>
      <c r="F915" s="3">
        <f t="shared" si="100"/>
        <v>0.21423275227508504</v>
      </c>
      <c r="G915" s="3">
        <f t="shared" si="100"/>
        <v>0.28714768797480084</v>
      </c>
      <c r="H915" s="3">
        <f t="shared" si="97"/>
        <v>0.74607166014822801</v>
      </c>
      <c r="I915" s="3">
        <f t="shared" si="98"/>
        <v>42.728581946338458</v>
      </c>
    </row>
    <row r="916" spans="1:9" ht="15.75" customHeight="1">
      <c r="A916" s="14">
        <v>17137</v>
      </c>
      <c r="B916">
        <v>15.13</v>
      </c>
      <c r="C916" s="3">
        <f t="shared" si="99"/>
        <v>0.44000000000000128</v>
      </c>
      <c r="D916" s="3">
        <f t="shared" si="95"/>
        <v>0.44000000000000128</v>
      </c>
      <c r="E916" s="3">
        <f t="shared" si="96"/>
        <v>0</v>
      </c>
      <c r="F916" s="3">
        <f t="shared" si="100"/>
        <v>0.23035898425543619</v>
      </c>
      <c r="G916" s="3">
        <f t="shared" si="100"/>
        <v>0.26663713883374363</v>
      </c>
      <c r="H916" s="3">
        <f t="shared" si="97"/>
        <v>0.86394185469816354</v>
      </c>
      <c r="I916" s="3">
        <f t="shared" si="98"/>
        <v>46.350257789455853</v>
      </c>
    </row>
    <row r="917" spans="1:9" ht="15.75" customHeight="1">
      <c r="A917" s="14">
        <v>17168</v>
      </c>
      <c r="B917">
        <v>15.21</v>
      </c>
      <c r="C917" s="3">
        <f t="shared" si="99"/>
        <v>8.0000000000000071E-2</v>
      </c>
      <c r="D917" s="3">
        <f t="shared" si="95"/>
        <v>8.0000000000000071E-2</v>
      </c>
      <c r="E917" s="3">
        <f t="shared" si="96"/>
        <v>0</v>
      </c>
      <c r="F917" s="3">
        <f t="shared" si="100"/>
        <v>0.21961905680861932</v>
      </c>
      <c r="G917" s="3">
        <f t="shared" si="100"/>
        <v>0.24759162891704767</v>
      </c>
      <c r="H917" s="3">
        <f t="shared" si="97"/>
        <v>0.88702133335129763</v>
      </c>
      <c r="I917" s="3">
        <f t="shared" si="98"/>
        <v>47.006428474021128</v>
      </c>
    </row>
    <row r="918" spans="1:9" ht="15.75" customHeight="1">
      <c r="A918" s="14">
        <v>17199</v>
      </c>
      <c r="B918">
        <v>15.8</v>
      </c>
      <c r="C918" s="3">
        <f t="shared" si="99"/>
        <v>0.58999999999999986</v>
      </c>
      <c r="D918" s="3">
        <f t="shared" si="95"/>
        <v>0.58999999999999986</v>
      </c>
      <c r="E918" s="3">
        <f t="shared" si="96"/>
        <v>0</v>
      </c>
      <c r="F918" s="3">
        <f t="shared" si="100"/>
        <v>0.24607483846514649</v>
      </c>
      <c r="G918" s="3">
        <f t="shared" si="100"/>
        <v>0.22990651256582997</v>
      </c>
      <c r="H918" s="3">
        <f t="shared" si="97"/>
        <v>1.0703256541925361</v>
      </c>
      <c r="I918" s="3">
        <f t="shared" si="98"/>
        <v>51.698420102415348</v>
      </c>
    </row>
    <row r="919" spans="1:9" ht="15.75" customHeight="1">
      <c r="A919" s="14">
        <v>17227</v>
      </c>
      <c r="B919">
        <v>15.16</v>
      </c>
      <c r="C919" s="3">
        <f t="shared" si="99"/>
        <v>-0.64000000000000057</v>
      </c>
      <c r="D919" s="3">
        <f t="shared" si="95"/>
        <v>0</v>
      </c>
      <c r="E919" s="3">
        <f t="shared" si="96"/>
        <v>0.64000000000000057</v>
      </c>
      <c r="F919" s="3">
        <f t="shared" si="100"/>
        <v>0.22849806428906461</v>
      </c>
      <c r="G919" s="3">
        <f t="shared" si="100"/>
        <v>0.25919890452541361</v>
      </c>
      <c r="H919" s="3">
        <f t="shared" si="97"/>
        <v>0.88155489973014567</v>
      </c>
      <c r="I919" s="3">
        <f t="shared" si="98"/>
        <v>46.852467597760715</v>
      </c>
    </row>
    <row r="920" spans="1:9" ht="15.75" customHeight="1">
      <c r="A920" s="14">
        <v>17258</v>
      </c>
      <c r="B920">
        <v>14.6</v>
      </c>
      <c r="C920" s="3">
        <f t="shared" si="99"/>
        <v>-0.5600000000000005</v>
      </c>
      <c r="D920" s="3">
        <f t="shared" si="95"/>
        <v>0</v>
      </c>
      <c r="E920" s="3">
        <f t="shared" si="96"/>
        <v>0.5600000000000005</v>
      </c>
      <c r="F920" s="3">
        <f t="shared" si="100"/>
        <v>0.21217677398270288</v>
      </c>
      <c r="G920" s="3">
        <f t="shared" si="100"/>
        <v>0.2806846970593127</v>
      </c>
      <c r="H920" s="3">
        <f t="shared" si="97"/>
        <v>0.75592569244295804</v>
      </c>
      <c r="I920" s="3">
        <f t="shared" si="98"/>
        <v>43.049981881139004</v>
      </c>
    </row>
    <row r="921" spans="1:9" ht="15.75" customHeight="1">
      <c r="A921" s="14">
        <v>17288</v>
      </c>
      <c r="B921">
        <v>14.34</v>
      </c>
      <c r="C921" s="3">
        <f t="shared" si="99"/>
        <v>-0.25999999999999979</v>
      </c>
      <c r="D921" s="3">
        <f t="shared" si="95"/>
        <v>0</v>
      </c>
      <c r="E921" s="3">
        <f t="shared" si="96"/>
        <v>0.25999999999999979</v>
      </c>
      <c r="F921" s="3">
        <f t="shared" si="100"/>
        <v>0.19702129012679553</v>
      </c>
      <c r="G921" s="3">
        <f t="shared" si="100"/>
        <v>0.27920721869793319</v>
      </c>
      <c r="H921" s="3">
        <f t="shared" si="97"/>
        <v>0.70564540216973259</v>
      </c>
      <c r="I921" s="3">
        <f t="shared" si="98"/>
        <v>41.371166672280708</v>
      </c>
    </row>
    <row r="922" spans="1:9" ht="15.75" customHeight="1">
      <c r="A922" s="14">
        <v>17319</v>
      </c>
      <c r="B922">
        <v>14.84</v>
      </c>
      <c r="C922" s="3">
        <f t="shared" si="99"/>
        <v>0.5</v>
      </c>
      <c r="D922" s="3">
        <f t="shared" si="95"/>
        <v>0.5</v>
      </c>
      <c r="E922" s="3">
        <f t="shared" si="96"/>
        <v>0</v>
      </c>
      <c r="F922" s="3">
        <f t="shared" si="100"/>
        <v>0.21866262654631013</v>
      </c>
      <c r="G922" s="3">
        <f t="shared" si="100"/>
        <v>0.25926384593379509</v>
      </c>
      <c r="H922" s="3">
        <f t="shared" si="97"/>
        <v>0.84339806716493448</v>
      </c>
      <c r="I922" s="3">
        <f t="shared" si="98"/>
        <v>45.752357138034967</v>
      </c>
    </row>
    <row r="923" spans="1:9" ht="15.75" customHeight="1">
      <c r="A923" s="14">
        <v>17349</v>
      </c>
      <c r="B923">
        <v>15.77</v>
      </c>
      <c r="C923" s="3">
        <f t="shared" si="99"/>
        <v>0.92999999999999972</v>
      </c>
      <c r="D923" s="3">
        <f t="shared" si="95"/>
        <v>0.92999999999999972</v>
      </c>
      <c r="E923" s="3">
        <f t="shared" si="96"/>
        <v>0</v>
      </c>
      <c r="F923" s="3">
        <f t="shared" si="100"/>
        <v>0.26947243893585943</v>
      </c>
      <c r="G923" s="3">
        <f t="shared" si="100"/>
        <v>0.24074499979566685</v>
      </c>
      <c r="H923" s="3">
        <f t="shared" si="97"/>
        <v>1.1193272515091699</v>
      </c>
      <c r="I923" s="3">
        <f t="shared" si="98"/>
        <v>52.81521533364414</v>
      </c>
    </row>
    <row r="924" spans="1:9" ht="15.75" customHeight="1">
      <c r="A924" s="14">
        <v>17380</v>
      </c>
      <c r="B924">
        <v>15.46</v>
      </c>
      <c r="C924" s="3">
        <f t="shared" si="99"/>
        <v>-0.30999999999999872</v>
      </c>
      <c r="D924" s="3">
        <f t="shared" si="95"/>
        <v>0</v>
      </c>
      <c r="E924" s="3">
        <f t="shared" si="96"/>
        <v>0.30999999999999872</v>
      </c>
      <c r="F924" s="3">
        <f t="shared" si="100"/>
        <v>0.25022440758329806</v>
      </c>
      <c r="G924" s="3">
        <f t="shared" si="100"/>
        <v>0.24569178552454771</v>
      </c>
      <c r="H924" s="3">
        <f t="shared" si="97"/>
        <v>1.018448407011546</v>
      </c>
      <c r="I924" s="3">
        <f t="shared" si="98"/>
        <v>50.456994762597382</v>
      </c>
    </row>
    <row r="925" spans="1:9" ht="15.75" customHeight="1">
      <c r="A925" s="14">
        <v>17411</v>
      </c>
      <c r="B925">
        <v>15.06</v>
      </c>
      <c r="C925" s="3">
        <f t="shared" si="99"/>
        <v>-0.40000000000000036</v>
      </c>
      <c r="D925" s="3">
        <f t="shared" si="95"/>
        <v>0</v>
      </c>
      <c r="E925" s="3">
        <f t="shared" si="96"/>
        <v>0.40000000000000036</v>
      </c>
      <c r="F925" s="3">
        <f t="shared" si="100"/>
        <v>0.23235123561306251</v>
      </c>
      <c r="G925" s="3">
        <f t="shared" si="100"/>
        <v>0.25671380084422291</v>
      </c>
      <c r="H925" s="3">
        <f t="shared" si="97"/>
        <v>0.90509834239124565</v>
      </c>
      <c r="I925" s="3">
        <f t="shared" si="98"/>
        <v>47.509271424549262</v>
      </c>
    </row>
    <row r="926" spans="1:9" ht="15.75" customHeight="1">
      <c r="A926" s="14">
        <v>17441</v>
      </c>
      <c r="B926">
        <v>15.45</v>
      </c>
      <c r="C926" s="3">
        <f t="shared" si="99"/>
        <v>0.38999999999999879</v>
      </c>
      <c r="D926" s="3">
        <f t="shared" si="95"/>
        <v>0.38999999999999879</v>
      </c>
      <c r="E926" s="3">
        <f t="shared" si="96"/>
        <v>0</v>
      </c>
      <c r="F926" s="3">
        <f t="shared" si="100"/>
        <v>0.24361186164070081</v>
      </c>
      <c r="G926" s="3">
        <f t="shared" si="100"/>
        <v>0.23837710078392127</v>
      </c>
      <c r="H926" s="3">
        <f t="shared" si="97"/>
        <v>1.0219599988403443</v>
      </c>
      <c r="I926" s="3">
        <f t="shared" si="98"/>
        <v>50.543037420446971</v>
      </c>
    </row>
    <row r="927" spans="1:9" ht="15.75" customHeight="1">
      <c r="A927" s="14">
        <v>17472</v>
      </c>
      <c r="B927">
        <v>15.27</v>
      </c>
      <c r="C927" s="3">
        <f t="shared" si="99"/>
        <v>-0.17999999999999972</v>
      </c>
      <c r="D927" s="3">
        <f t="shared" si="95"/>
        <v>0</v>
      </c>
      <c r="E927" s="3">
        <f t="shared" si="96"/>
        <v>0.17999999999999972</v>
      </c>
      <c r="F927" s="3">
        <f t="shared" si="100"/>
        <v>0.22621101438065075</v>
      </c>
      <c r="G927" s="3">
        <f t="shared" si="100"/>
        <v>0.23420730787078403</v>
      </c>
      <c r="H927" s="3">
        <f t="shared" si="97"/>
        <v>0.96585805300940919</v>
      </c>
      <c r="I927" s="3">
        <f t="shared" si="98"/>
        <v>49.131627358894882</v>
      </c>
    </row>
    <row r="928" spans="1:9" ht="15.75" customHeight="1">
      <c r="A928" s="14">
        <v>17502</v>
      </c>
      <c r="B928">
        <v>15.03</v>
      </c>
      <c r="C928" s="3">
        <f t="shared" si="99"/>
        <v>-0.24000000000000021</v>
      </c>
      <c r="D928" s="3">
        <f t="shared" si="95"/>
        <v>0</v>
      </c>
      <c r="E928" s="3">
        <f t="shared" si="96"/>
        <v>0.24000000000000021</v>
      </c>
      <c r="F928" s="3">
        <f t="shared" si="100"/>
        <v>0.21005308478203283</v>
      </c>
      <c r="G928" s="3">
        <f t="shared" si="100"/>
        <v>0.23462107159429949</v>
      </c>
      <c r="H928" s="3">
        <f t="shared" si="97"/>
        <v>0.89528652884703819</v>
      </c>
      <c r="I928" s="3">
        <f t="shared" si="98"/>
        <v>47.237529271717499</v>
      </c>
    </row>
    <row r="929" spans="1:9" ht="15.75" customHeight="1">
      <c r="A929" s="14">
        <v>17533</v>
      </c>
      <c r="B929">
        <v>14.83</v>
      </c>
      <c r="C929" s="3">
        <f t="shared" si="99"/>
        <v>-0.19999999999999929</v>
      </c>
      <c r="D929" s="3">
        <f t="shared" si="95"/>
        <v>0</v>
      </c>
      <c r="E929" s="3">
        <f t="shared" si="96"/>
        <v>0.19999999999999929</v>
      </c>
      <c r="F929" s="3">
        <f t="shared" si="100"/>
        <v>0.19504929301188764</v>
      </c>
      <c r="G929" s="3">
        <f t="shared" si="100"/>
        <v>0.23214813790899233</v>
      </c>
      <c r="H929" s="3">
        <f t="shared" si="97"/>
        <v>0.84019322648347783</v>
      </c>
      <c r="I929" s="3">
        <f t="shared" si="98"/>
        <v>45.657880617735309</v>
      </c>
    </row>
    <row r="930" spans="1:9" ht="15.75" customHeight="1">
      <c r="A930" s="14">
        <v>17564</v>
      </c>
      <c r="B930">
        <v>14.1</v>
      </c>
      <c r="C930" s="3">
        <f t="shared" si="99"/>
        <v>-0.73000000000000043</v>
      </c>
      <c r="D930" s="3">
        <f t="shared" si="95"/>
        <v>0</v>
      </c>
      <c r="E930" s="3">
        <f t="shared" si="96"/>
        <v>0.73000000000000043</v>
      </c>
      <c r="F930" s="3">
        <f t="shared" si="100"/>
        <v>0.18111720065389567</v>
      </c>
      <c r="G930" s="3">
        <f t="shared" si="100"/>
        <v>0.26770898520120717</v>
      </c>
      <c r="H930" s="3">
        <f t="shared" si="97"/>
        <v>0.67654509435972032</v>
      </c>
      <c r="I930" s="3">
        <f t="shared" si="98"/>
        <v>40.35352801638156</v>
      </c>
    </row>
    <row r="931" spans="1:9" ht="15.75" customHeight="1">
      <c r="A931" s="14">
        <v>17593</v>
      </c>
      <c r="B931">
        <v>14.3</v>
      </c>
      <c r="C931" s="3">
        <f t="shared" si="99"/>
        <v>0.20000000000000107</v>
      </c>
      <c r="D931" s="3">
        <f t="shared" si="95"/>
        <v>0.20000000000000107</v>
      </c>
      <c r="E931" s="3">
        <f t="shared" si="96"/>
        <v>0</v>
      </c>
      <c r="F931" s="3">
        <f t="shared" si="100"/>
        <v>0.18246597203576034</v>
      </c>
      <c r="G931" s="3">
        <f t="shared" si="100"/>
        <v>0.24858691482969239</v>
      </c>
      <c r="H931" s="3">
        <f t="shared" si="97"/>
        <v>0.73401277843111057</v>
      </c>
      <c r="I931" s="3">
        <f t="shared" si="98"/>
        <v>42.3302981132138</v>
      </c>
    </row>
    <row r="932" spans="1:9" ht="15.75" customHeight="1">
      <c r="A932" s="14">
        <v>17624</v>
      </c>
      <c r="B932">
        <v>15.4</v>
      </c>
      <c r="C932" s="3">
        <f t="shared" si="99"/>
        <v>1.0999999999999996</v>
      </c>
      <c r="D932" s="3">
        <f t="shared" si="95"/>
        <v>1.0999999999999996</v>
      </c>
      <c r="E932" s="3">
        <f t="shared" si="96"/>
        <v>0</v>
      </c>
      <c r="F932" s="3">
        <f t="shared" si="100"/>
        <v>0.24800411689034887</v>
      </c>
      <c r="G932" s="3">
        <f t="shared" si="100"/>
        <v>0.23083070662757149</v>
      </c>
      <c r="H932" s="3">
        <f t="shared" si="97"/>
        <v>1.0743982917770356</v>
      </c>
      <c r="I932" s="3">
        <f t="shared" si="98"/>
        <v>51.793249928713124</v>
      </c>
    </row>
    <row r="933" spans="1:9" ht="15.75" customHeight="1">
      <c r="A933" s="14">
        <v>17654</v>
      </c>
      <c r="B933">
        <v>16.149999999999999</v>
      </c>
      <c r="C933" s="3">
        <f t="shared" si="99"/>
        <v>0.74999999999999822</v>
      </c>
      <c r="D933" s="3">
        <f t="shared" si="95"/>
        <v>0.74999999999999822</v>
      </c>
      <c r="E933" s="3">
        <f t="shared" si="96"/>
        <v>0</v>
      </c>
      <c r="F933" s="3">
        <f t="shared" si="100"/>
        <v>0.28386096568389524</v>
      </c>
      <c r="G933" s="3">
        <f t="shared" si="100"/>
        <v>0.21434279901131639</v>
      </c>
      <c r="H933" s="3">
        <f t="shared" si="97"/>
        <v>1.3243317106673995</v>
      </c>
      <c r="I933" s="3">
        <f t="shared" si="98"/>
        <v>56.976880906862306</v>
      </c>
    </row>
    <row r="934" spans="1:9" ht="15.75" customHeight="1">
      <c r="A934" s="14">
        <v>17685</v>
      </c>
      <c r="B934">
        <v>16.82</v>
      </c>
      <c r="C934" s="3">
        <f t="shared" si="99"/>
        <v>0.67000000000000171</v>
      </c>
      <c r="D934" s="3">
        <f t="shared" ref="D934:D997" si="101">IF(C934&gt;0,C934,0)</f>
        <v>0.67000000000000171</v>
      </c>
      <c r="E934" s="3">
        <f t="shared" ref="E934:E997" si="102">IF(C934&lt;0,-C934,0)</f>
        <v>0</v>
      </c>
      <c r="F934" s="3">
        <f t="shared" si="100"/>
        <v>0.31144232527790283</v>
      </c>
      <c r="G934" s="3">
        <f t="shared" si="100"/>
        <v>0.19903259908193666</v>
      </c>
      <c r="H934" s="3">
        <f t="shared" ref="H934:H997" si="103">F934/G934</f>
        <v>1.5647804767383355</v>
      </c>
      <c r="I934" s="3">
        <f t="shared" ref="I934:I997" si="104">IF(G934=0,100,100-(100/(1+H934)))</f>
        <v>61.010308325813803</v>
      </c>
    </row>
    <row r="935" spans="1:9" ht="15.75" customHeight="1">
      <c r="A935" s="14">
        <v>17715</v>
      </c>
      <c r="B935">
        <v>16.420000000000002</v>
      </c>
      <c r="C935" s="3">
        <f t="shared" si="99"/>
        <v>-0.39999999999999858</v>
      </c>
      <c r="D935" s="3">
        <f t="shared" si="101"/>
        <v>0</v>
      </c>
      <c r="E935" s="3">
        <f t="shared" si="102"/>
        <v>0.39999999999999858</v>
      </c>
      <c r="F935" s="3">
        <f t="shared" si="100"/>
        <v>0.28919644490090979</v>
      </c>
      <c r="G935" s="3">
        <f t="shared" si="100"/>
        <v>0.21338741343322679</v>
      </c>
      <c r="H935" s="3">
        <f t="shared" si="103"/>
        <v>1.3552647752178935</v>
      </c>
      <c r="I935" s="3">
        <f t="shared" si="104"/>
        <v>57.541928596648475</v>
      </c>
    </row>
    <row r="936" spans="1:9" ht="15.75" customHeight="1">
      <c r="A936" s="14">
        <v>17746</v>
      </c>
      <c r="B936">
        <v>15.94</v>
      </c>
      <c r="C936" s="3">
        <f t="shared" si="99"/>
        <v>-0.4800000000000022</v>
      </c>
      <c r="D936" s="3">
        <f t="shared" si="101"/>
        <v>0</v>
      </c>
      <c r="E936" s="3">
        <f t="shared" si="102"/>
        <v>0.4800000000000022</v>
      </c>
      <c r="F936" s="3">
        <f t="shared" si="100"/>
        <v>0.26853955597941626</v>
      </c>
      <c r="G936" s="3">
        <f t="shared" si="100"/>
        <v>0.2324311696165679</v>
      </c>
      <c r="H936" s="3">
        <f t="shared" si="103"/>
        <v>1.1553508783801023</v>
      </c>
      <c r="I936" s="3">
        <f t="shared" si="104"/>
        <v>53.603841953029459</v>
      </c>
    </row>
    <row r="937" spans="1:9" ht="15.75" customHeight="1">
      <c r="A937" s="14">
        <v>17777</v>
      </c>
      <c r="B937">
        <v>15.76</v>
      </c>
      <c r="C937" s="3">
        <f t="shared" si="99"/>
        <v>-0.17999999999999972</v>
      </c>
      <c r="D937" s="3">
        <f t="shared" si="101"/>
        <v>0</v>
      </c>
      <c r="E937" s="3">
        <f t="shared" si="102"/>
        <v>0.17999999999999972</v>
      </c>
      <c r="F937" s="3">
        <f t="shared" si="100"/>
        <v>0.24935815912374368</v>
      </c>
      <c r="G937" s="3">
        <f t="shared" si="100"/>
        <v>0.2286860860725273</v>
      </c>
      <c r="H937" s="3">
        <f t="shared" si="103"/>
        <v>1.0903949750780215</v>
      </c>
      <c r="I937" s="3">
        <f t="shared" si="104"/>
        <v>52.162150602056627</v>
      </c>
    </row>
    <row r="938" spans="1:9" ht="15.75" customHeight="1">
      <c r="A938" s="14">
        <v>17807</v>
      </c>
      <c r="B938">
        <v>16.190000000000001</v>
      </c>
      <c r="C938" s="3">
        <f t="shared" si="99"/>
        <v>0.43000000000000149</v>
      </c>
      <c r="D938" s="3">
        <f t="shared" si="101"/>
        <v>0.43000000000000149</v>
      </c>
      <c r="E938" s="3">
        <f t="shared" si="102"/>
        <v>0</v>
      </c>
      <c r="F938" s="3">
        <f t="shared" si="100"/>
        <v>0.2622611477577621</v>
      </c>
      <c r="G938" s="3">
        <f t="shared" si="100"/>
        <v>0.21235136563877535</v>
      </c>
      <c r="H938" s="3">
        <f t="shared" si="103"/>
        <v>1.235033958782666</v>
      </c>
      <c r="I938" s="3">
        <f t="shared" si="104"/>
        <v>55.257950508069236</v>
      </c>
    </row>
    <row r="939" spans="1:9" ht="15.75" customHeight="1">
      <c r="A939" s="14">
        <v>17838</v>
      </c>
      <c r="B939">
        <v>15.29</v>
      </c>
      <c r="C939" s="3">
        <f t="shared" ref="C939:C1002" si="105">B939-B938</f>
        <v>-0.90000000000000213</v>
      </c>
      <c r="D939" s="3">
        <f t="shared" si="101"/>
        <v>0</v>
      </c>
      <c r="E939" s="3">
        <f t="shared" si="102"/>
        <v>0.90000000000000213</v>
      </c>
      <c r="F939" s="3">
        <f t="shared" si="100"/>
        <v>0.24352820863220767</v>
      </c>
      <c r="G939" s="3">
        <f t="shared" si="100"/>
        <v>0.26146912523600585</v>
      </c>
      <c r="H939" s="3">
        <f t="shared" si="103"/>
        <v>0.93138418699491021</v>
      </c>
      <c r="I939" s="3">
        <f t="shared" si="104"/>
        <v>48.223662245266418</v>
      </c>
    </row>
    <row r="940" spans="1:9" ht="15.75" customHeight="1">
      <c r="A940" s="14">
        <v>17868</v>
      </c>
      <c r="B940">
        <v>15.19</v>
      </c>
      <c r="C940" s="3">
        <f t="shared" si="105"/>
        <v>-9.9999999999999645E-2</v>
      </c>
      <c r="D940" s="3">
        <f t="shared" si="101"/>
        <v>0</v>
      </c>
      <c r="E940" s="3">
        <f t="shared" si="102"/>
        <v>9.9999999999999645E-2</v>
      </c>
      <c r="F940" s="3">
        <f t="shared" si="100"/>
        <v>0.22613333658704998</v>
      </c>
      <c r="G940" s="3">
        <f t="shared" si="100"/>
        <v>0.24993561629057684</v>
      </c>
      <c r="H940" s="3">
        <f t="shared" si="103"/>
        <v>0.90476635520463733</v>
      </c>
      <c r="I940" s="3">
        <f t="shared" si="104"/>
        <v>47.500122665041211</v>
      </c>
    </row>
    <row r="941" spans="1:9" ht="15.75" customHeight="1">
      <c r="A941" s="14">
        <v>17899</v>
      </c>
      <c r="B941">
        <v>15.36</v>
      </c>
      <c r="C941" s="3">
        <f t="shared" si="105"/>
        <v>0.16999999999999993</v>
      </c>
      <c r="D941" s="3">
        <f t="shared" si="101"/>
        <v>0.16999999999999993</v>
      </c>
      <c r="E941" s="3">
        <f t="shared" si="102"/>
        <v>0</v>
      </c>
      <c r="F941" s="3">
        <f t="shared" si="100"/>
        <v>0.22212381254511784</v>
      </c>
      <c r="G941" s="3">
        <f t="shared" si="100"/>
        <v>0.23208307226982133</v>
      </c>
      <c r="H941" s="3">
        <f t="shared" si="103"/>
        <v>0.95708752203553737</v>
      </c>
      <c r="I941" s="3">
        <f t="shared" si="104"/>
        <v>48.903664821289397</v>
      </c>
    </row>
    <row r="942" spans="1:9" ht="15.75" customHeight="1">
      <c r="A942" s="14">
        <v>17930</v>
      </c>
      <c r="B942">
        <v>14.77</v>
      </c>
      <c r="C942" s="3">
        <f t="shared" si="105"/>
        <v>-0.58999999999999986</v>
      </c>
      <c r="D942" s="3">
        <f t="shared" si="101"/>
        <v>0</v>
      </c>
      <c r="E942" s="3">
        <f t="shared" si="102"/>
        <v>0.58999999999999986</v>
      </c>
      <c r="F942" s="3">
        <f t="shared" si="100"/>
        <v>0.20625782593475228</v>
      </c>
      <c r="G942" s="3">
        <f t="shared" si="100"/>
        <v>0.25764856710769124</v>
      </c>
      <c r="H942" s="3">
        <f t="shared" si="103"/>
        <v>0.80053938684837012</v>
      </c>
      <c r="I942" s="3">
        <f t="shared" si="104"/>
        <v>44.461087199520755</v>
      </c>
    </row>
    <row r="943" spans="1:9" ht="15.75" customHeight="1">
      <c r="A943" s="14">
        <v>17958</v>
      </c>
      <c r="B943">
        <v>14.91</v>
      </c>
      <c r="C943" s="3">
        <f t="shared" si="105"/>
        <v>0.14000000000000057</v>
      </c>
      <c r="D943" s="3">
        <f t="shared" si="101"/>
        <v>0.14000000000000057</v>
      </c>
      <c r="E943" s="3">
        <f t="shared" si="102"/>
        <v>0</v>
      </c>
      <c r="F943" s="3">
        <f t="shared" si="100"/>
        <v>0.20152512408227002</v>
      </c>
      <c r="G943" s="3">
        <f t="shared" si="100"/>
        <v>0.23924509802857044</v>
      </c>
      <c r="H943" s="3">
        <f t="shared" si="103"/>
        <v>0.84233752642323345</v>
      </c>
      <c r="I943" s="3">
        <f t="shared" si="104"/>
        <v>45.721129507608282</v>
      </c>
    </row>
    <row r="944" spans="1:9" ht="15.75" customHeight="1">
      <c r="A944" s="14">
        <v>17989</v>
      </c>
      <c r="B944">
        <v>14.89</v>
      </c>
      <c r="C944" s="3">
        <f t="shared" si="105"/>
        <v>-1.9999999999999574E-2</v>
      </c>
      <c r="D944" s="3">
        <f t="shared" si="101"/>
        <v>0</v>
      </c>
      <c r="E944" s="3">
        <f t="shared" si="102"/>
        <v>1.9999999999999574E-2</v>
      </c>
      <c r="F944" s="3">
        <f t="shared" si="100"/>
        <v>0.18713047236210789</v>
      </c>
      <c r="G944" s="3">
        <f t="shared" si="100"/>
        <v>0.22358473388367253</v>
      </c>
      <c r="H944" s="3">
        <f t="shared" si="103"/>
        <v>0.8369554983099553</v>
      </c>
      <c r="I944" s="3">
        <f t="shared" si="104"/>
        <v>45.562099848361875</v>
      </c>
    </row>
    <row r="945" spans="1:9" ht="15.75" customHeight="1">
      <c r="A945" s="14">
        <v>18019</v>
      </c>
      <c r="B945">
        <v>14.78</v>
      </c>
      <c r="C945" s="3">
        <f t="shared" si="105"/>
        <v>-0.11000000000000121</v>
      </c>
      <c r="D945" s="3">
        <f t="shared" si="101"/>
        <v>0</v>
      </c>
      <c r="E945" s="3">
        <f t="shared" si="102"/>
        <v>0.11000000000000121</v>
      </c>
      <c r="F945" s="3">
        <f t="shared" si="100"/>
        <v>0.17376401005052874</v>
      </c>
      <c r="G945" s="3">
        <f t="shared" si="100"/>
        <v>0.21547153860626742</v>
      </c>
      <c r="H945" s="3">
        <f t="shared" si="103"/>
        <v>0.80643602015600246</v>
      </c>
      <c r="I945" s="3">
        <f t="shared" si="104"/>
        <v>44.642379312518315</v>
      </c>
    </row>
    <row r="946" spans="1:9" ht="15.75" customHeight="1">
      <c r="A946" s="14">
        <v>18050</v>
      </c>
      <c r="B946">
        <v>13.97</v>
      </c>
      <c r="C946" s="3">
        <f t="shared" si="105"/>
        <v>-0.80999999999999872</v>
      </c>
      <c r="D946" s="3">
        <f t="shared" si="101"/>
        <v>0</v>
      </c>
      <c r="E946" s="3">
        <f t="shared" si="102"/>
        <v>0.80999999999999872</v>
      </c>
      <c r="F946" s="3">
        <f t="shared" si="100"/>
        <v>0.16135229504691953</v>
      </c>
      <c r="G946" s="3">
        <f t="shared" si="100"/>
        <v>0.25793785727724822</v>
      </c>
      <c r="H946" s="3">
        <f t="shared" si="103"/>
        <v>0.62554716376312181</v>
      </c>
      <c r="I946" s="3">
        <f t="shared" si="104"/>
        <v>38.482252481372967</v>
      </c>
    </row>
    <row r="947" spans="1:9" ht="15.75" customHeight="1">
      <c r="A947" s="14">
        <v>18080</v>
      </c>
      <c r="B947">
        <v>14.76</v>
      </c>
      <c r="C947" s="3">
        <f t="shared" si="105"/>
        <v>0.78999999999999915</v>
      </c>
      <c r="D947" s="3">
        <f t="shared" si="101"/>
        <v>0.78999999999999915</v>
      </c>
      <c r="E947" s="3">
        <f t="shared" si="102"/>
        <v>0</v>
      </c>
      <c r="F947" s="3">
        <f t="shared" si="100"/>
        <v>0.20625570254356806</v>
      </c>
      <c r="G947" s="3">
        <f t="shared" si="100"/>
        <v>0.23951372461458761</v>
      </c>
      <c r="H947" s="3">
        <f t="shared" si="103"/>
        <v>0.86114356442606144</v>
      </c>
      <c r="I947" s="3">
        <f t="shared" si="104"/>
        <v>46.269593645862592</v>
      </c>
    </row>
    <row r="948" spans="1:9" ht="15.75" customHeight="1">
      <c r="A948" s="14">
        <v>18111</v>
      </c>
      <c r="B948">
        <v>15.29</v>
      </c>
      <c r="C948" s="3">
        <f t="shared" si="105"/>
        <v>0.52999999999999936</v>
      </c>
      <c r="D948" s="3">
        <f t="shared" si="101"/>
        <v>0.52999999999999936</v>
      </c>
      <c r="E948" s="3">
        <f t="shared" si="102"/>
        <v>0</v>
      </c>
      <c r="F948" s="3">
        <f t="shared" si="100"/>
        <v>0.22938029521902742</v>
      </c>
      <c r="G948" s="3">
        <f t="shared" si="100"/>
        <v>0.22240560142783133</v>
      </c>
      <c r="H948" s="3">
        <f t="shared" si="103"/>
        <v>1.0313602433860432</v>
      </c>
      <c r="I948" s="3">
        <f t="shared" si="104"/>
        <v>50.77190255859712</v>
      </c>
    </row>
    <row r="949" spans="1:9" ht="15.75" customHeight="1">
      <c r="A949" s="14">
        <v>18142</v>
      </c>
      <c r="B949">
        <v>15.49</v>
      </c>
      <c r="C949" s="3">
        <f t="shared" si="105"/>
        <v>0.20000000000000107</v>
      </c>
      <c r="D949" s="3">
        <f t="shared" si="101"/>
        <v>0.20000000000000107</v>
      </c>
      <c r="E949" s="3">
        <f t="shared" si="102"/>
        <v>0</v>
      </c>
      <c r="F949" s="3">
        <f t="shared" si="100"/>
        <v>0.22728170270338269</v>
      </c>
      <c r="G949" s="3">
        <f t="shared" si="100"/>
        <v>0.2065194870401291</v>
      </c>
      <c r="H949" s="3">
        <f t="shared" si="103"/>
        <v>1.1005339300461232</v>
      </c>
      <c r="I949" s="3">
        <f t="shared" si="104"/>
        <v>52.393056560717298</v>
      </c>
    </row>
    <row r="950" spans="1:9" ht="15.75" customHeight="1">
      <c r="A950" s="14">
        <v>18172</v>
      </c>
      <c r="B950">
        <v>15.89</v>
      </c>
      <c r="C950" s="3">
        <f t="shared" si="105"/>
        <v>0.40000000000000036</v>
      </c>
      <c r="D950" s="3">
        <f t="shared" si="101"/>
        <v>0.40000000000000036</v>
      </c>
      <c r="E950" s="3">
        <f t="shared" si="102"/>
        <v>0</v>
      </c>
      <c r="F950" s="3">
        <f t="shared" si="100"/>
        <v>0.23961872393885539</v>
      </c>
      <c r="G950" s="3">
        <f t="shared" si="100"/>
        <v>0.19176809510869131</v>
      </c>
      <c r="H950" s="3">
        <f t="shared" si="103"/>
        <v>1.2495234090062952</v>
      </c>
      <c r="I950" s="3">
        <f t="shared" si="104"/>
        <v>55.546139417960532</v>
      </c>
    </row>
    <row r="951" spans="1:9" ht="15.75" customHeight="1">
      <c r="A951" s="14">
        <v>18203</v>
      </c>
      <c r="B951">
        <v>16.11</v>
      </c>
      <c r="C951" s="3">
        <f t="shared" si="105"/>
        <v>0.21999999999999886</v>
      </c>
      <c r="D951" s="3">
        <f t="shared" si="101"/>
        <v>0.21999999999999886</v>
      </c>
      <c r="E951" s="3">
        <f t="shared" si="102"/>
        <v>0</v>
      </c>
      <c r="F951" s="3">
        <f t="shared" si="100"/>
        <v>0.23821738651465135</v>
      </c>
      <c r="G951" s="3">
        <f t="shared" si="100"/>
        <v>0.17807037402949907</v>
      </c>
      <c r="H951" s="3">
        <f t="shared" si="103"/>
        <v>1.3377710234673195</v>
      </c>
      <c r="I951" s="3">
        <f t="shared" si="104"/>
        <v>57.224211012897804</v>
      </c>
    </row>
    <row r="952" spans="1:9" ht="15.75" customHeight="1">
      <c r="A952" s="14">
        <v>18233</v>
      </c>
      <c r="B952">
        <v>16.54</v>
      </c>
      <c r="C952" s="3">
        <f t="shared" si="105"/>
        <v>0.42999999999999972</v>
      </c>
      <c r="D952" s="3">
        <f t="shared" si="101"/>
        <v>0.42999999999999972</v>
      </c>
      <c r="E952" s="3">
        <f t="shared" si="102"/>
        <v>0</v>
      </c>
      <c r="F952" s="3">
        <f t="shared" si="100"/>
        <v>0.25191614462074768</v>
      </c>
      <c r="G952" s="3">
        <f t="shared" si="100"/>
        <v>0.16535106159882057</v>
      </c>
      <c r="H952" s="3">
        <f t="shared" si="103"/>
        <v>1.5235229951650009</v>
      </c>
      <c r="I952" s="3">
        <f t="shared" si="104"/>
        <v>60.372859612693368</v>
      </c>
    </row>
    <row r="953" spans="1:9" ht="15.75" customHeight="1">
      <c r="A953" s="14">
        <v>18264</v>
      </c>
      <c r="B953">
        <v>16.88</v>
      </c>
      <c r="C953" s="3">
        <f t="shared" si="105"/>
        <v>0.33999999999999986</v>
      </c>
      <c r="D953" s="3">
        <f t="shared" si="101"/>
        <v>0.33999999999999986</v>
      </c>
      <c r="E953" s="3">
        <f t="shared" si="102"/>
        <v>0</v>
      </c>
      <c r="F953" s="3">
        <f t="shared" si="100"/>
        <v>0.25820784857640855</v>
      </c>
      <c r="G953" s="3">
        <f t="shared" si="100"/>
        <v>0.1535402714846191</v>
      </c>
      <c r="H953" s="3">
        <f t="shared" si="103"/>
        <v>1.6816946204388763</v>
      </c>
      <c r="I953" s="3">
        <f t="shared" si="104"/>
        <v>62.710146323956025</v>
      </c>
    </row>
    <row r="954" spans="1:9" ht="15.75" customHeight="1">
      <c r="A954" s="14">
        <v>18295</v>
      </c>
      <c r="B954">
        <v>17.21</v>
      </c>
      <c r="C954" s="3">
        <f t="shared" si="105"/>
        <v>0.33000000000000185</v>
      </c>
      <c r="D954" s="3">
        <f t="shared" si="101"/>
        <v>0.33000000000000185</v>
      </c>
      <c r="E954" s="3">
        <f t="shared" si="102"/>
        <v>0</v>
      </c>
      <c r="F954" s="3">
        <f t="shared" si="100"/>
        <v>0.26333585939237952</v>
      </c>
      <c r="G954" s="3">
        <f t="shared" si="100"/>
        <v>0.14257310923571773</v>
      </c>
      <c r="H954" s="3">
        <f t="shared" si="103"/>
        <v>1.847023332829218</v>
      </c>
      <c r="I954" s="3">
        <f t="shared" si="104"/>
        <v>64.875595206090082</v>
      </c>
    </row>
    <row r="955" spans="1:9" ht="15.75" customHeight="1">
      <c r="A955" s="14">
        <v>18323</v>
      </c>
      <c r="B955">
        <v>17.350000000000001</v>
      </c>
      <c r="C955" s="3">
        <f t="shared" si="105"/>
        <v>0.14000000000000057</v>
      </c>
      <c r="D955" s="3">
        <f t="shared" si="101"/>
        <v>0.14000000000000057</v>
      </c>
      <c r="E955" s="3">
        <f t="shared" si="102"/>
        <v>0</v>
      </c>
      <c r="F955" s="3">
        <f t="shared" si="100"/>
        <v>0.25452615515006671</v>
      </c>
      <c r="G955" s="3">
        <f t="shared" si="100"/>
        <v>0.13238931571888074</v>
      </c>
      <c r="H955" s="3">
        <f t="shared" si="103"/>
        <v>1.9225581291660638</v>
      </c>
      <c r="I955" s="3">
        <f t="shared" si="104"/>
        <v>65.78340084940092</v>
      </c>
    </row>
    <row r="956" spans="1:9" ht="15.75" customHeight="1">
      <c r="A956" s="14">
        <v>18354</v>
      </c>
      <c r="B956">
        <v>17.84</v>
      </c>
      <c r="C956" s="3">
        <f t="shared" si="105"/>
        <v>0.48999999999999844</v>
      </c>
      <c r="D956" s="3">
        <f t="shared" si="101"/>
        <v>0.48999999999999844</v>
      </c>
      <c r="E956" s="3">
        <f t="shared" si="102"/>
        <v>0</v>
      </c>
      <c r="F956" s="3">
        <f t="shared" si="100"/>
        <v>0.27134571549649039</v>
      </c>
      <c r="G956" s="3">
        <f t="shared" si="100"/>
        <v>0.12293293602467496</v>
      </c>
      <c r="H956" s="3">
        <f t="shared" si="103"/>
        <v>2.2072662076664806</v>
      </c>
      <c r="I956" s="3">
        <f t="shared" si="104"/>
        <v>68.820798298262474</v>
      </c>
    </row>
    <row r="957" spans="1:9" ht="15.75" customHeight="1">
      <c r="A957" s="14">
        <v>18384</v>
      </c>
      <c r="B957">
        <v>18.440000000000001</v>
      </c>
      <c r="C957" s="3">
        <f t="shared" si="105"/>
        <v>0.60000000000000142</v>
      </c>
      <c r="D957" s="3">
        <f t="shared" si="101"/>
        <v>0.60000000000000142</v>
      </c>
      <c r="E957" s="3">
        <f t="shared" si="102"/>
        <v>0</v>
      </c>
      <c r="F957" s="3">
        <f t="shared" si="100"/>
        <v>0.29482102153245549</v>
      </c>
      <c r="G957" s="3">
        <f t="shared" si="100"/>
        <v>0.11415201202291246</v>
      </c>
      <c r="H957" s="3">
        <f t="shared" si="103"/>
        <v>2.582705432062637</v>
      </c>
      <c r="I957" s="3">
        <f t="shared" si="104"/>
        <v>72.088132307760517</v>
      </c>
    </row>
    <row r="958" spans="1:9" ht="15.75" customHeight="1">
      <c r="A958" s="14">
        <v>18415</v>
      </c>
      <c r="B958">
        <v>18.739999999999998</v>
      </c>
      <c r="C958" s="3">
        <f t="shared" si="105"/>
        <v>0.29999999999999716</v>
      </c>
      <c r="D958" s="3">
        <f t="shared" si="101"/>
        <v>0.29999999999999716</v>
      </c>
      <c r="E958" s="3">
        <f t="shared" si="102"/>
        <v>0</v>
      </c>
      <c r="F958" s="3">
        <f t="shared" si="100"/>
        <v>0.29519094856585137</v>
      </c>
      <c r="G958" s="3">
        <f t="shared" si="100"/>
        <v>0.1059982968784187</v>
      </c>
      <c r="H958" s="3">
        <f t="shared" si="103"/>
        <v>2.7848650144297968</v>
      </c>
      <c r="I958" s="3">
        <f t="shared" si="104"/>
        <v>73.578978479087098</v>
      </c>
    </row>
    <row r="959" spans="1:9" ht="15.75" customHeight="1">
      <c r="A959" s="14">
        <v>18445</v>
      </c>
      <c r="B959">
        <v>17.38</v>
      </c>
      <c r="C959" s="3">
        <f t="shared" si="105"/>
        <v>-1.3599999999999994</v>
      </c>
      <c r="D959" s="3">
        <f t="shared" si="101"/>
        <v>0</v>
      </c>
      <c r="E959" s="3">
        <f t="shared" si="102"/>
        <v>1.3599999999999994</v>
      </c>
      <c r="F959" s="3">
        <f t="shared" si="100"/>
        <v>0.27410588081114773</v>
      </c>
      <c r="G959" s="3">
        <f t="shared" si="100"/>
        <v>0.19556984710138875</v>
      </c>
      <c r="H959" s="3">
        <f t="shared" si="103"/>
        <v>1.4015753699957834</v>
      </c>
      <c r="I959" s="3">
        <f t="shared" si="104"/>
        <v>58.360665565879962</v>
      </c>
    </row>
    <row r="960" spans="1:9" ht="15.75" customHeight="1">
      <c r="A960" s="14">
        <v>18476</v>
      </c>
      <c r="B960">
        <v>18.43</v>
      </c>
      <c r="C960" s="3">
        <f t="shared" si="105"/>
        <v>1.0500000000000007</v>
      </c>
      <c r="D960" s="3">
        <f t="shared" si="101"/>
        <v>1.0500000000000007</v>
      </c>
      <c r="E960" s="3">
        <f t="shared" si="102"/>
        <v>0</v>
      </c>
      <c r="F960" s="3">
        <f t="shared" si="100"/>
        <v>0.3295268893246372</v>
      </c>
      <c r="G960" s="3">
        <f t="shared" si="100"/>
        <v>0.18160057230843241</v>
      </c>
      <c r="H960" s="3">
        <f t="shared" si="103"/>
        <v>1.8145696631669481</v>
      </c>
      <c r="I960" s="3">
        <f t="shared" si="104"/>
        <v>64.470589835221844</v>
      </c>
    </row>
    <row r="961" spans="1:9" ht="15.75" customHeight="1">
      <c r="A961" s="14">
        <v>18507</v>
      </c>
      <c r="B961">
        <v>19.079999999999998</v>
      </c>
      <c r="C961" s="3">
        <f t="shared" si="105"/>
        <v>0.64999999999999858</v>
      </c>
      <c r="D961" s="3">
        <f t="shared" si="101"/>
        <v>0.64999999999999858</v>
      </c>
      <c r="E961" s="3">
        <f t="shared" si="102"/>
        <v>0</v>
      </c>
      <c r="F961" s="3">
        <f t="shared" si="100"/>
        <v>0.3524178258014487</v>
      </c>
      <c r="G961" s="3">
        <f t="shared" si="100"/>
        <v>0.16862910285783009</v>
      </c>
      <c r="H961" s="3">
        <f t="shared" si="103"/>
        <v>2.0898991919477239</v>
      </c>
      <c r="I961" s="3">
        <f t="shared" si="104"/>
        <v>67.636484626877163</v>
      </c>
    </row>
    <row r="962" spans="1:9" ht="15.75" customHeight="1">
      <c r="A962" s="14">
        <v>18537</v>
      </c>
      <c r="B962">
        <v>19.87</v>
      </c>
      <c r="C962" s="3">
        <f t="shared" si="105"/>
        <v>0.7900000000000027</v>
      </c>
      <c r="D962" s="3">
        <f t="shared" si="101"/>
        <v>0.7900000000000027</v>
      </c>
      <c r="E962" s="3">
        <f t="shared" si="102"/>
        <v>0</v>
      </c>
      <c r="F962" s="3">
        <f t="shared" si="100"/>
        <v>0.3836736953870597</v>
      </c>
      <c r="G962" s="3">
        <f t="shared" si="100"/>
        <v>0.15658416693941365</v>
      </c>
      <c r="H962" s="3">
        <f t="shared" si="103"/>
        <v>2.4502713325767647</v>
      </c>
      <c r="I962" s="3">
        <f t="shared" si="104"/>
        <v>71.016772201125107</v>
      </c>
    </row>
    <row r="963" spans="1:9" ht="15.75" customHeight="1">
      <c r="A963" s="14">
        <v>18568</v>
      </c>
      <c r="B963">
        <v>19.829999999999998</v>
      </c>
      <c r="C963" s="3">
        <f t="shared" si="105"/>
        <v>-4.00000000000027E-2</v>
      </c>
      <c r="D963" s="3">
        <f t="shared" si="101"/>
        <v>0</v>
      </c>
      <c r="E963" s="3">
        <f t="shared" si="102"/>
        <v>4.00000000000027E-2</v>
      </c>
      <c r="F963" s="3">
        <f t="shared" si="100"/>
        <v>0.35626843143084119</v>
      </c>
      <c r="G963" s="3">
        <f t="shared" si="100"/>
        <v>0.14825672644374147</v>
      </c>
      <c r="H963" s="3">
        <f t="shared" si="103"/>
        <v>2.4030507078950869</v>
      </c>
      <c r="I963" s="3">
        <f t="shared" si="104"/>
        <v>70.614601842987611</v>
      </c>
    </row>
    <row r="964" spans="1:9" ht="15.75" customHeight="1">
      <c r="A964" s="14">
        <v>18598</v>
      </c>
      <c r="B964">
        <v>19.75</v>
      </c>
      <c r="C964" s="3">
        <f t="shared" si="105"/>
        <v>-7.9999999999998295E-2</v>
      </c>
      <c r="D964" s="3">
        <f t="shared" si="101"/>
        <v>0</v>
      </c>
      <c r="E964" s="3">
        <f t="shared" si="102"/>
        <v>7.9999999999998295E-2</v>
      </c>
      <c r="F964" s="3">
        <f t="shared" si="100"/>
        <v>0.3308206863286382</v>
      </c>
      <c r="G964" s="3">
        <f t="shared" si="100"/>
        <v>0.1433812459834741</v>
      </c>
      <c r="H964" s="3">
        <f t="shared" si="103"/>
        <v>2.3072800355408272</v>
      </c>
      <c r="I964" s="3">
        <f t="shared" si="104"/>
        <v>69.763673192056331</v>
      </c>
    </row>
    <row r="965" spans="1:9" ht="15.75" customHeight="1">
      <c r="A965" s="14">
        <v>18629</v>
      </c>
      <c r="B965">
        <v>21.21</v>
      </c>
      <c r="C965" s="3">
        <f t="shared" si="105"/>
        <v>1.4600000000000009</v>
      </c>
      <c r="D965" s="3">
        <f t="shared" si="101"/>
        <v>1.4600000000000009</v>
      </c>
      <c r="E965" s="3">
        <f t="shared" si="102"/>
        <v>0</v>
      </c>
      <c r="F965" s="3">
        <f t="shared" si="100"/>
        <v>0.41147635159087842</v>
      </c>
      <c r="G965" s="3">
        <f t="shared" si="100"/>
        <v>0.13313972841322594</v>
      </c>
      <c r="H965" s="3">
        <f t="shared" si="103"/>
        <v>3.090560244450693</v>
      </c>
      <c r="I965" s="3">
        <f t="shared" si="104"/>
        <v>75.553470912532987</v>
      </c>
    </row>
    <row r="966" spans="1:9" ht="15.75" customHeight="1">
      <c r="A966" s="14">
        <v>18660</v>
      </c>
      <c r="B966">
        <v>22</v>
      </c>
      <c r="C966" s="3">
        <f t="shared" si="105"/>
        <v>0.78999999999999915</v>
      </c>
      <c r="D966" s="3">
        <f t="shared" si="101"/>
        <v>0.78999999999999915</v>
      </c>
      <c r="E966" s="3">
        <f t="shared" si="102"/>
        <v>0</v>
      </c>
      <c r="F966" s="3">
        <f t="shared" si="100"/>
        <v>0.43851375504867279</v>
      </c>
      <c r="G966" s="3">
        <f t="shared" si="100"/>
        <v>0.12362974781228123</v>
      </c>
      <c r="H966" s="3">
        <f t="shared" si="103"/>
        <v>3.5469922313075477</v>
      </c>
      <c r="I966" s="3">
        <f t="shared" si="104"/>
        <v>78.007439882684011</v>
      </c>
    </row>
    <row r="967" spans="1:9" ht="15.75" customHeight="1">
      <c r="A967" s="14">
        <v>18688</v>
      </c>
      <c r="B967">
        <v>21.63</v>
      </c>
      <c r="C967" s="3">
        <f t="shared" si="105"/>
        <v>-0.37000000000000099</v>
      </c>
      <c r="D967" s="3">
        <f t="shared" si="101"/>
        <v>0</v>
      </c>
      <c r="E967" s="3">
        <f t="shared" si="102"/>
        <v>0.37000000000000099</v>
      </c>
      <c r="F967" s="3">
        <f t="shared" si="100"/>
        <v>0.40719134397376761</v>
      </c>
      <c r="G967" s="3">
        <f t="shared" si="100"/>
        <v>0.14122762296854693</v>
      </c>
      <c r="H967" s="3">
        <f t="shared" si="103"/>
        <v>2.8832273418951044</v>
      </c>
      <c r="I967" s="3">
        <f t="shared" si="104"/>
        <v>74.248224171393048</v>
      </c>
    </row>
    <row r="968" spans="1:9" ht="15.75" customHeight="1">
      <c r="A968" s="14">
        <v>18719</v>
      </c>
      <c r="B968">
        <v>21.92</v>
      </c>
      <c r="C968" s="3">
        <f t="shared" si="105"/>
        <v>0.2900000000000027</v>
      </c>
      <c r="D968" s="3">
        <f t="shared" si="101"/>
        <v>0.2900000000000027</v>
      </c>
      <c r="E968" s="3">
        <f t="shared" si="102"/>
        <v>0</v>
      </c>
      <c r="F968" s="3">
        <f t="shared" si="100"/>
        <v>0.39882053368992726</v>
      </c>
      <c r="G968" s="3">
        <f t="shared" si="100"/>
        <v>0.13113993561365073</v>
      </c>
      <c r="H968" s="3">
        <f t="shared" si="103"/>
        <v>3.0411829304605278</v>
      </c>
      <c r="I968" s="3">
        <f t="shared" si="104"/>
        <v>75.254770268812322</v>
      </c>
    </row>
    <row r="969" spans="1:9" ht="15.75" customHeight="1">
      <c r="A969" s="14">
        <v>18749</v>
      </c>
      <c r="B969">
        <v>21.93</v>
      </c>
      <c r="C969" s="3">
        <f t="shared" si="105"/>
        <v>9.9999999999980105E-3</v>
      </c>
      <c r="D969" s="3">
        <f t="shared" si="101"/>
        <v>9.9999999999980105E-3</v>
      </c>
      <c r="E969" s="3">
        <f t="shared" si="102"/>
        <v>0</v>
      </c>
      <c r="F969" s="3">
        <f t="shared" si="100"/>
        <v>0.3710476384263609</v>
      </c>
      <c r="G969" s="3">
        <f t="shared" si="100"/>
        <v>0.12177279735553281</v>
      </c>
      <c r="H969" s="3">
        <f t="shared" si="103"/>
        <v>3.0470486552348399</v>
      </c>
      <c r="I969" s="3">
        <f t="shared" si="104"/>
        <v>75.29063559177861</v>
      </c>
    </row>
    <row r="970" spans="1:9" ht="15.75" customHeight="1">
      <c r="A970" s="14">
        <v>18780</v>
      </c>
      <c r="B970">
        <v>21.55</v>
      </c>
      <c r="C970" s="3">
        <f t="shared" si="105"/>
        <v>-0.37999999999999901</v>
      </c>
      <c r="D970" s="3">
        <f t="shared" si="101"/>
        <v>0</v>
      </c>
      <c r="E970" s="3">
        <f t="shared" si="102"/>
        <v>0.37999999999999901</v>
      </c>
      <c r="F970" s="3">
        <f t="shared" si="100"/>
        <v>0.34454423568162085</v>
      </c>
      <c r="G970" s="3">
        <f t="shared" si="100"/>
        <v>0.14021759754442326</v>
      </c>
      <c r="H970" s="3">
        <f t="shared" si="103"/>
        <v>2.4572110898738195</v>
      </c>
      <c r="I970" s="3">
        <f t="shared" si="104"/>
        <v>71.074951051470279</v>
      </c>
    </row>
    <row r="971" spans="1:9" ht="15.75" customHeight="1">
      <c r="A971" s="14">
        <v>18810</v>
      </c>
      <c r="B971">
        <v>21.93</v>
      </c>
      <c r="C971" s="3">
        <f t="shared" si="105"/>
        <v>0.37999999999999901</v>
      </c>
      <c r="D971" s="3">
        <f t="shared" si="101"/>
        <v>0.37999999999999901</v>
      </c>
      <c r="E971" s="3">
        <f t="shared" si="102"/>
        <v>0</v>
      </c>
      <c r="F971" s="3">
        <f t="shared" si="100"/>
        <v>0.34707679027579069</v>
      </c>
      <c r="G971" s="3">
        <f t="shared" si="100"/>
        <v>0.13020205486267875</v>
      </c>
      <c r="H971" s="3">
        <f t="shared" si="103"/>
        <v>2.6656782847386316</v>
      </c>
      <c r="I971" s="3">
        <f t="shared" si="104"/>
        <v>72.719919143932685</v>
      </c>
    </row>
    <row r="972" spans="1:9" ht="15.75" customHeight="1">
      <c r="A972" s="14">
        <v>18841</v>
      </c>
      <c r="B972">
        <v>22.89</v>
      </c>
      <c r="C972" s="3">
        <f t="shared" si="105"/>
        <v>0.96000000000000085</v>
      </c>
      <c r="D972" s="3">
        <f t="shared" si="101"/>
        <v>0.96000000000000085</v>
      </c>
      <c r="E972" s="3">
        <f t="shared" si="102"/>
        <v>0</v>
      </c>
      <c r="F972" s="3">
        <f t="shared" si="100"/>
        <v>0.39085701954180568</v>
      </c>
      <c r="G972" s="3">
        <f t="shared" si="100"/>
        <v>0.12090190808677312</v>
      </c>
      <c r="H972" s="3">
        <f t="shared" si="103"/>
        <v>3.2328440942493786</v>
      </c>
      <c r="I972" s="3">
        <f t="shared" si="104"/>
        <v>76.375222480823908</v>
      </c>
    </row>
    <row r="973" spans="1:9" ht="15.75" customHeight="1">
      <c r="A973" s="14">
        <v>18872</v>
      </c>
      <c r="B973">
        <v>23.48</v>
      </c>
      <c r="C973" s="3">
        <f t="shared" si="105"/>
        <v>0.58999999999999986</v>
      </c>
      <c r="D973" s="3">
        <f t="shared" si="101"/>
        <v>0.58999999999999986</v>
      </c>
      <c r="E973" s="3">
        <f t="shared" si="102"/>
        <v>0</v>
      </c>
      <c r="F973" s="3">
        <f t="shared" si="100"/>
        <v>0.40508151814596244</v>
      </c>
      <c r="G973" s="3">
        <f t="shared" si="100"/>
        <v>0.11226605750914646</v>
      </c>
      <c r="H973" s="3">
        <f t="shared" si="103"/>
        <v>3.6082278752236392</v>
      </c>
      <c r="I973" s="3">
        <f t="shared" si="104"/>
        <v>78.299684237045909</v>
      </c>
    </row>
    <row r="974" spans="1:9" ht="15.75" customHeight="1">
      <c r="A974" s="14">
        <v>18902</v>
      </c>
      <c r="B974">
        <v>23.36</v>
      </c>
      <c r="C974" s="3">
        <f t="shared" si="105"/>
        <v>-0.12000000000000099</v>
      </c>
      <c r="D974" s="3">
        <f t="shared" si="101"/>
        <v>0</v>
      </c>
      <c r="E974" s="3">
        <f t="shared" si="102"/>
        <v>0.12000000000000099</v>
      </c>
      <c r="F974" s="3">
        <f t="shared" si="100"/>
        <v>0.37614712399267941</v>
      </c>
      <c r="G974" s="3">
        <f t="shared" si="100"/>
        <v>0.11281848197277893</v>
      </c>
      <c r="H974" s="3">
        <f t="shared" si="103"/>
        <v>3.3340913422628482</v>
      </c>
      <c r="I974" s="3">
        <f t="shared" si="104"/>
        <v>76.927112951018344</v>
      </c>
    </row>
    <row r="975" spans="1:9" ht="15.75" customHeight="1">
      <c r="A975" s="14">
        <v>18933</v>
      </c>
      <c r="B975">
        <v>22.71</v>
      </c>
      <c r="C975" s="3">
        <f t="shared" si="105"/>
        <v>-0.64999999999999858</v>
      </c>
      <c r="D975" s="3">
        <f t="shared" si="101"/>
        <v>0</v>
      </c>
      <c r="E975" s="3">
        <f t="shared" si="102"/>
        <v>0.64999999999999858</v>
      </c>
      <c r="F975" s="3">
        <f t="shared" si="100"/>
        <v>0.34927947227891659</v>
      </c>
      <c r="G975" s="3">
        <f t="shared" si="100"/>
        <v>0.1511885904032946</v>
      </c>
      <c r="H975" s="3">
        <f t="shared" si="103"/>
        <v>2.3102237500013447</v>
      </c>
      <c r="I975" s="3">
        <f t="shared" si="104"/>
        <v>69.790561740740529</v>
      </c>
    </row>
    <row r="976" spans="1:9" ht="15.75" customHeight="1">
      <c r="A976" s="14">
        <v>18963</v>
      </c>
      <c r="B976">
        <v>23.41</v>
      </c>
      <c r="C976" s="3">
        <f t="shared" si="105"/>
        <v>0.69999999999999929</v>
      </c>
      <c r="D976" s="3">
        <f t="shared" si="101"/>
        <v>0.69999999999999929</v>
      </c>
      <c r="E976" s="3">
        <f t="shared" si="102"/>
        <v>0</v>
      </c>
      <c r="F976" s="3">
        <f t="shared" si="100"/>
        <v>0.37433093854470822</v>
      </c>
      <c r="G976" s="3">
        <f t="shared" si="100"/>
        <v>0.14038940537448785</v>
      </c>
      <c r="H976" s="3">
        <f t="shared" si="103"/>
        <v>2.6663759814793915</v>
      </c>
      <c r="I976" s="3">
        <f t="shared" si="104"/>
        <v>72.725110434623303</v>
      </c>
    </row>
    <row r="977" spans="1:9" ht="15.75" customHeight="1">
      <c r="A977" s="14">
        <v>18994</v>
      </c>
      <c r="B977">
        <v>24.19</v>
      </c>
      <c r="C977" s="3">
        <f t="shared" si="105"/>
        <v>0.78000000000000114</v>
      </c>
      <c r="D977" s="3">
        <f t="shared" si="101"/>
        <v>0.78000000000000114</v>
      </c>
      <c r="E977" s="3">
        <f t="shared" si="102"/>
        <v>0</v>
      </c>
      <c r="F977" s="3">
        <f t="shared" si="100"/>
        <v>0.40330730007722915</v>
      </c>
      <c r="G977" s="3">
        <f t="shared" si="100"/>
        <v>0.13036159070488157</v>
      </c>
      <c r="H977" s="3">
        <f t="shared" si="103"/>
        <v>3.0937586592530493</v>
      </c>
      <c r="I977" s="3">
        <f t="shared" si="104"/>
        <v>75.572570753781051</v>
      </c>
    </row>
    <row r="978" spans="1:9" ht="15.75" customHeight="1">
      <c r="A978" s="14">
        <v>19025</v>
      </c>
      <c r="B978">
        <v>23.75</v>
      </c>
      <c r="C978" s="3">
        <f t="shared" si="105"/>
        <v>-0.44000000000000128</v>
      </c>
      <c r="D978" s="3">
        <f t="shared" si="101"/>
        <v>0</v>
      </c>
      <c r="E978" s="3">
        <f t="shared" si="102"/>
        <v>0.44000000000000128</v>
      </c>
      <c r="F978" s="3">
        <f t="shared" ref="F978:G1041" si="106">((F977*13)+D978)/14</f>
        <v>0.37449963578599849</v>
      </c>
      <c r="G978" s="3">
        <f t="shared" si="106"/>
        <v>0.15247861994024728</v>
      </c>
      <c r="H978" s="3">
        <f t="shared" si="103"/>
        <v>2.4560796519063191</v>
      </c>
      <c r="I978" s="3">
        <f t="shared" si="104"/>
        <v>71.065481681001899</v>
      </c>
    </row>
    <row r="979" spans="1:9" ht="15.75" customHeight="1">
      <c r="A979" s="14">
        <v>19054</v>
      </c>
      <c r="B979">
        <v>23.81</v>
      </c>
      <c r="C979" s="3">
        <f t="shared" si="105"/>
        <v>5.9999999999998721E-2</v>
      </c>
      <c r="D979" s="3">
        <f t="shared" si="101"/>
        <v>5.9999999999998721E-2</v>
      </c>
      <c r="E979" s="3">
        <f t="shared" si="102"/>
        <v>0</v>
      </c>
      <c r="F979" s="3">
        <f t="shared" si="106"/>
        <v>0.35203537608699847</v>
      </c>
      <c r="G979" s="3">
        <f t="shared" si="106"/>
        <v>0.14158728994451533</v>
      </c>
      <c r="H979" s="3">
        <f t="shared" si="103"/>
        <v>2.4863487126913206</v>
      </c>
      <c r="I979" s="3">
        <f t="shared" si="104"/>
        <v>71.316695993154383</v>
      </c>
    </row>
    <row r="980" spans="1:9" ht="15.75" customHeight="1">
      <c r="A980" s="14">
        <v>19085</v>
      </c>
      <c r="B980">
        <v>23.74</v>
      </c>
      <c r="C980" s="3">
        <f t="shared" si="105"/>
        <v>-7.0000000000000284E-2</v>
      </c>
      <c r="D980" s="3">
        <f t="shared" si="101"/>
        <v>0</v>
      </c>
      <c r="E980" s="3">
        <f t="shared" si="102"/>
        <v>7.0000000000000284E-2</v>
      </c>
      <c r="F980" s="3">
        <f t="shared" si="106"/>
        <v>0.32688999208078429</v>
      </c>
      <c r="G980" s="3">
        <f t="shared" si="106"/>
        <v>0.13647391209133569</v>
      </c>
      <c r="H980" s="3">
        <f t="shared" si="103"/>
        <v>2.3952562586614494</v>
      </c>
      <c r="I980" s="3">
        <f t="shared" si="104"/>
        <v>70.547142135473408</v>
      </c>
    </row>
    <row r="981" spans="1:9" ht="15.75" customHeight="1">
      <c r="A981" s="14">
        <v>19115</v>
      </c>
      <c r="B981">
        <v>23.73</v>
      </c>
      <c r="C981" s="3">
        <f t="shared" si="105"/>
        <v>-9.9999999999980105E-3</v>
      </c>
      <c r="D981" s="3">
        <f t="shared" si="101"/>
        <v>0</v>
      </c>
      <c r="E981" s="3">
        <f t="shared" si="102"/>
        <v>9.9999999999980105E-3</v>
      </c>
      <c r="F981" s="3">
        <f t="shared" si="106"/>
        <v>0.30354070693215685</v>
      </c>
      <c r="G981" s="3">
        <f t="shared" si="106"/>
        <v>0.12744006122766871</v>
      </c>
      <c r="H981" s="3">
        <f t="shared" si="103"/>
        <v>2.3818311448382659</v>
      </c>
      <c r="I981" s="3">
        <f t="shared" si="104"/>
        <v>70.430220872313114</v>
      </c>
    </row>
    <row r="982" spans="1:9" ht="15.75" customHeight="1">
      <c r="A982" s="14">
        <v>19146</v>
      </c>
      <c r="B982">
        <v>24.38</v>
      </c>
      <c r="C982" s="3">
        <f t="shared" si="105"/>
        <v>0.64999999999999858</v>
      </c>
      <c r="D982" s="3">
        <f t="shared" si="101"/>
        <v>0.64999999999999858</v>
      </c>
      <c r="E982" s="3">
        <f t="shared" si="102"/>
        <v>0</v>
      </c>
      <c r="F982" s="3">
        <f t="shared" si="106"/>
        <v>0.32828779929414553</v>
      </c>
      <c r="G982" s="3">
        <f t="shared" si="106"/>
        <v>0.11833719971140666</v>
      </c>
      <c r="H982" s="3">
        <f t="shared" si="103"/>
        <v>2.7741724503770007</v>
      </c>
      <c r="I982" s="3">
        <f t="shared" si="104"/>
        <v>73.504125390451875</v>
      </c>
    </row>
    <row r="983" spans="1:9" ht="15.75" customHeight="1">
      <c r="A983" s="14">
        <v>19176</v>
      </c>
      <c r="B983">
        <v>25.08</v>
      </c>
      <c r="C983" s="3">
        <f t="shared" si="105"/>
        <v>0.69999999999999929</v>
      </c>
      <c r="D983" s="3">
        <f t="shared" si="101"/>
        <v>0.69999999999999929</v>
      </c>
      <c r="E983" s="3">
        <f t="shared" si="102"/>
        <v>0</v>
      </c>
      <c r="F983" s="3">
        <f t="shared" si="106"/>
        <v>0.35483867077313508</v>
      </c>
      <c r="G983" s="3">
        <f t="shared" si="106"/>
        <v>0.10988454258916333</v>
      </c>
      <c r="H983" s="3">
        <f t="shared" si="103"/>
        <v>3.2291955029544694</v>
      </c>
      <c r="I983" s="3">
        <f t="shared" si="104"/>
        <v>76.354841025878073</v>
      </c>
    </row>
    <row r="984" spans="1:9" ht="15.75" customHeight="1">
      <c r="A984" s="14">
        <v>19207</v>
      </c>
      <c r="B984">
        <v>25.18</v>
      </c>
      <c r="C984" s="3">
        <f t="shared" si="105"/>
        <v>0.10000000000000142</v>
      </c>
      <c r="D984" s="3">
        <f t="shared" si="101"/>
        <v>0.10000000000000142</v>
      </c>
      <c r="E984" s="3">
        <f t="shared" si="102"/>
        <v>0</v>
      </c>
      <c r="F984" s="3">
        <f t="shared" si="106"/>
        <v>0.3366359085750541</v>
      </c>
      <c r="G984" s="3">
        <f t="shared" si="106"/>
        <v>0.10203564668993738</v>
      </c>
      <c r="H984" s="3">
        <f t="shared" si="103"/>
        <v>3.2991990495048502</v>
      </c>
      <c r="I984" s="3">
        <f t="shared" si="104"/>
        <v>76.739853435835386</v>
      </c>
    </row>
    <row r="985" spans="1:9" ht="15.75" customHeight="1">
      <c r="A985" s="14">
        <v>19238</v>
      </c>
      <c r="B985">
        <v>24.78</v>
      </c>
      <c r="C985" s="3">
        <f t="shared" si="105"/>
        <v>-0.39999999999999858</v>
      </c>
      <c r="D985" s="3">
        <f t="shared" si="101"/>
        <v>0</v>
      </c>
      <c r="E985" s="3">
        <f t="shared" si="102"/>
        <v>0.39999999999999858</v>
      </c>
      <c r="F985" s="3">
        <f t="shared" si="106"/>
        <v>0.31259048653397886</v>
      </c>
      <c r="G985" s="3">
        <f t="shared" si="106"/>
        <v>0.12331881478351317</v>
      </c>
      <c r="H985" s="3">
        <f t="shared" si="103"/>
        <v>2.5348158517638457</v>
      </c>
      <c r="I985" s="3">
        <f t="shared" si="104"/>
        <v>71.709983152276294</v>
      </c>
    </row>
    <row r="986" spans="1:9" ht="15.75" customHeight="1">
      <c r="A986" s="14">
        <v>19268</v>
      </c>
      <c r="B986">
        <v>24.26</v>
      </c>
      <c r="C986" s="3">
        <f t="shared" si="105"/>
        <v>-0.51999999999999957</v>
      </c>
      <c r="D986" s="3">
        <f t="shared" si="101"/>
        <v>0</v>
      </c>
      <c r="E986" s="3">
        <f t="shared" si="102"/>
        <v>0.51999999999999957</v>
      </c>
      <c r="F986" s="3">
        <f t="shared" si="106"/>
        <v>0.29026259463869464</v>
      </c>
      <c r="G986" s="3">
        <f t="shared" si="106"/>
        <v>0.15165318515611936</v>
      </c>
      <c r="H986" s="3">
        <f t="shared" si="103"/>
        <v>1.913989438071372</v>
      </c>
      <c r="I986" s="3">
        <f t="shared" si="104"/>
        <v>65.682785704883969</v>
      </c>
    </row>
    <row r="987" spans="1:9" ht="15.75" customHeight="1">
      <c r="A987" s="14">
        <v>19299</v>
      </c>
      <c r="B987">
        <v>25.03</v>
      </c>
      <c r="C987" s="3">
        <f t="shared" si="105"/>
        <v>0.76999999999999957</v>
      </c>
      <c r="D987" s="3">
        <f t="shared" si="101"/>
        <v>0.76999999999999957</v>
      </c>
      <c r="E987" s="3">
        <f t="shared" si="102"/>
        <v>0</v>
      </c>
      <c r="F987" s="3">
        <f t="shared" si="106"/>
        <v>0.32452955216450213</v>
      </c>
      <c r="G987" s="3">
        <f t="shared" si="106"/>
        <v>0.14082081478782513</v>
      </c>
      <c r="H987" s="3">
        <f t="shared" si="103"/>
        <v>2.3045566996148343</v>
      </c>
      <c r="I987" s="3">
        <f t="shared" si="104"/>
        <v>69.738754970778501</v>
      </c>
    </row>
    <row r="988" spans="1:9" ht="15.75" customHeight="1">
      <c r="A988" s="14">
        <v>19329</v>
      </c>
      <c r="B988">
        <v>26.04</v>
      </c>
      <c r="C988" s="3">
        <f t="shared" si="105"/>
        <v>1.009999999999998</v>
      </c>
      <c r="D988" s="3">
        <f t="shared" si="101"/>
        <v>1.009999999999998</v>
      </c>
      <c r="E988" s="3">
        <f t="shared" si="102"/>
        <v>0</v>
      </c>
      <c r="F988" s="3">
        <f t="shared" si="106"/>
        <v>0.37349172700989469</v>
      </c>
      <c r="G988" s="3">
        <f t="shared" si="106"/>
        <v>0.13076218516012333</v>
      </c>
      <c r="H988" s="3">
        <f t="shared" si="103"/>
        <v>2.856267097039864</v>
      </c>
      <c r="I988" s="3">
        <f t="shared" si="104"/>
        <v>74.068186283890526</v>
      </c>
    </row>
    <row r="989" spans="1:9" ht="15.75" customHeight="1">
      <c r="A989" s="14">
        <v>19360</v>
      </c>
      <c r="B989">
        <v>26.18</v>
      </c>
      <c r="C989" s="3">
        <f t="shared" si="105"/>
        <v>0.14000000000000057</v>
      </c>
      <c r="D989" s="3">
        <f t="shared" si="101"/>
        <v>0.14000000000000057</v>
      </c>
      <c r="E989" s="3">
        <f t="shared" si="102"/>
        <v>0</v>
      </c>
      <c r="F989" s="3">
        <f t="shared" si="106"/>
        <v>0.35681374650918796</v>
      </c>
      <c r="G989" s="3">
        <f t="shared" si="106"/>
        <v>0.12142202907725738</v>
      </c>
      <c r="H989" s="3">
        <f t="shared" si="103"/>
        <v>2.9386244754825959</v>
      </c>
      <c r="I989" s="3">
        <f t="shared" si="104"/>
        <v>74.610425385185493</v>
      </c>
    </row>
    <row r="990" spans="1:9" ht="15.75" customHeight="1">
      <c r="A990" s="14">
        <v>19391</v>
      </c>
      <c r="B990">
        <v>25.86</v>
      </c>
      <c r="C990" s="3">
        <f t="shared" si="105"/>
        <v>-0.32000000000000028</v>
      </c>
      <c r="D990" s="3">
        <f t="shared" si="101"/>
        <v>0</v>
      </c>
      <c r="E990" s="3">
        <f t="shared" si="102"/>
        <v>0.32000000000000028</v>
      </c>
      <c r="F990" s="3">
        <f t="shared" si="106"/>
        <v>0.33132705032996024</v>
      </c>
      <c r="G990" s="3">
        <f t="shared" si="106"/>
        <v>0.1356061698574533</v>
      </c>
      <c r="H990" s="3">
        <f t="shared" si="103"/>
        <v>2.4433036540907032</v>
      </c>
      <c r="I990" s="3">
        <f t="shared" si="104"/>
        <v>70.958123347269037</v>
      </c>
    </row>
    <row r="991" spans="1:9" ht="15.75" customHeight="1">
      <c r="A991" s="14">
        <v>19419</v>
      </c>
      <c r="B991">
        <v>25.99</v>
      </c>
      <c r="C991" s="3">
        <f t="shared" si="105"/>
        <v>0.12999999999999901</v>
      </c>
      <c r="D991" s="3">
        <f t="shared" si="101"/>
        <v>0.12999999999999901</v>
      </c>
      <c r="E991" s="3">
        <f t="shared" si="102"/>
        <v>0</v>
      </c>
      <c r="F991" s="3">
        <f t="shared" si="106"/>
        <v>0.31694654673496298</v>
      </c>
      <c r="G991" s="3">
        <f t="shared" si="106"/>
        <v>0.12592001486763521</v>
      </c>
      <c r="H991" s="3">
        <f t="shared" si="103"/>
        <v>2.5170466114392642</v>
      </c>
      <c r="I991" s="3">
        <f t="shared" si="104"/>
        <v>71.567052971448263</v>
      </c>
    </row>
    <row r="992" spans="1:9" ht="15.75" customHeight="1">
      <c r="A992" s="14">
        <v>19450</v>
      </c>
      <c r="B992">
        <v>24.71</v>
      </c>
      <c r="C992" s="3">
        <f t="shared" si="105"/>
        <v>-1.2799999999999976</v>
      </c>
      <c r="D992" s="3">
        <f t="shared" si="101"/>
        <v>0</v>
      </c>
      <c r="E992" s="3">
        <f t="shared" si="102"/>
        <v>1.2799999999999976</v>
      </c>
      <c r="F992" s="3">
        <f t="shared" si="106"/>
        <v>0.29430750768246561</v>
      </c>
      <c r="G992" s="3">
        <f t="shared" si="106"/>
        <v>0.2083542995199468</v>
      </c>
      <c r="H992" s="3">
        <f t="shared" si="103"/>
        <v>1.4125338827207166</v>
      </c>
      <c r="I992" s="3">
        <f t="shared" si="104"/>
        <v>58.549804951453879</v>
      </c>
    </row>
    <row r="993" spans="1:9" ht="15.75" customHeight="1">
      <c r="A993" s="14">
        <v>19480</v>
      </c>
      <c r="B993">
        <v>24.84</v>
      </c>
      <c r="C993" s="3">
        <f t="shared" si="105"/>
        <v>0.12999999999999901</v>
      </c>
      <c r="D993" s="3">
        <f t="shared" si="101"/>
        <v>0.12999999999999901</v>
      </c>
      <c r="E993" s="3">
        <f t="shared" si="102"/>
        <v>0</v>
      </c>
      <c r="F993" s="3">
        <f t="shared" si="106"/>
        <v>0.282571257133718</v>
      </c>
      <c r="G993" s="3">
        <f t="shared" si="106"/>
        <v>0.1934718495542363</v>
      </c>
      <c r="H993" s="3">
        <f t="shared" si="103"/>
        <v>1.4605290525974133</v>
      </c>
      <c r="I993" s="3">
        <f t="shared" si="104"/>
        <v>59.358333975192529</v>
      </c>
    </row>
    <row r="994" spans="1:9" ht="15.75" customHeight="1">
      <c r="A994" s="14">
        <v>19511</v>
      </c>
      <c r="B994">
        <v>23.95</v>
      </c>
      <c r="C994" s="3">
        <f t="shared" si="105"/>
        <v>-0.89000000000000057</v>
      </c>
      <c r="D994" s="3">
        <f t="shared" si="101"/>
        <v>0</v>
      </c>
      <c r="E994" s="3">
        <f t="shared" si="102"/>
        <v>0.89000000000000057</v>
      </c>
      <c r="F994" s="3">
        <f t="shared" si="106"/>
        <v>0.26238759590988098</v>
      </c>
      <c r="G994" s="3">
        <f t="shared" si="106"/>
        <v>0.2432238603003623</v>
      </c>
      <c r="H994" s="3">
        <f t="shared" si="103"/>
        <v>1.0787905248516858</v>
      </c>
      <c r="I994" s="3">
        <f t="shared" si="104"/>
        <v>51.895104963914228</v>
      </c>
    </row>
    <row r="995" spans="1:9" ht="15.75" customHeight="1">
      <c r="A995" s="14">
        <v>19541</v>
      </c>
      <c r="B995">
        <v>24.29</v>
      </c>
      <c r="C995" s="3">
        <f t="shared" si="105"/>
        <v>0.33999999999999986</v>
      </c>
      <c r="D995" s="3">
        <f t="shared" si="101"/>
        <v>0.33999999999999986</v>
      </c>
      <c r="E995" s="3">
        <f t="shared" si="102"/>
        <v>0</v>
      </c>
      <c r="F995" s="3">
        <f t="shared" si="106"/>
        <v>0.26793133905917521</v>
      </c>
      <c r="G995" s="3">
        <f t="shared" si="106"/>
        <v>0.22585072742176499</v>
      </c>
      <c r="H995" s="3">
        <f t="shared" si="103"/>
        <v>1.1863204609424471</v>
      </c>
      <c r="I995" s="3">
        <f t="shared" si="104"/>
        <v>54.26105102776495</v>
      </c>
    </row>
    <row r="996" spans="1:9" ht="15.75" customHeight="1">
      <c r="A996" s="14">
        <v>19572</v>
      </c>
      <c r="B996">
        <v>24.39</v>
      </c>
      <c r="C996" s="3">
        <f t="shared" si="105"/>
        <v>0.10000000000000142</v>
      </c>
      <c r="D996" s="3">
        <f t="shared" si="101"/>
        <v>0.10000000000000142</v>
      </c>
      <c r="E996" s="3">
        <f t="shared" si="102"/>
        <v>0</v>
      </c>
      <c r="F996" s="3">
        <f t="shared" si="106"/>
        <v>0.25593624341209137</v>
      </c>
      <c r="G996" s="3">
        <f t="shared" si="106"/>
        <v>0.20971853260592463</v>
      </c>
      <c r="H996" s="3">
        <f t="shared" si="103"/>
        <v>1.2203797167178017</v>
      </c>
      <c r="I996" s="3">
        <f t="shared" si="104"/>
        <v>54.962658302508061</v>
      </c>
    </row>
    <row r="997" spans="1:9" ht="15.75" customHeight="1">
      <c r="A997" s="14">
        <v>19603</v>
      </c>
      <c r="B997">
        <v>23.27</v>
      </c>
      <c r="C997" s="3">
        <f t="shared" si="105"/>
        <v>-1.120000000000001</v>
      </c>
      <c r="D997" s="3">
        <f t="shared" si="101"/>
        <v>0</v>
      </c>
      <c r="E997" s="3">
        <f t="shared" si="102"/>
        <v>1.120000000000001</v>
      </c>
      <c r="F997" s="3">
        <f t="shared" si="106"/>
        <v>0.23765508316837056</v>
      </c>
      <c r="G997" s="3">
        <f t="shared" si="106"/>
        <v>0.27473863741978721</v>
      </c>
      <c r="H997" s="3">
        <f t="shared" si="103"/>
        <v>0.86502242786203098</v>
      </c>
      <c r="I997" s="3">
        <f t="shared" si="104"/>
        <v>46.381341850867159</v>
      </c>
    </row>
    <row r="998" spans="1:9" ht="15.75" customHeight="1">
      <c r="A998" s="14">
        <v>19633</v>
      </c>
      <c r="B998">
        <v>23.97</v>
      </c>
      <c r="C998" s="3">
        <f t="shared" si="105"/>
        <v>0.69999999999999929</v>
      </c>
      <c r="D998" s="3">
        <f t="shared" ref="D998:D1061" si="107">IF(C998&gt;0,C998,0)</f>
        <v>0.69999999999999929</v>
      </c>
      <c r="E998" s="3">
        <f t="shared" ref="E998:E1061" si="108">IF(C998&lt;0,-C998,0)</f>
        <v>0</v>
      </c>
      <c r="F998" s="3">
        <f t="shared" si="106"/>
        <v>0.27067972008491548</v>
      </c>
      <c r="G998" s="3">
        <f t="shared" si="106"/>
        <v>0.25511444903265956</v>
      </c>
      <c r="H998" s="3">
        <f t="shared" ref="H998:H1061" si="109">F998/G998</f>
        <v>1.0610128948449458</v>
      </c>
      <c r="I998" s="3">
        <f t="shared" ref="I998:I1061" si="110">IF(G998=0,100,100-(100/(1+H998)))</f>
        <v>51.480167712622091</v>
      </c>
    </row>
    <row r="999" spans="1:9" ht="15.75" customHeight="1">
      <c r="A999" s="14">
        <v>19664</v>
      </c>
      <c r="B999">
        <v>24.5</v>
      </c>
      <c r="C999" s="3">
        <f t="shared" si="105"/>
        <v>0.53000000000000114</v>
      </c>
      <c r="D999" s="3">
        <f t="shared" si="107"/>
        <v>0.53000000000000114</v>
      </c>
      <c r="E999" s="3">
        <f t="shared" si="108"/>
        <v>0</v>
      </c>
      <c r="F999" s="3">
        <f t="shared" si="106"/>
        <v>0.28920259722170727</v>
      </c>
      <c r="G999" s="3">
        <f t="shared" si="106"/>
        <v>0.23689198838746961</v>
      </c>
      <c r="H999" s="3">
        <f t="shared" si="109"/>
        <v>1.2208205063848609</v>
      </c>
      <c r="I999" s="3">
        <f t="shared" si="110"/>
        <v>54.971597338686351</v>
      </c>
    </row>
    <row r="1000" spans="1:9" ht="15.75" customHeight="1">
      <c r="A1000" s="14">
        <v>19694</v>
      </c>
      <c r="B1000">
        <v>24.83</v>
      </c>
      <c r="C1000" s="3">
        <f t="shared" si="105"/>
        <v>0.32999999999999829</v>
      </c>
      <c r="D1000" s="3">
        <f t="shared" si="107"/>
        <v>0.32999999999999829</v>
      </c>
      <c r="E1000" s="3">
        <f t="shared" si="108"/>
        <v>0</v>
      </c>
      <c r="F1000" s="3">
        <f t="shared" si="106"/>
        <v>0.29211669742015661</v>
      </c>
      <c r="G1000" s="3">
        <f t="shared" si="106"/>
        <v>0.21997113207407892</v>
      </c>
      <c r="H1000" s="3">
        <f t="shared" si="109"/>
        <v>1.3279774244275901</v>
      </c>
      <c r="I1000" s="3">
        <f t="shared" si="110"/>
        <v>57.044256980031371</v>
      </c>
    </row>
    <row r="1001" spans="1:9" ht="15.75" customHeight="1">
      <c r="A1001" s="14">
        <v>19725</v>
      </c>
      <c r="B1001">
        <v>25.46</v>
      </c>
      <c r="C1001" s="3">
        <f t="shared" si="105"/>
        <v>0.63000000000000256</v>
      </c>
      <c r="D1001" s="3">
        <f t="shared" si="107"/>
        <v>0.63000000000000256</v>
      </c>
      <c r="E1001" s="3">
        <f t="shared" si="108"/>
        <v>0</v>
      </c>
      <c r="F1001" s="3">
        <f t="shared" si="106"/>
        <v>0.31625121903300274</v>
      </c>
      <c r="G1001" s="3">
        <f t="shared" si="106"/>
        <v>0.20425890835450186</v>
      </c>
      <c r="H1001" s="3">
        <f t="shared" si="109"/>
        <v>1.5482860531308258</v>
      </c>
      <c r="I1001" s="3">
        <f t="shared" si="110"/>
        <v>60.757937721654159</v>
      </c>
    </row>
    <row r="1002" spans="1:9" ht="15.75" customHeight="1">
      <c r="A1002" s="14">
        <v>19756</v>
      </c>
      <c r="B1002">
        <v>26.02</v>
      </c>
      <c r="C1002" s="3">
        <f t="shared" si="105"/>
        <v>0.55999999999999872</v>
      </c>
      <c r="D1002" s="3">
        <f t="shared" si="107"/>
        <v>0.55999999999999872</v>
      </c>
      <c r="E1002" s="3">
        <f t="shared" si="108"/>
        <v>0</v>
      </c>
      <c r="F1002" s="3">
        <f t="shared" si="106"/>
        <v>0.33366184624493106</v>
      </c>
      <c r="G1002" s="3">
        <f t="shared" si="106"/>
        <v>0.18966898632918031</v>
      </c>
      <c r="H1002" s="3">
        <f t="shared" si="109"/>
        <v>1.7591797831715288</v>
      </c>
      <c r="I1002" s="3">
        <f t="shared" si="110"/>
        <v>63.7573453495461</v>
      </c>
    </row>
    <row r="1003" spans="1:9" ht="15.75" customHeight="1">
      <c r="A1003" s="14">
        <v>19784</v>
      </c>
      <c r="B1003">
        <v>26.57</v>
      </c>
      <c r="C1003" s="3">
        <f t="shared" ref="C1003:C1066" si="111">B1003-B1002</f>
        <v>0.55000000000000071</v>
      </c>
      <c r="D1003" s="3">
        <f t="shared" si="107"/>
        <v>0.55000000000000071</v>
      </c>
      <c r="E1003" s="3">
        <f t="shared" si="108"/>
        <v>0</v>
      </c>
      <c r="F1003" s="3">
        <f t="shared" si="106"/>
        <v>0.34911457151315034</v>
      </c>
      <c r="G1003" s="3">
        <f t="shared" si="106"/>
        <v>0.17612120159138173</v>
      </c>
      <c r="H1003" s="3">
        <f t="shared" si="109"/>
        <v>1.9822404591761191</v>
      </c>
      <c r="I1003" s="3">
        <f t="shared" si="110"/>
        <v>66.468163325895517</v>
      </c>
    </row>
    <row r="1004" spans="1:9" ht="15.75" customHeight="1">
      <c r="A1004" s="14">
        <v>19815</v>
      </c>
      <c r="B1004">
        <v>27.63</v>
      </c>
      <c r="C1004" s="3">
        <f t="shared" si="111"/>
        <v>1.0599999999999987</v>
      </c>
      <c r="D1004" s="3">
        <f t="shared" si="107"/>
        <v>1.0599999999999987</v>
      </c>
      <c r="E1004" s="3">
        <f t="shared" si="108"/>
        <v>0</v>
      </c>
      <c r="F1004" s="3">
        <f t="shared" si="106"/>
        <v>0.39989210211935378</v>
      </c>
      <c r="G1004" s="3">
        <f t="shared" si="106"/>
        <v>0.16354111576342589</v>
      </c>
      <c r="H1004" s="3">
        <f t="shared" si="109"/>
        <v>2.4452083517506802</v>
      </c>
      <c r="I1004" s="3">
        <f t="shared" si="110"/>
        <v>70.974179268668877</v>
      </c>
    </row>
    <row r="1005" spans="1:9" ht="15.75" customHeight="1">
      <c r="A1005" s="14">
        <v>19845</v>
      </c>
      <c r="B1005">
        <v>28.73</v>
      </c>
      <c r="C1005" s="3">
        <f t="shared" si="111"/>
        <v>1.1000000000000014</v>
      </c>
      <c r="D1005" s="3">
        <f t="shared" si="107"/>
        <v>1.1000000000000014</v>
      </c>
      <c r="E1005" s="3">
        <f t="shared" si="108"/>
        <v>0</v>
      </c>
      <c r="F1005" s="3">
        <f t="shared" si="106"/>
        <v>0.44989980911082866</v>
      </c>
      <c r="G1005" s="3">
        <f t="shared" si="106"/>
        <v>0.15185960749460975</v>
      </c>
      <c r="H1005" s="3">
        <f t="shared" si="109"/>
        <v>2.9626035292287836</v>
      </c>
      <c r="I1005" s="3">
        <f t="shared" si="110"/>
        <v>74.764066285616423</v>
      </c>
    </row>
    <row r="1006" spans="1:9" ht="15.75" customHeight="1">
      <c r="A1006" s="14">
        <v>19876</v>
      </c>
      <c r="B1006">
        <v>28.96</v>
      </c>
      <c r="C1006" s="3">
        <f t="shared" si="111"/>
        <v>0.23000000000000043</v>
      </c>
      <c r="D1006" s="3">
        <f t="shared" si="107"/>
        <v>0.23000000000000043</v>
      </c>
      <c r="E1006" s="3">
        <f t="shared" si="108"/>
        <v>0</v>
      </c>
      <c r="F1006" s="3">
        <f t="shared" si="106"/>
        <v>0.43419267988862664</v>
      </c>
      <c r="G1006" s="3">
        <f t="shared" si="106"/>
        <v>0.14101249267356619</v>
      </c>
      <c r="H1006" s="3">
        <f t="shared" si="109"/>
        <v>3.0791078978637132</v>
      </c>
      <c r="I1006" s="3">
        <f t="shared" si="110"/>
        <v>75.484835776868891</v>
      </c>
    </row>
    <row r="1007" spans="1:9" ht="15.75" customHeight="1">
      <c r="A1007" s="14">
        <v>19906</v>
      </c>
      <c r="B1007">
        <v>30.13</v>
      </c>
      <c r="C1007" s="3">
        <f t="shared" si="111"/>
        <v>1.1699999999999982</v>
      </c>
      <c r="D1007" s="3">
        <f t="shared" si="107"/>
        <v>1.1699999999999982</v>
      </c>
      <c r="E1007" s="3">
        <f t="shared" si="108"/>
        <v>0</v>
      </c>
      <c r="F1007" s="3">
        <f t="shared" si="106"/>
        <v>0.48675034561086744</v>
      </c>
      <c r="G1007" s="3">
        <f t="shared" si="106"/>
        <v>0.13094017176831146</v>
      </c>
      <c r="H1007" s="3">
        <f t="shared" si="109"/>
        <v>3.7173492216898465</v>
      </c>
      <c r="I1007" s="3">
        <f t="shared" si="110"/>
        <v>78.801654212876343</v>
      </c>
    </row>
    <row r="1008" spans="1:9" ht="15.75" customHeight="1">
      <c r="A1008" s="14">
        <v>19937</v>
      </c>
      <c r="B1008">
        <v>30.73</v>
      </c>
      <c r="C1008" s="3">
        <f t="shared" si="111"/>
        <v>0.60000000000000142</v>
      </c>
      <c r="D1008" s="3">
        <f t="shared" si="107"/>
        <v>0.60000000000000142</v>
      </c>
      <c r="E1008" s="3">
        <f t="shared" si="108"/>
        <v>0</v>
      </c>
      <c r="F1008" s="3">
        <f t="shared" si="106"/>
        <v>0.49483960663866272</v>
      </c>
      <c r="G1008" s="3">
        <f t="shared" si="106"/>
        <v>0.12158730235628921</v>
      </c>
      <c r="H1008" s="3">
        <f t="shared" si="109"/>
        <v>4.069829637215129</v>
      </c>
      <c r="I1008" s="3">
        <f t="shared" si="110"/>
        <v>80.275471336166973</v>
      </c>
    </row>
    <row r="1009" spans="1:9" ht="15.75" customHeight="1">
      <c r="A1009" s="14">
        <v>19968</v>
      </c>
      <c r="B1009">
        <v>31.45</v>
      </c>
      <c r="C1009" s="3">
        <f t="shared" si="111"/>
        <v>0.71999999999999886</v>
      </c>
      <c r="D1009" s="3">
        <f t="shared" si="107"/>
        <v>0.71999999999999886</v>
      </c>
      <c r="E1009" s="3">
        <f t="shared" si="108"/>
        <v>0</v>
      </c>
      <c r="F1009" s="3">
        <f t="shared" si="106"/>
        <v>0.51092249187875816</v>
      </c>
      <c r="G1009" s="3">
        <f t="shared" si="106"/>
        <v>0.1129024950451257</v>
      </c>
      <c r="H1009" s="3">
        <f t="shared" si="109"/>
        <v>4.5253427895862615</v>
      </c>
      <c r="I1009" s="3">
        <f t="shared" si="110"/>
        <v>81.901575375835094</v>
      </c>
    </row>
    <row r="1010" spans="1:9" ht="15.75" customHeight="1">
      <c r="A1010" s="14">
        <v>19998</v>
      </c>
      <c r="B1010">
        <v>32.18</v>
      </c>
      <c r="C1010" s="3">
        <f t="shared" si="111"/>
        <v>0.73000000000000043</v>
      </c>
      <c r="D1010" s="3">
        <f t="shared" si="107"/>
        <v>0.73000000000000043</v>
      </c>
      <c r="E1010" s="3">
        <f t="shared" si="108"/>
        <v>0</v>
      </c>
      <c r="F1010" s="3">
        <f t="shared" si="106"/>
        <v>0.52657088531598972</v>
      </c>
      <c r="G1010" s="3">
        <f t="shared" si="106"/>
        <v>0.10483803111333101</v>
      </c>
      <c r="H1010" s="3">
        <f t="shared" si="109"/>
        <v>5.0227086461282457</v>
      </c>
      <c r="I1010" s="3">
        <f t="shared" si="110"/>
        <v>83.396175064140635</v>
      </c>
    </row>
    <row r="1011" spans="1:9" ht="15.75" customHeight="1">
      <c r="A1011" s="14">
        <v>20029</v>
      </c>
      <c r="B1011">
        <v>33.44</v>
      </c>
      <c r="C1011" s="3">
        <f t="shared" si="111"/>
        <v>1.259999999999998</v>
      </c>
      <c r="D1011" s="3">
        <f t="shared" si="107"/>
        <v>1.259999999999998</v>
      </c>
      <c r="E1011" s="3">
        <f t="shared" si="108"/>
        <v>0</v>
      </c>
      <c r="F1011" s="3">
        <f t="shared" si="106"/>
        <v>0.57895867922199018</v>
      </c>
      <c r="G1011" s="3">
        <f t="shared" si="106"/>
        <v>9.7349600319521654E-2</v>
      </c>
      <c r="H1011" s="3">
        <f t="shared" si="109"/>
        <v>5.9472116713548617</v>
      </c>
      <c r="I1011" s="3">
        <f t="shared" si="110"/>
        <v>85.605735836101601</v>
      </c>
    </row>
    <row r="1012" spans="1:9" ht="15.75" customHeight="1">
      <c r="A1012" s="14">
        <v>20059</v>
      </c>
      <c r="B1012">
        <v>34.97</v>
      </c>
      <c r="C1012" s="3">
        <f t="shared" si="111"/>
        <v>1.5300000000000011</v>
      </c>
      <c r="D1012" s="3">
        <f t="shared" si="107"/>
        <v>1.5300000000000011</v>
      </c>
      <c r="E1012" s="3">
        <f t="shared" si="108"/>
        <v>0</v>
      </c>
      <c r="F1012" s="3">
        <f t="shared" si="106"/>
        <v>0.64689020213470527</v>
      </c>
      <c r="G1012" s="3">
        <f t="shared" si="106"/>
        <v>9.0396057439555824E-2</v>
      </c>
      <c r="H1012" s="3">
        <f t="shared" si="109"/>
        <v>7.1561771658819797</v>
      </c>
      <c r="I1012" s="3">
        <f t="shared" si="110"/>
        <v>87.739354115760392</v>
      </c>
    </row>
    <row r="1013" spans="1:9" ht="15.75" customHeight="1">
      <c r="A1013" s="14">
        <v>20090</v>
      </c>
      <c r="B1013">
        <v>35.6</v>
      </c>
      <c r="C1013" s="3">
        <f t="shared" si="111"/>
        <v>0.63000000000000256</v>
      </c>
      <c r="D1013" s="3">
        <f t="shared" si="107"/>
        <v>0.63000000000000256</v>
      </c>
      <c r="E1013" s="3">
        <f t="shared" si="108"/>
        <v>0</v>
      </c>
      <c r="F1013" s="3">
        <f t="shared" si="106"/>
        <v>0.64568375912508369</v>
      </c>
      <c r="G1013" s="3">
        <f t="shared" si="106"/>
        <v>8.3939196193873258E-2</v>
      </c>
      <c r="H1013" s="3">
        <f t="shared" si="109"/>
        <v>7.6922795118713836</v>
      </c>
      <c r="I1013" s="3">
        <f t="shared" si="110"/>
        <v>88.495537923806282</v>
      </c>
    </row>
    <row r="1014" spans="1:9" ht="15.75" customHeight="1">
      <c r="A1014" s="14">
        <v>20121</v>
      </c>
      <c r="B1014">
        <v>36.79</v>
      </c>
      <c r="C1014" s="3">
        <f t="shared" si="111"/>
        <v>1.1899999999999977</v>
      </c>
      <c r="D1014" s="3">
        <f t="shared" si="107"/>
        <v>1.1899999999999977</v>
      </c>
      <c r="E1014" s="3">
        <f t="shared" si="108"/>
        <v>0</v>
      </c>
      <c r="F1014" s="3">
        <f t="shared" si="106"/>
        <v>0.68456349061614907</v>
      </c>
      <c r="G1014" s="3">
        <f t="shared" si="106"/>
        <v>7.794353932288231E-2</v>
      </c>
      <c r="H1014" s="3">
        <f t="shared" si="109"/>
        <v>8.7828124891831543</v>
      </c>
      <c r="I1014" s="3">
        <f t="shared" si="110"/>
        <v>89.777990725001644</v>
      </c>
    </row>
    <row r="1015" spans="1:9" ht="15.75" customHeight="1">
      <c r="A1015" s="14">
        <v>20149</v>
      </c>
      <c r="B1015">
        <v>36.5</v>
      </c>
      <c r="C1015" s="3">
        <f t="shared" si="111"/>
        <v>-0.28999999999999915</v>
      </c>
      <c r="D1015" s="3">
        <f t="shared" si="107"/>
        <v>0</v>
      </c>
      <c r="E1015" s="3">
        <f t="shared" si="108"/>
        <v>0.28999999999999915</v>
      </c>
      <c r="F1015" s="3">
        <f t="shared" si="106"/>
        <v>0.63566609842928123</v>
      </c>
      <c r="G1015" s="3">
        <f t="shared" si="106"/>
        <v>9.3090429371247799E-2</v>
      </c>
      <c r="H1015" s="3">
        <f t="shared" si="109"/>
        <v>6.8284796055051293</v>
      </c>
      <c r="I1015" s="3">
        <f t="shared" si="110"/>
        <v>87.226127544653991</v>
      </c>
    </row>
    <row r="1016" spans="1:9" ht="15.75" customHeight="1">
      <c r="A1016" s="14">
        <v>20180</v>
      </c>
      <c r="B1016">
        <v>37.76</v>
      </c>
      <c r="C1016" s="3">
        <f t="shared" si="111"/>
        <v>1.259999999999998</v>
      </c>
      <c r="D1016" s="3">
        <f t="shared" si="107"/>
        <v>1.259999999999998</v>
      </c>
      <c r="E1016" s="3">
        <f t="shared" si="108"/>
        <v>0</v>
      </c>
      <c r="F1016" s="3">
        <f t="shared" si="106"/>
        <v>0.68026137711290391</v>
      </c>
      <c r="G1016" s="3">
        <f t="shared" si="106"/>
        <v>8.6441112987587249E-2</v>
      </c>
      <c r="H1016" s="3">
        <f t="shared" si="109"/>
        <v>7.8696508362934656</v>
      </c>
      <c r="I1016" s="3">
        <f t="shared" si="110"/>
        <v>88.725599029128304</v>
      </c>
    </row>
    <row r="1017" spans="1:9" ht="15.75" customHeight="1">
      <c r="A1017" s="14">
        <v>20210</v>
      </c>
      <c r="B1017">
        <v>37.6</v>
      </c>
      <c r="C1017" s="3">
        <f t="shared" si="111"/>
        <v>-0.15999999999999659</v>
      </c>
      <c r="D1017" s="3">
        <f t="shared" si="107"/>
        <v>0</v>
      </c>
      <c r="E1017" s="3">
        <f t="shared" si="108"/>
        <v>0.15999999999999659</v>
      </c>
      <c r="F1017" s="3">
        <f t="shared" si="106"/>
        <v>0.63167127874769657</v>
      </c>
      <c r="G1017" s="3">
        <f t="shared" si="106"/>
        <v>9.1695319202759334E-2</v>
      </c>
      <c r="H1017" s="3">
        <f t="shared" si="109"/>
        <v>6.8888061488823311</v>
      </c>
      <c r="I1017" s="3">
        <f t="shared" si="110"/>
        <v>87.323810711945583</v>
      </c>
    </row>
    <row r="1018" spans="1:9" ht="15.75" customHeight="1">
      <c r="A1018" s="14">
        <v>20241</v>
      </c>
      <c r="B1018">
        <v>39.78</v>
      </c>
      <c r="C1018" s="3">
        <f t="shared" si="111"/>
        <v>2.1799999999999997</v>
      </c>
      <c r="D1018" s="3">
        <f t="shared" si="107"/>
        <v>2.1799999999999997</v>
      </c>
      <c r="E1018" s="3">
        <f t="shared" si="108"/>
        <v>0</v>
      </c>
      <c r="F1018" s="3">
        <f t="shared" si="106"/>
        <v>0.74226618740857542</v>
      </c>
      <c r="G1018" s="3">
        <f t="shared" si="106"/>
        <v>8.5145653545419378E-2</v>
      </c>
      <c r="H1018" s="3">
        <f t="shared" si="109"/>
        <v>8.7176051448430911</v>
      </c>
      <c r="I1018" s="3">
        <f t="shared" si="110"/>
        <v>89.709398714037306</v>
      </c>
    </row>
    <row r="1019" spans="1:9" ht="15.75" customHeight="1">
      <c r="A1019" s="14">
        <v>20271</v>
      </c>
      <c r="B1019">
        <v>42.69</v>
      </c>
      <c r="C1019" s="3">
        <f t="shared" si="111"/>
        <v>2.9099999999999966</v>
      </c>
      <c r="D1019" s="3">
        <f t="shared" si="107"/>
        <v>2.9099999999999966</v>
      </c>
      <c r="E1019" s="3">
        <f t="shared" si="108"/>
        <v>0</v>
      </c>
      <c r="F1019" s="3">
        <f t="shared" si="106"/>
        <v>0.89710431687939118</v>
      </c>
      <c r="G1019" s="3">
        <f t="shared" si="106"/>
        <v>7.9063821149317995E-2</v>
      </c>
      <c r="H1019" s="3">
        <f t="shared" si="109"/>
        <v>11.34658436486572</v>
      </c>
      <c r="I1019" s="3">
        <f t="shared" si="110"/>
        <v>91.900593958231326</v>
      </c>
    </row>
    <row r="1020" spans="1:9" ht="15.75" customHeight="1">
      <c r="A1020" s="14">
        <v>20302</v>
      </c>
      <c r="B1020">
        <v>42.43</v>
      </c>
      <c r="C1020" s="3">
        <f t="shared" si="111"/>
        <v>-0.25999999999999801</v>
      </c>
      <c r="D1020" s="3">
        <f t="shared" si="107"/>
        <v>0</v>
      </c>
      <c r="E1020" s="3">
        <f t="shared" si="108"/>
        <v>0.25999999999999801</v>
      </c>
      <c r="F1020" s="3">
        <f t="shared" si="106"/>
        <v>0.83302543710229171</v>
      </c>
      <c r="G1020" s="3">
        <f t="shared" si="106"/>
        <v>9.1987833924366574E-2</v>
      </c>
      <c r="H1020" s="3">
        <f t="shared" si="109"/>
        <v>9.0558218577819165</v>
      </c>
      <c r="I1020" s="3">
        <f t="shared" si="110"/>
        <v>90.055511979598876</v>
      </c>
    </row>
    <row r="1021" spans="1:9" ht="15.75" customHeight="1">
      <c r="A1021" s="14">
        <v>20333</v>
      </c>
      <c r="B1021">
        <v>44.34</v>
      </c>
      <c r="C1021" s="3">
        <f t="shared" si="111"/>
        <v>1.9100000000000037</v>
      </c>
      <c r="D1021" s="3">
        <f t="shared" si="107"/>
        <v>1.9100000000000037</v>
      </c>
      <c r="E1021" s="3">
        <f t="shared" si="108"/>
        <v>0</v>
      </c>
      <c r="F1021" s="3">
        <f t="shared" si="106"/>
        <v>0.90995219159498542</v>
      </c>
      <c r="G1021" s="3">
        <f t="shared" si="106"/>
        <v>8.5417274358340387E-2</v>
      </c>
      <c r="H1021" s="3">
        <f t="shared" si="109"/>
        <v>10.653023038145388</v>
      </c>
      <c r="I1021" s="3">
        <f t="shared" si="110"/>
        <v>91.418535802026938</v>
      </c>
    </row>
    <row r="1022" spans="1:9" ht="15.75" customHeight="1">
      <c r="A1022" s="14">
        <v>20363</v>
      </c>
      <c r="B1022">
        <v>42.11</v>
      </c>
      <c r="C1022" s="3">
        <f t="shared" si="111"/>
        <v>-2.230000000000004</v>
      </c>
      <c r="D1022" s="3">
        <f t="shared" si="107"/>
        <v>0</v>
      </c>
      <c r="E1022" s="3">
        <f t="shared" si="108"/>
        <v>2.230000000000004</v>
      </c>
      <c r="F1022" s="3">
        <f t="shared" si="106"/>
        <v>0.84495560648105794</v>
      </c>
      <c r="G1022" s="3">
        <f t="shared" si="106"/>
        <v>0.23860175476131637</v>
      </c>
      <c r="H1022" s="3">
        <f t="shared" si="109"/>
        <v>3.5412799345348631</v>
      </c>
      <c r="I1022" s="3">
        <f t="shared" si="110"/>
        <v>77.979776309420032</v>
      </c>
    </row>
    <row r="1023" spans="1:9" ht="15.75" customHeight="1">
      <c r="A1023" s="14">
        <v>20394</v>
      </c>
      <c r="B1023">
        <v>44.95</v>
      </c>
      <c r="C1023" s="3">
        <f t="shared" si="111"/>
        <v>2.8400000000000034</v>
      </c>
      <c r="D1023" s="3">
        <f t="shared" si="107"/>
        <v>2.8400000000000034</v>
      </c>
      <c r="E1023" s="3">
        <f t="shared" si="108"/>
        <v>0</v>
      </c>
      <c r="F1023" s="3">
        <f t="shared" si="106"/>
        <v>0.98745877744669686</v>
      </c>
      <c r="G1023" s="3">
        <f t="shared" si="106"/>
        <v>0.22155877227836521</v>
      </c>
      <c r="H1023" s="3">
        <f t="shared" si="109"/>
        <v>4.4568705959701704</v>
      </c>
      <c r="I1023" s="3">
        <f t="shared" si="110"/>
        <v>81.674478395392271</v>
      </c>
    </row>
    <row r="1024" spans="1:9" ht="15.75" customHeight="1">
      <c r="A1024" s="14">
        <v>20424</v>
      </c>
      <c r="B1024">
        <v>45.37</v>
      </c>
      <c r="C1024" s="3">
        <f t="shared" si="111"/>
        <v>0.4199999999999946</v>
      </c>
      <c r="D1024" s="3">
        <f t="shared" si="107"/>
        <v>0.4199999999999946</v>
      </c>
      <c r="E1024" s="3">
        <f t="shared" si="108"/>
        <v>0</v>
      </c>
      <c r="F1024" s="3">
        <f t="shared" si="106"/>
        <v>0.94692600762907531</v>
      </c>
      <c r="G1024" s="3">
        <f t="shared" si="106"/>
        <v>0.20573314568705342</v>
      </c>
      <c r="H1024" s="3">
        <f t="shared" si="109"/>
        <v>4.6026905604674493</v>
      </c>
      <c r="I1024" s="3">
        <f t="shared" si="110"/>
        <v>82.151432616036402</v>
      </c>
    </row>
    <row r="1025" spans="1:9" ht="15.75" customHeight="1">
      <c r="A1025" s="14">
        <v>20455</v>
      </c>
      <c r="B1025">
        <v>44.15</v>
      </c>
      <c r="C1025" s="3">
        <f t="shared" si="111"/>
        <v>-1.2199999999999989</v>
      </c>
      <c r="D1025" s="3">
        <f t="shared" si="107"/>
        <v>0</v>
      </c>
      <c r="E1025" s="3">
        <f t="shared" si="108"/>
        <v>1.2199999999999989</v>
      </c>
      <c r="F1025" s="3">
        <f t="shared" si="106"/>
        <v>0.87928843565556991</v>
      </c>
      <c r="G1025" s="3">
        <f t="shared" si="106"/>
        <v>0.27818077813797809</v>
      </c>
      <c r="H1025" s="3">
        <f t="shared" si="109"/>
        <v>3.1608525993102279</v>
      </c>
      <c r="I1025" s="3">
        <f t="shared" si="110"/>
        <v>75.966464176938729</v>
      </c>
    </row>
    <row r="1026" spans="1:9" ht="15.75" customHeight="1">
      <c r="A1026" s="14">
        <v>20486</v>
      </c>
      <c r="B1026">
        <v>44.43</v>
      </c>
      <c r="C1026" s="3">
        <f t="shared" si="111"/>
        <v>0.28000000000000114</v>
      </c>
      <c r="D1026" s="3">
        <f t="shared" si="107"/>
        <v>0.28000000000000114</v>
      </c>
      <c r="E1026" s="3">
        <f t="shared" si="108"/>
        <v>0</v>
      </c>
      <c r="F1026" s="3">
        <f t="shared" si="106"/>
        <v>0.83648211882302925</v>
      </c>
      <c r="G1026" s="3">
        <f t="shared" si="106"/>
        <v>0.25831072255669396</v>
      </c>
      <c r="H1026" s="3">
        <f t="shared" si="109"/>
        <v>3.238278730916555</v>
      </c>
      <c r="I1026" s="3">
        <f t="shared" si="110"/>
        <v>76.405515930195946</v>
      </c>
    </row>
    <row r="1027" spans="1:9" ht="15.75" customHeight="1">
      <c r="A1027" s="14">
        <v>20515</v>
      </c>
      <c r="B1027">
        <v>47.49</v>
      </c>
      <c r="C1027" s="3">
        <f t="shared" si="111"/>
        <v>3.0600000000000023</v>
      </c>
      <c r="D1027" s="3">
        <f t="shared" si="107"/>
        <v>3.0600000000000023</v>
      </c>
      <c r="E1027" s="3">
        <f t="shared" si="108"/>
        <v>0</v>
      </c>
      <c r="F1027" s="3">
        <f t="shared" si="106"/>
        <v>0.99530482462138448</v>
      </c>
      <c r="G1027" s="3">
        <f t="shared" si="106"/>
        <v>0.23985995665978724</v>
      </c>
      <c r="H1027" s="3">
        <f t="shared" si="109"/>
        <v>4.1495247413602501</v>
      </c>
      <c r="I1027" s="3">
        <f t="shared" si="110"/>
        <v>80.580732199067967</v>
      </c>
    </row>
    <row r="1028" spans="1:9" ht="15.75" customHeight="1">
      <c r="A1028" s="14">
        <v>20546</v>
      </c>
      <c r="B1028">
        <v>48.05</v>
      </c>
      <c r="C1028" s="3">
        <f t="shared" si="111"/>
        <v>0.55999999999999517</v>
      </c>
      <c r="D1028" s="3">
        <f t="shared" si="107"/>
        <v>0.55999999999999517</v>
      </c>
      <c r="E1028" s="3">
        <f t="shared" si="108"/>
        <v>0</v>
      </c>
      <c r="F1028" s="3">
        <f t="shared" si="106"/>
        <v>0.96421162286271389</v>
      </c>
      <c r="G1028" s="3">
        <f t="shared" si="106"/>
        <v>0.22272710261265957</v>
      </c>
      <c r="H1028" s="3">
        <f t="shared" si="109"/>
        <v>4.329116715263682</v>
      </c>
      <c r="I1028" s="3">
        <f t="shared" si="110"/>
        <v>81.235164222697634</v>
      </c>
    </row>
    <row r="1029" spans="1:9" ht="15.75" customHeight="1">
      <c r="A1029" s="14">
        <v>20576</v>
      </c>
      <c r="B1029">
        <v>46.54</v>
      </c>
      <c r="C1029" s="3">
        <f t="shared" si="111"/>
        <v>-1.509999999999998</v>
      </c>
      <c r="D1029" s="3">
        <f t="shared" si="107"/>
        <v>0</v>
      </c>
      <c r="E1029" s="3">
        <f t="shared" si="108"/>
        <v>1.509999999999998</v>
      </c>
      <c r="F1029" s="3">
        <f t="shared" si="106"/>
        <v>0.89533936408680581</v>
      </c>
      <c r="G1029" s="3">
        <f t="shared" si="106"/>
        <v>0.31467516671175516</v>
      </c>
      <c r="H1029" s="3">
        <f t="shared" si="109"/>
        <v>2.8452812894096073</v>
      </c>
      <c r="I1029" s="3">
        <f t="shared" si="110"/>
        <v>73.994100177947274</v>
      </c>
    </row>
    <row r="1030" spans="1:9" ht="15.75" customHeight="1">
      <c r="A1030" s="14">
        <v>20607</v>
      </c>
      <c r="B1030">
        <v>46.27</v>
      </c>
      <c r="C1030" s="3">
        <f t="shared" si="111"/>
        <v>-0.26999999999999602</v>
      </c>
      <c r="D1030" s="3">
        <f t="shared" si="107"/>
        <v>0</v>
      </c>
      <c r="E1030" s="3">
        <f t="shared" si="108"/>
        <v>0.26999999999999602</v>
      </c>
      <c r="F1030" s="3">
        <f t="shared" si="106"/>
        <v>0.83138655236631975</v>
      </c>
      <c r="G1030" s="3">
        <f t="shared" si="106"/>
        <v>0.31148408337520095</v>
      </c>
      <c r="H1030" s="3">
        <f t="shared" si="109"/>
        <v>2.6691140791449866</v>
      </c>
      <c r="I1030" s="3">
        <f t="shared" si="110"/>
        <v>72.745464479179404</v>
      </c>
    </row>
    <row r="1031" spans="1:9" ht="15.75" customHeight="1">
      <c r="A1031" s="14">
        <v>20637</v>
      </c>
      <c r="B1031">
        <v>48.78</v>
      </c>
      <c r="C1031" s="3">
        <f t="shared" si="111"/>
        <v>2.509999999999998</v>
      </c>
      <c r="D1031" s="3">
        <f t="shared" si="107"/>
        <v>2.509999999999998</v>
      </c>
      <c r="E1031" s="3">
        <f t="shared" si="108"/>
        <v>0</v>
      </c>
      <c r="F1031" s="3">
        <f t="shared" si="106"/>
        <v>0.95128751291158242</v>
      </c>
      <c r="G1031" s="3">
        <f t="shared" si="106"/>
        <v>0.28923522027697229</v>
      </c>
      <c r="H1031" s="3">
        <f t="shared" si="109"/>
        <v>3.2889753606100509</v>
      </c>
      <c r="I1031" s="3">
        <f t="shared" si="110"/>
        <v>76.684407908145147</v>
      </c>
    </row>
    <row r="1032" spans="1:9" ht="15.75" customHeight="1">
      <c r="A1032" s="14">
        <v>20668</v>
      </c>
      <c r="B1032">
        <v>48.49</v>
      </c>
      <c r="C1032" s="3">
        <f t="shared" si="111"/>
        <v>-0.28999999999999915</v>
      </c>
      <c r="D1032" s="3">
        <f t="shared" si="107"/>
        <v>0</v>
      </c>
      <c r="E1032" s="3">
        <f t="shared" si="108"/>
        <v>0.28999999999999915</v>
      </c>
      <c r="F1032" s="3">
        <f t="shared" si="106"/>
        <v>0.88333840484646942</v>
      </c>
      <c r="G1032" s="3">
        <f t="shared" si="106"/>
        <v>0.28928984740004565</v>
      </c>
      <c r="H1032" s="3">
        <f t="shared" si="109"/>
        <v>3.0534718476481522</v>
      </c>
      <c r="I1032" s="3">
        <f t="shared" si="110"/>
        <v>75.329790422000698</v>
      </c>
    </row>
    <row r="1033" spans="1:9" ht="15.75" customHeight="1">
      <c r="A1033" s="14">
        <v>20699</v>
      </c>
      <c r="B1033">
        <v>46.84</v>
      </c>
      <c r="C1033" s="3">
        <f t="shared" si="111"/>
        <v>-1.6499999999999986</v>
      </c>
      <c r="D1033" s="3">
        <f t="shared" si="107"/>
        <v>0</v>
      </c>
      <c r="E1033" s="3">
        <f t="shared" si="108"/>
        <v>1.6499999999999986</v>
      </c>
      <c r="F1033" s="3">
        <f t="shared" si="106"/>
        <v>0.82024280450029308</v>
      </c>
      <c r="G1033" s="3">
        <f t="shared" si="106"/>
        <v>0.38648342972861371</v>
      </c>
      <c r="H1033" s="3">
        <f t="shared" si="109"/>
        <v>2.1223233427530452</v>
      </c>
      <c r="I1033" s="3">
        <f t="shared" si="110"/>
        <v>67.972567533051517</v>
      </c>
    </row>
    <row r="1034" spans="1:9" ht="15.75" customHeight="1">
      <c r="A1034" s="14">
        <v>20729</v>
      </c>
      <c r="B1034">
        <v>46.24</v>
      </c>
      <c r="C1034" s="3">
        <f t="shared" si="111"/>
        <v>-0.60000000000000142</v>
      </c>
      <c r="D1034" s="3">
        <f t="shared" si="107"/>
        <v>0</v>
      </c>
      <c r="E1034" s="3">
        <f t="shared" si="108"/>
        <v>0.60000000000000142</v>
      </c>
      <c r="F1034" s="3">
        <f t="shared" si="106"/>
        <v>0.7616540327502721</v>
      </c>
      <c r="G1034" s="3">
        <f t="shared" si="106"/>
        <v>0.40173461331942711</v>
      </c>
      <c r="H1034" s="3">
        <f t="shared" si="109"/>
        <v>1.8959133903273253</v>
      </c>
      <c r="I1034" s="3">
        <f t="shared" si="110"/>
        <v>65.468580540422522</v>
      </c>
    </row>
    <row r="1035" spans="1:9" ht="15.75" customHeight="1">
      <c r="A1035" s="14">
        <v>20760</v>
      </c>
      <c r="B1035">
        <v>45.76</v>
      </c>
      <c r="C1035" s="3">
        <f t="shared" si="111"/>
        <v>-0.48000000000000398</v>
      </c>
      <c r="D1035" s="3">
        <f t="shared" si="107"/>
        <v>0</v>
      </c>
      <c r="E1035" s="3">
        <f t="shared" si="108"/>
        <v>0.48000000000000398</v>
      </c>
      <c r="F1035" s="3">
        <f t="shared" si="106"/>
        <v>0.70725017326810991</v>
      </c>
      <c r="G1035" s="3">
        <f t="shared" si="106"/>
        <v>0.40732499808232542</v>
      </c>
      <c r="H1035" s="3">
        <f t="shared" si="109"/>
        <v>1.7363289181803812</v>
      </c>
      <c r="I1035" s="3">
        <f t="shared" si="110"/>
        <v>63.454685825380032</v>
      </c>
    </row>
    <row r="1036" spans="1:9" ht="15.75" customHeight="1">
      <c r="A1036" s="14">
        <v>20790</v>
      </c>
      <c r="B1036">
        <v>46.44</v>
      </c>
      <c r="C1036" s="3">
        <f t="shared" si="111"/>
        <v>0.67999999999999972</v>
      </c>
      <c r="D1036" s="3">
        <f t="shared" si="107"/>
        <v>0.67999999999999972</v>
      </c>
      <c r="E1036" s="3">
        <f t="shared" si="108"/>
        <v>0</v>
      </c>
      <c r="F1036" s="3">
        <f t="shared" si="106"/>
        <v>0.70530373232038779</v>
      </c>
      <c r="G1036" s="3">
        <f t="shared" si="106"/>
        <v>0.37823035536215927</v>
      </c>
      <c r="H1036" s="3">
        <f t="shared" si="109"/>
        <v>1.8647465025514744</v>
      </c>
      <c r="I1036" s="3">
        <f t="shared" si="110"/>
        <v>65.092897430563085</v>
      </c>
    </row>
    <row r="1037" spans="1:9" ht="15.75" customHeight="1">
      <c r="A1037" s="14">
        <v>20821</v>
      </c>
      <c r="B1037">
        <v>45.43</v>
      </c>
      <c r="C1037" s="3">
        <f t="shared" si="111"/>
        <v>-1.009999999999998</v>
      </c>
      <c r="D1037" s="3">
        <f t="shared" si="107"/>
        <v>0</v>
      </c>
      <c r="E1037" s="3">
        <f t="shared" si="108"/>
        <v>1.009999999999998</v>
      </c>
      <c r="F1037" s="3">
        <f t="shared" si="106"/>
        <v>0.654924894297503</v>
      </c>
      <c r="G1037" s="3">
        <f t="shared" si="106"/>
        <v>0.42335675855057631</v>
      </c>
      <c r="H1037" s="3">
        <f t="shared" si="109"/>
        <v>1.5469810769992998</v>
      </c>
      <c r="I1037" s="3">
        <f t="shared" si="110"/>
        <v>60.737831583022995</v>
      </c>
    </row>
    <row r="1038" spans="1:9" ht="15.75" customHeight="1">
      <c r="A1038" s="14">
        <v>20852</v>
      </c>
      <c r="B1038">
        <v>43.47</v>
      </c>
      <c r="C1038" s="3">
        <f t="shared" si="111"/>
        <v>-1.9600000000000009</v>
      </c>
      <c r="D1038" s="3">
        <f t="shared" si="107"/>
        <v>0</v>
      </c>
      <c r="E1038" s="3">
        <f t="shared" si="108"/>
        <v>1.9600000000000009</v>
      </c>
      <c r="F1038" s="3">
        <f t="shared" si="106"/>
        <v>0.60814454470482426</v>
      </c>
      <c r="G1038" s="3">
        <f t="shared" si="106"/>
        <v>0.5331169900826781</v>
      </c>
      <c r="H1038" s="3">
        <f t="shared" si="109"/>
        <v>1.1407337526618886</v>
      </c>
      <c r="I1038" s="3">
        <f t="shared" si="110"/>
        <v>53.287044745449862</v>
      </c>
    </row>
    <row r="1039" spans="1:9" ht="15.75" customHeight="1">
      <c r="A1039" s="14">
        <v>20880</v>
      </c>
      <c r="B1039">
        <v>44.03</v>
      </c>
      <c r="C1039" s="3">
        <f t="shared" si="111"/>
        <v>0.56000000000000227</v>
      </c>
      <c r="D1039" s="3">
        <f t="shared" si="107"/>
        <v>0.56000000000000227</v>
      </c>
      <c r="E1039" s="3">
        <f t="shared" si="108"/>
        <v>0</v>
      </c>
      <c r="F1039" s="3">
        <f t="shared" si="106"/>
        <v>0.60470564865447984</v>
      </c>
      <c r="G1039" s="3">
        <f t="shared" si="106"/>
        <v>0.49503720507677251</v>
      </c>
      <c r="H1039" s="3">
        <f t="shared" si="109"/>
        <v>1.2215357602479584</v>
      </c>
      <c r="I1039" s="3">
        <f t="shared" si="110"/>
        <v>54.98609484961051</v>
      </c>
    </row>
    <row r="1040" spans="1:9" ht="15.75" customHeight="1">
      <c r="A1040" s="14">
        <v>20911</v>
      </c>
      <c r="B1040">
        <v>45.05</v>
      </c>
      <c r="C1040" s="3">
        <f t="shared" si="111"/>
        <v>1.019999999999996</v>
      </c>
      <c r="D1040" s="3">
        <f t="shared" si="107"/>
        <v>1.019999999999996</v>
      </c>
      <c r="E1040" s="3">
        <f t="shared" si="108"/>
        <v>0</v>
      </c>
      <c r="F1040" s="3">
        <f t="shared" si="106"/>
        <v>0.63436953089344528</v>
      </c>
      <c r="G1040" s="3">
        <f t="shared" si="106"/>
        <v>0.45967740471414592</v>
      </c>
      <c r="H1040" s="3">
        <f t="shared" si="109"/>
        <v>1.3800320058975557</v>
      </c>
      <c r="I1040" s="3">
        <f t="shared" si="110"/>
        <v>57.983758305683757</v>
      </c>
    </row>
    <row r="1041" spans="1:9" ht="15.75" customHeight="1">
      <c r="A1041" s="14">
        <v>20941</v>
      </c>
      <c r="B1041">
        <v>46.78</v>
      </c>
      <c r="C1041" s="3">
        <f t="shared" si="111"/>
        <v>1.730000000000004</v>
      </c>
      <c r="D1041" s="3">
        <f t="shared" si="107"/>
        <v>1.730000000000004</v>
      </c>
      <c r="E1041" s="3">
        <f t="shared" si="108"/>
        <v>0</v>
      </c>
      <c r="F1041" s="3">
        <f t="shared" si="106"/>
        <v>0.71262885011534227</v>
      </c>
      <c r="G1041" s="3">
        <f t="shared" si="106"/>
        <v>0.42684330437742124</v>
      </c>
      <c r="H1041" s="3">
        <f t="shared" si="109"/>
        <v>1.6695326898819647</v>
      </c>
      <c r="I1041" s="3">
        <f t="shared" si="110"/>
        <v>62.540260181484584</v>
      </c>
    </row>
    <row r="1042" spans="1:9" ht="15.75" customHeight="1">
      <c r="A1042" s="14">
        <v>20972</v>
      </c>
      <c r="B1042">
        <v>47.55</v>
      </c>
      <c r="C1042" s="3">
        <f t="shared" si="111"/>
        <v>0.76999999999999602</v>
      </c>
      <c r="D1042" s="3">
        <f t="shared" si="107"/>
        <v>0.76999999999999602</v>
      </c>
      <c r="E1042" s="3">
        <f t="shared" si="108"/>
        <v>0</v>
      </c>
      <c r="F1042" s="3">
        <f t="shared" ref="F1042:G1105" si="112">((F1041*13)+D1042)/14</f>
        <v>0.71672678939281753</v>
      </c>
      <c r="G1042" s="3">
        <f t="shared" si="112"/>
        <v>0.39635449692189118</v>
      </c>
      <c r="H1042" s="3">
        <f t="shared" si="109"/>
        <v>1.8082973574387413</v>
      </c>
      <c r="I1042" s="3">
        <f t="shared" si="110"/>
        <v>64.391235231869018</v>
      </c>
    </row>
    <row r="1043" spans="1:9" ht="15.75" customHeight="1">
      <c r="A1043" s="14">
        <v>21002</v>
      </c>
      <c r="B1043">
        <v>48.51</v>
      </c>
      <c r="C1043" s="3">
        <f t="shared" si="111"/>
        <v>0.96000000000000085</v>
      </c>
      <c r="D1043" s="3">
        <f t="shared" si="107"/>
        <v>0.96000000000000085</v>
      </c>
      <c r="E1043" s="3">
        <f t="shared" si="108"/>
        <v>0</v>
      </c>
      <c r="F1043" s="3">
        <f t="shared" si="112"/>
        <v>0.73410344729333066</v>
      </c>
      <c r="G1043" s="3">
        <f t="shared" si="112"/>
        <v>0.36804346142747041</v>
      </c>
      <c r="H1043" s="3">
        <f t="shared" si="109"/>
        <v>1.9946107572352538</v>
      </c>
      <c r="I1043" s="3">
        <f t="shared" si="110"/>
        <v>66.60667842777535</v>
      </c>
    </row>
    <row r="1044" spans="1:9" ht="15.75" customHeight="1">
      <c r="A1044" s="14">
        <v>21033</v>
      </c>
      <c r="B1044">
        <v>45.84</v>
      </c>
      <c r="C1044" s="3">
        <f t="shared" si="111"/>
        <v>-2.6699999999999946</v>
      </c>
      <c r="D1044" s="3">
        <f t="shared" si="107"/>
        <v>0</v>
      </c>
      <c r="E1044" s="3">
        <f t="shared" si="108"/>
        <v>2.6699999999999946</v>
      </c>
      <c r="F1044" s="3">
        <f t="shared" si="112"/>
        <v>0.68166748677237854</v>
      </c>
      <c r="G1044" s="3">
        <f t="shared" si="112"/>
        <v>0.53246892846836502</v>
      </c>
      <c r="H1044" s="3">
        <f t="shared" si="109"/>
        <v>1.2802014358531302</v>
      </c>
      <c r="I1044" s="3">
        <f t="shared" si="110"/>
        <v>56.144225493575611</v>
      </c>
    </row>
    <row r="1045" spans="1:9" ht="15.75" customHeight="1">
      <c r="A1045" s="14">
        <v>21064</v>
      </c>
      <c r="B1045">
        <v>43.98</v>
      </c>
      <c r="C1045" s="3">
        <f t="shared" si="111"/>
        <v>-1.8600000000000065</v>
      </c>
      <c r="D1045" s="3">
        <f t="shared" si="107"/>
        <v>0</v>
      </c>
      <c r="E1045" s="3">
        <f t="shared" si="108"/>
        <v>1.8600000000000065</v>
      </c>
      <c r="F1045" s="3">
        <f t="shared" si="112"/>
        <v>0.63297695200292292</v>
      </c>
      <c r="G1045" s="3">
        <f t="shared" si="112"/>
        <v>0.62729257643491088</v>
      </c>
      <c r="H1045" s="3">
        <f t="shared" si="109"/>
        <v>1.0090617612603006</v>
      </c>
      <c r="I1045" s="3">
        <f t="shared" si="110"/>
        <v>50.225522217261656</v>
      </c>
    </row>
    <row r="1046" spans="1:9" ht="15.75" customHeight="1">
      <c r="A1046" s="14">
        <v>21094</v>
      </c>
      <c r="B1046">
        <v>41.24</v>
      </c>
      <c r="C1046" s="3">
        <f t="shared" si="111"/>
        <v>-2.7399999999999949</v>
      </c>
      <c r="D1046" s="3">
        <f t="shared" si="107"/>
        <v>0</v>
      </c>
      <c r="E1046" s="3">
        <f t="shared" si="108"/>
        <v>2.7399999999999949</v>
      </c>
      <c r="F1046" s="3">
        <f t="shared" si="112"/>
        <v>0.58776431257414274</v>
      </c>
      <c r="G1046" s="3">
        <f t="shared" si="112"/>
        <v>0.77820024954670253</v>
      </c>
      <c r="H1046" s="3">
        <f t="shared" si="109"/>
        <v>0.75528671818919657</v>
      </c>
      <c r="I1046" s="3">
        <f t="shared" si="110"/>
        <v>43.029250455923901</v>
      </c>
    </row>
    <row r="1047" spans="1:9" ht="15.75" customHeight="1">
      <c r="A1047" s="14">
        <v>21125</v>
      </c>
      <c r="B1047">
        <v>40.35</v>
      </c>
      <c r="C1047" s="3">
        <f t="shared" si="111"/>
        <v>-0.89000000000000057</v>
      </c>
      <c r="D1047" s="3">
        <f t="shared" si="107"/>
        <v>0</v>
      </c>
      <c r="E1047" s="3">
        <f t="shared" si="108"/>
        <v>0.89000000000000057</v>
      </c>
      <c r="F1047" s="3">
        <f t="shared" si="112"/>
        <v>0.54578114739027539</v>
      </c>
      <c r="G1047" s="3">
        <f t="shared" si="112"/>
        <v>0.78618594600765235</v>
      </c>
      <c r="H1047" s="3">
        <f t="shared" si="109"/>
        <v>0.69421381819634187</v>
      </c>
      <c r="I1047" s="3">
        <f t="shared" si="110"/>
        <v>40.975572902327116</v>
      </c>
    </row>
    <row r="1048" spans="1:9" ht="15.75" customHeight="1">
      <c r="A1048" s="14">
        <v>21155</v>
      </c>
      <c r="B1048">
        <v>40.33</v>
      </c>
      <c r="C1048" s="3">
        <f t="shared" si="111"/>
        <v>-2.0000000000003126E-2</v>
      </c>
      <c r="D1048" s="3">
        <f t="shared" si="107"/>
        <v>0</v>
      </c>
      <c r="E1048" s="3">
        <f t="shared" si="108"/>
        <v>2.0000000000003126E-2</v>
      </c>
      <c r="F1048" s="3">
        <f t="shared" si="112"/>
        <v>0.50679677971954151</v>
      </c>
      <c r="G1048" s="3">
        <f t="shared" si="112"/>
        <v>0.7314583784356774</v>
      </c>
      <c r="H1048" s="3">
        <f t="shared" si="109"/>
        <v>0.69285798708519131</v>
      </c>
      <c r="I1048" s="3">
        <f t="shared" si="110"/>
        <v>40.928299501257811</v>
      </c>
    </row>
    <row r="1049" spans="1:9" ht="15.75" customHeight="1">
      <c r="A1049" s="14">
        <v>21186</v>
      </c>
      <c r="B1049">
        <v>41.12</v>
      </c>
      <c r="C1049" s="3">
        <f t="shared" si="111"/>
        <v>0.78999999999999915</v>
      </c>
      <c r="D1049" s="3">
        <f t="shared" si="107"/>
        <v>0.78999999999999915</v>
      </c>
      <c r="E1049" s="3">
        <f t="shared" si="108"/>
        <v>0</v>
      </c>
      <c r="F1049" s="3">
        <f t="shared" si="112"/>
        <v>0.52702558116814557</v>
      </c>
      <c r="G1049" s="3">
        <f t="shared" si="112"/>
        <v>0.67921135140455757</v>
      </c>
      <c r="H1049" s="3">
        <f t="shared" si="109"/>
        <v>0.77593753413911093</v>
      </c>
      <c r="I1049" s="3">
        <f t="shared" si="110"/>
        <v>43.691713206300818</v>
      </c>
    </row>
    <row r="1050" spans="1:9" ht="15.75" customHeight="1">
      <c r="A1050" s="14">
        <v>21217</v>
      </c>
      <c r="B1050">
        <v>41.26</v>
      </c>
      <c r="C1050" s="3">
        <f t="shared" si="111"/>
        <v>0.14000000000000057</v>
      </c>
      <c r="D1050" s="3">
        <f t="shared" si="107"/>
        <v>0.14000000000000057</v>
      </c>
      <c r="E1050" s="3">
        <f t="shared" si="108"/>
        <v>0</v>
      </c>
      <c r="F1050" s="3">
        <f t="shared" si="112"/>
        <v>0.49938089679899234</v>
      </c>
      <c r="G1050" s="3">
        <f t="shared" si="112"/>
        <v>0.63069625487566061</v>
      </c>
      <c r="H1050" s="3">
        <f t="shared" si="109"/>
        <v>0.79179302705300414</v>
      </c>
      <c r="I1050" s="3">
        <f t="shared" si="110"/>
        <v>44.189982609502671</v>
      </c>
    </row>
    <row r="1051" spans="1:9" ht="15.75" customHeight="1">
      <c r="A1051" s="14">
        <v>21245</v>
      </c>
      <c r="B1051">
        <v>42.11</v>
      </c>
      <c r="C1051" s="3">
        <f t="shared" si="111"/>
        <v>0.85000000000000142</v>
      </c>
      <c r="D1051" s="3">
        <f t="shared" si="107"/>
        <v>0.85000000000000142</v>
      </c>
      <c r="E1051" s="3">
        <f t="shared" si="108"/>
        <v>0</v>
      </c>
      <c r="F1051" s="3">
        <f t="shared" si="112"/>
        <v>0.52442511845620732</v>
      </c>
      <c r="G1051" s="3">
        <f t="shared" si="112"/>
        <v>0.58564652238454207</v>
      </c>
      <c r="H1051" s="3">
        <f t="shared" si="109"/>
        <v>0.89546355764384422</v>
      </c>
      <c r="I1051" s="3">
        <f t="shared" si="110"/>
        <v>47.242457077726684</v>
      </c>
    </row>
    <row r="1052" spans="1:9" ht="15.75" customHeight="1">
      <c r="A1052" s="14">
        <v>21276</v>
      </c>
      <c r="B1052">
        <v>42.34</v>
      </c>
      <c r="C1052" s="3">
        <f t="shared" si="111"/>
        <v>0.23000000000000398</v>
      </c>
      <c r="D1052" s="3">
        <f t="shared" si="107"/>
        <v>0.23000000000000398</v>
      </c>
      <c r="E1052" s="3">
        <f t="shared" si="108"/>
        <v>0</v>
      </c>
      <c r="F1052" s="3">
        <f t="shared" si="112"/>
        <v>0.50339475285219282</v>
      </c>
      <c r="G1052" s="3">
        <f t="shared" si="112"/>
        <v>0.54381462792850332</v>
      </c>
      <c r="H1052" s="3">
        <f t="shared" si="109"/>
        <v>0.92567343171646976</v>
      </c>
      <c r="I1052" s="3">
        <f t="shared" si="110"/>
        <v>48.070114925528202</v>
      </c>
    </row>
    <row r="1053" spans="1:9" ht="15.75" customHeight="1">
      <c r="A1053" s="14">
        <v>21306</v>
      </c>
      <c r="B1053">
        <v>43.7</v>
      </c>
      <c r="C1053" s="3">
        <f t="shared" si="111"/>
        <v>1.3599999999999994</v>
      </c>
      <c r="D1053" s="3">
        <f t="shared" si="107"/>
        <v>1.3599999999999994</v>
      </c>
      <c r="E1053" s="3">
        <f t="shared" si="108"/>
        <v>0</v>
      </c>
      <c r="F1053" s="3">
        <f t="shared" si="112"/>
        <v>0.56458084193417901</v>
      </c>
      <c r="G1053" s="3">
        <f t="shared" si="112"/>
        <v>0.50497072593361025</v>
      </c>
      <c r="H1053" s="3">
        <f t="shared" si="109"/>
        <v>1.1180466766471644</v>
      </c>
      <c r="I1053" s="3">
        <f t="shared" si="110"/>
        <v>52.786687327260196</v>
      </c>
    </row>
    <row r="1054" spans="1:9" ht="15.75" customHeight="1">
      <c r="A1054" s="14">
        <v>21337</v>
      </c>
      <c r="B1054">
        <v>44.75</v>
      </c>
      <c r="C1054" s="3">
        <f t="shared" si="111"/>
        <v>1.0499999999999972</v>
      </c>
      <c r="D1054" s="3">
        <f t="shared" si="107"/>
        <v>1.0499999999999972</v>
      </c>
      <c r="E1054" s="3">
        <f t="shared" si="108"/>
        <v>0</v>
      </c>
      <c r="F1054" s="3">
        <f t="shared" si="112"/>
        <v>0.5992536389388804</v>
      </c>
      <c r="G1054" s="3">
        <f t="shared" si="112"/>
        <v>0.4689013883669238</v>
      </c>
      <c r="H1054" s="3">
        <f t="shared" si="109"/>
        <v>1.2779950194345631</v>
      </c>
      <c r="I1054" s="3">
        <f t="shared" si="110"/>
        <v>56.101747744460965</v>
      </c>
    </row>
    <row r="1055" spans="1:9" ht="15.75" customHeight="1">
      <c r="A1055" s="14">
        <v>21367</v>
      </c>
      <c r="B1055">
        <v>45.98</v>
      </c>
      <c r="C1055" s="3">
        <f t="shared" si="111"/>
        <v>1.2299999999999969</v>
      </c>
      <c r="D1055" s="3">
        <f t="shared" si="107"/>
        <v>1.2299999999999969</v>
      </c>
      <c r="E1055" s="3">
        <f t="shared" si="108"/>
        <v>0</v>
      </c>
      <c r="F1055" s="3">
        <f t="shared" si="112"/>
        <v>0.64430695044324593</v>
      </c>
      <c r="G1055" s="3">
        <f t="shared" si="112"/>
        <v>0.43540843205500063</v>
      </c>
      <c r="H1055" s="3">
        <f t="shared" si="109"/>
        <v>1.4797760057202045</v>
      </c>
      <c r="I1055" s="3">
        <f t="shared" si="110"/>
        <v>59.673777079330648</v>
      </c>
    </row>
    <row r="1056" spans="1:9" ht="15.75" customHeight="1">
      <c r="A1056" s="14">
        <v>21398</v>
      </c>
      <c r="B1056">
        <v>47.7</v>
      </c>
      <c r="C1056" s="3">
        <f t="shared" si="111"/>
        <v>1.720000000000006</v>
      </c>
      <c r="D1056" s="3">
        <f t="shared" si="107"/>
        <v>1.720000000000006</v>
      </c>
      <c r="E1056" s="3">
        <f t="shared" si="108"/>
        <v>0</v>
      </c>
      <c r="F1056" s="3">
        <f t="shared" si="112"/>
        <v>0.72114216826872879</v>
      </c>
      <c r="G1056" s="3">
        <f t="shared" si="112"/>
        <v>0.40430782976535767</v>
      </c>
      <c r="H1056" s="3">
        <f t="shared" si="109"/>
        <v>1.7836463090196588</v>
      </c>
      <c r="I1056" s="3">
        <f t="shared" si="110"/>
        <v>64.075895821973916</v>
      </c>
    </row>
    <row r="1057" spans="1:9" ht="15.75" customHeight="1">
      <c r="A1057" s="14">
        <v>21429</v>
      </c>
      <c r="B1057">
        <v>48.96</v>
      </c>
      <c r="C1057" s="3">
        <f t="shared" si="111"/>
        <v>1.259999999999998</v>
      </c>
      <c r="D1057" s="3">
        <f t="shared" si="107"/>
        <v>1.259999999999998</v>
      </c>
      <c r="E1057" s="3">
        <f t="shared" si="108"/>
        <v>0</v>
      </c>
      <c r="F1057" s="3">
        <f t="shared" si="112"/>
        <v>0.75963201339239095</v>
      </c>
      <c r="G1057" s="3">
        <f t="shared" si="112"/>
        <v>0.37542869906783211</v>
      </c>
      <c r="H1057" s="3">
        <f t="shared" si="109"/>
        <v>2.0233722549142183</v>
      </c>
      <c r="I1057" s="3">
        <f t="shared" si="110"/>
        <v>66.924350834582469</v>
      </c>
    </row>
    <row r="1058" spans="1:9" ht="15.75" customHeight="1">
      <c r="A1058" s="14">
        <v>21459</v>
      </c>
      <c r="B1058">
        <v>50.95</v>
      </c>
      <c r="C1058" s="3">
        <f t="shared" si="111"/>
        <v>1.990000000000002</v>
      </c>
      <c r="D1058" s="3">
        <f t="shared" si="107"/>
        <v>1.990000000000002</v>
      </c>
      <c r="E1058" s="3">
        <f t="shared" si="108"/>
        <v>0</v>
      </c>
      <c r="F1058" s="3">
        <f t="shared" si="112"/>
        <v>0.84751544100722032</v>
      </c>
      <c r="G1058" s="3">
        <f t="shared" si="112"/>
        <v>0.3486123634201298</v>
      </c>
      <c r="H1058" s="3">
        <f t="shared" si="109"/>
        <v>2.4311112569058202</v>
      </c>
      <c r="I1058" s="3">
        <f t="shared" si="110"/>
        <v>70.854923518224794</v>
      </c>
    </row>
    <row r="1059" spans="1:9" ht="15.75" customHeight="1">
      <c r="A1059" s="14">
        <v>21490</v>
      </c>
      <c r="B1059">
        <v>52.5</v>
      </c>
      <c r="C1059" s="3">
        <f t="shared" si="111"/>
        <v>1.5499999999999972</v>
      </c>
      <c r="D1059" s="3">
        <f t="shared" si="107"/>
        <v>1.5499999999999972</v>
      </c>
      <c r="E1059" s="3">
        <f t="shared" si="108"/>
        <v>0</v>
      </c>
      <c r="F1059" s="3">
        <f t="shared" si="112"/>
        <v>0.89769290950670444</v>
      </c>
      <c r="G1059" s="3">
        <f t="shared" si="112"/>
        <v>0.32371148031869196</v>
      </c>
      <c r="H1059" s="3">
        <f t="shared" si="109"/>
        <v>2.7731265774785969</v>
      </c>
      <c r="I1059" s="3">
        <f t="shared" si="110"/>
        <v>73.496780999373385</v>
      </c>
    </row>
    <row r="1060" spans="1:9" ht="15.75" customHeight="1">
      <c r="A1060" s="14">
        <v>21520</v>
      </c>
      <c r="B1060">
        <v>53.49</v>
      </c>
      <c r="C1060" s="3">
        <f t="shared" si="111"/>
        <v>0.99000000000000199</v>
      </c>
      <c r="D1060" s="3">
        <f t="shared" si="107"/>
        <v>0.99000000000000199</v>
      </c>
      <c r="E1060" s="3">
        <f t="shared" si="108"/>
        <v>0</v>
      </c>
      <c r="F1060" s="3">
        <f t="shared" si="112"/>
        <v>0.90428627311336851</v>
      </c>
      <c r="G1060" s="3">
        <f t="shared" si="112"/>
        <v>0.30058923172449964</v>
      </c>
      <c r="H1060" s="3">
        <f t="shared" si="109"/>
        <v>3.008378802944538</v>
      </c>
      <c r="I1060" s="3">
        <f t="shared" si="110"/>
        <v>75.052258053420388</v>
      </c>
    </row>
    <row r="1061" spans="1:9" ht="15.75" customHeight="1">
      <c r="A1061" s="14">
        <v>21551</v>
      </c>
      <c r="B1061">
        <v>55.62</v>
      </c>
      <c r="C1061" s="3">
        <f t="shared" si="111"/>
        <v>2.1299999999999955</v>
      </c>
      <c r="D1061" s="3">
        <f t="shared" si="107"/>
        <v>2.1299999999999955</v>
      </c>
      <c r="E1061" s="3">
        <f t="shared" si="108"/>
        <v>0</v>
      </c>
      <c r="F1061" s="3">
        <f t="shared" si="112"/>
        <v>0.99183725360527042</v>
      </c>
      <c r="G1061" s="3">
        <f t="shared" si="112"/>
        <v>0.27911857231560683</v>
      </c>
      <c r="H1061" s="3">
        <f t="shared" si="109"/>
        <v>3.5534620479635213</v>
      </c>
      <c r="I1061" s="3">
        <f t="shared" si="110"/>
        <v>78.038688157130082</v>
      </c>
    </row>
    <row r="1062" spans="1:9" ht="15.75" customHeight="1">
      <c r="A1062" s="14">
        <v>21582</v>
      </c>
      <c r="B1062">
        <v>54.77</v>
      </c>
      <c r="C1062" s="3">
        <f t="shared" si="111"/>
        <v>-0.84999999999999432</v>
      </c>
      <c r="D1062" s="3">
        <f t="shared" ref="D1062:D1125" si="113">IF(C1062&gt;0,C1062,0)</f>
        <v>0</v>
      </c>
      <c r="E1062" s="3">
        <f t="shared" ref="E1062:E1125" si="114">IF(C1062&lt;0,-C1062,0)</f>
        <v>0.84999999999999432</v>
      </c>
      <c r="F1062" s="3">
        <f t="shared" si="112"/>
        <v>0.9209917354906082</v>
      </c>
      <c r="G1062" s="3">
        <f t="shared" si="112"/>
        <v>0.31989581715020593</v>
      </c>
      <c r="H1062" s="3">
        <f t="shared" ref="H1062:H1125" si="115">F1062/G1062</f>
        <v>2.8790365053699962</v>
      </c>
      <c r="I1062" s="3">
        <f t="shared" ref="I1062:I1125" si="116">IF(G1062=0,100,100-(100/(1+H1062)))</f>
        <v>74.220402447472807</v>
      </c>
    </row>
    <row r="1063" spans="1:9" ht="15.75" customHeight="1">
      <c r="A1063" s="14">
        <v>21610</v>
      </c>
      <c r="B1063">
        <v>56.16</v>
      </c>
      <c r="C1063" s="3">
        <f t="shared" si="111"/>
        <v>1.3899999999999935</v>
      </c>
      <c r="D1063" s="3">
        <f t="shared" si="113"/>
        <v>1.3899999999999935</v>
      </c>
      <c r="E1063" s="3">
        <f t="shared" si="114"/>
        <v>0</v>
      </c>
      <c r="F1063" s="3">
        <f t="shared" si="112"/>
        <v>0.95449232581270704</v>
      </c>
      <c r="G1063" s="3">
        <f t="shared" si="112"/>
        <v>0.2970461159251912</v>
      </c>
      <c r="H1063" s="3">
        <f t="shared" si="115"/>
        <v>3.2132799408597172</v>
      </c>
      <c r="I1063" s="3">
        <f t="shared" si="116"/>
        <v>76.265522015231909</v>
      </c>
    </row>
    <row r="1064" spans="1:9" ht="15.75" customHeight="1">
      <c r="A1064" s="14">
        <v>21641</v>
      </c>
      <c r="B1064">
        <v>57.1</v>
      </c>
      <c r="C1064" s="3">
        <f t="shared" si="111"/>
        <v>0.94000000000000483</v>
      </c>
      <c r="D1064" s="3">
        <f t="shared" si="113"/>
        <v>0.94000000000000483</v>
      </c>
      <c r="E1064" s="3">
        <f t="shared" si="114"/>
        <v>0</v>
      </c>
      <c r="F1064" s="3">
        <f t="shared" si="112"/>
        <v>0.95345715968322831</v>
      </c>
      <c r="G1064" s="3">
        <f t="shared" si="112"/>
        <v>0.27582853621624898</v>
      </c>
      <c r="H1064" s="3">
        <f t="shared" si="115"/>
        <v>3.4567023875141039</v>
      </c>
      <c r="I1064" s="3">
        <f t="shared" si="116"/>
        <v>77.56188515523047</v>
      </c>
    </row>
    <row r="1065" spans="1:9" ht="15.75" customHeight="1">
      <c r="A1065" s="14">
        <v>21671</v>
      </c>
      <c r="B1065">
        <v>57.96</v>
      </c>
      <c r="C1065" s="3">
        <f t="shared" si="111"/>
        <v>0.85999999999999943</v>
      </c>
      <c r="D1065" s="3">
        <f t="shared" si="113"/>
        <v>0.85999999999999943</v>
      </c>
      <c r="E1065" s="3">
        <f t="shared" si="114"/>
        <v>0</v>
      </c>
      <c r="F1065" s="3">
        <f t="shared" si="112"/>
        <v>0.94678164827728339</v>
      </c>
      <c r="G1065" s="3">
        <f t="shared" si="112"/>
        <v>0.25612649791508835</v>
      </c>
      <c r="H1065" s="3">
        <f t="shared" si="115"/>
        <v>3.6965392334812726</v>
      </c>
      <c r="I1065" s="3">
        <f t="shared" si="116"/>
        <v>78.707726044933779</v>
      </c>
    </row>
    <row r="1066" spans="1:9" ht="15.75" customHeight="1">
      <c r="A1066" s="14">
        <v>21702</v>
      </c>
      <c r="B1066">
        <v>57.46</v>
      </c>
      <c r="C1066" s="3">
        <f t="shared" si="111"/>
        <v>-0.5</v>
      </c>
      <c r="D1066" s="3">
        <f t="shared" si="113"/>
        <v>0</v>
      </c>
      <c r="E1066" s="3">
        <f t="shared" si="114"/>
        <v>0.5</v>
      </c>
      <c r="F1066" s="3">
        <f t="shared" si="112"/>
        <v>0.87915438768604892</v>
      </c>
      <c r="G1066" s="3">
        <f t="shared" si="112"/>
        <v>0.27354603377829634</v>
      </c>
      <c r="H1066" s="3">
        <f t="shared" si="115"/>
        <v>3.2139175097621271</v>
      </c>
      <c r="I1066" s="3">
        <f t="shared" si="116"/>
        <v>76.269113059679967</v>
      </c>
    </row>
    <row r="1067" spans="1:9" ht="15.75" customHeight="1">
      <c r="A1067" s="14">
        <v>21732</v>
      </c>
      <c r="B1067">
        <v>59.74</v>
      </c>
      <c r="C1067" s="3">
        <f t="shared" ref="C1067:C1130" si="117">B1067-B1066</f>
        <v>2.2800000000000011</v>
      </c>
      <c r="D1067" s="3">
        <f t="shared" si="113"/>
        <v>2.2800000000000011</v>
      </c>
      <c r="E1067" s="3">
        <f t="shared" si="114"/>
        <v>0</v>
      </c>
      <c r="F1067" s="3">
        <f t="shared" si="112"/>
        <v>0.97921478856561694</v>
      </c>
      <c r="G1067" s="3">
        <f t="shared" si="112"/>
        <v>0.25400703136556085</v>
      </c>
      <c r="H1067" s="3">
        <f t="shared" si="115"/>
        <v>3.855069614810601</v>
      </c>
      <c r="I1067" s="3">
        <f t="shared" si="116"/>
        <v>79.402972988287203</v>
      </c>
    </row>
    <row r="1068" spans="1:9" ht="15.75" customHeight="1">
      <c r="A1068" s="14">
        <v>21763</v>
      </c>
      <c r="B1068">
        <v>59.4</v>
      </c>
      <c r="C1068" s="3">
        <f t="shared" si="117"/>
        <v>-0.34000000000000341</v>
      </c>
      <c r="D1068" s="3">
        <f t="shared" si="113"/>
        <v>0</v>
      </c>
      <c r="E1068" s="3">
        <f t="shared" si="114"/>
        <v>0.34000000000000341</v>
      </c>
      <c r="F1068" s="3">
        <f t="shared" si="112"/>
        <v>0.90927087509664428</v>
      </c>
      <c r="G1068" s="3">
        <f t="shared" si="112"/>
        <v>0.26014938626802103</v>
      </c>
      <c r="H1068" s="3">
        <f t="shared" si="115"/>
        <v>3.4951874695558978</v>
      </c>
      <c r="I1068" s="3">
        <f t="shared" si="116"/>
        <v>77.753986751996464</v>
      </c>
    </row>
    <row r="1069" spans="1:9" ht="15.75" customHeight="1">
      <c r="A1069" s="14">
        <v>21794</v>
      </c>
      <c r="B1069">
        <v>57.05</v>
      </c>
      <c r="C1069" s="3">
        <f t="shared" si="117"/>
        <v>-2.3500000000000014</v>
      </c>
      <c r="D1069" s="3">
        <f t="shared" si="113"/>
        <v>0</v>
      </c>
      <c r="E1069" s="3">
        <f t="shared" si="114"/>
        <v>2.3500000000000014</v>
      </c>
      <c r="F1069" s="3">
        <f t="shared" si="112"/>
        <v>0.84432295544688407</v>
      </c>
      <c r="G1069" s="3">
        <f t="shared" si="112"/>
        <v>0.40942443010601964</v>
      </c>
      <c r="H1069" s="3">
        <f t="shared" si="115"/>
        <v>2.062219284834196</v>
      </c>
      <c r="I1069" s="3">
        <f t="shared" si="116"/>
        <v>67.343945453137422</v>
      </c>
    </row>
    <row r="1070" spans="1:9" ht="15.75" customHeight="1">
      <c r="A1070" s="14">
        <v>21824</v>
      </c>
      <c r="B1070">
        <v>57</v>
      </c>
      <c r="C1070" s="3">
        <f t="shared" si="117"/>
        <v>-4.9999999999997158E-2</v>
      </c>
      <c r="D1070" s="3">
        <f t="shared" si="113"/>
        <v>0</v>
      </c>
      <c r="E1070" s="3">
        <f t="shared" si="114"/>
        <v>4.9999999999997158E-2</v>
      </c>
      <c r="F1070" s="3">
        <f t="shared" si="112"/>
        <v>0.78401417291496378</v>
      </c>
      <c r="G1070" s="3">
        <f t="shared" si="112"/>
        <v>0.38375125652701803</v>
      </c>
      <c r="H1070" s="3">
        <f t="shared" si="115"/>
        <v>2.0430269857885541</v>
      </c>
      <c r="I1070" s="3">
        <f t="shared" si="116"/>
        <v>67.137984491423595</v>
      </c>
    </row>
    <row r="1071" spans="1:9" ht="15.75" customHeight="1">
      <c r="A1071" s="14">
        <v>21855</v>
      </c>
      <c r="B1071">
        <v>57.23</v>
      </c>
      <c r="C1071" s="3">
        <f t="shared" si="117"/>
        <v>0.22999999999999687</v>
      </c>
      <c r="D1071" s="3">
        <f t="shared" si="113"/>
        <v>0.22999999999999687</v>
      </c>
      <c r="E1071" s="3">
        <f t="shared" si="114"/>
        <v>0</v>
      </c>
      <c r="F1071" s="3">
        <f t="shared" si="112"/>
        <v>0.7444417319924661</v>
      </c>
      <c r="G1071" s="3">
        <f t="shared" si="112"/>
        <v>0.3563404524893739</v>
      </c>
      <c r="H1071" s="3">
        <f t="shared" si="115"/>
        <v>2.0891305682300141</v>
      </c>
      <c r="I1071" s="3">
        <f t="shared" si="116"/>
        <v>67.628432081037857</v>
      </c>
    </row>
    <row r="1072" spans="1:9" ht="15.75" customHeight="1">
      <c r="A1072" s="14">
        <v>21885</v>
      </c>
      <c r="B1072">
        <v>59.06</v>
      </c>
      <c r="C1072" s="3">
        <f t="shared" si="117"/>
        <v>1.8300000000000054</v>
      </c>
      <c r="D1072" s="3">
        <f t="shared" si="113"/>
        <v>1.8300000000000054</v>
      </c>
      <c r="E1072" s="3">
        <f t="shared" si="114"/>
        <v>0</v>
      </c>
      <c r="F1072" s="3">
        <f t="shared" si="112"/>
        <v>0.82198160827871891</v>
      </c>
      <c r="G1072" s="3">
        <f t="shared" si="112"/>
        <v>0.33088756302584715</v>
      </c>
      <c r="H1072" s="3">
        <f t="shared" si="115"/>
        <v>2.4841719669424691</v>
      </c>
      <c r="I1072" s="3">
        <f t="shared" si="116"/>
        <v>71.298776022311301</v>
      </c>
    </row>
    <row r="1073" spans="1:9" ht="15.75" customHeight="1">
      <c r="A1073" s="14">
        <v>21916</v>
      </c>
      <c r="B1073">
        <v>58.03</v>
      </c>
      <c r="C1073" s="3">
        <f t="shared" si="117"/>
        <v>-1.0300000000000011</v>
      </c>
      <c r="D1073" s="3">
        <f t="shared" si="113"/>
        <v>0</v>
      </c>
      <c r="E1073" s="3">
        <f t="shared" si="114"/>
        <v>1.0300000000000011</v>
      </c>
      <c r="F1073" s="3">
        <f t="shared" si="112"/>
        <v>0.76326863625881036</v>
      </c>
      <c r="G1073" s="3">
        <f t="shared" si="112"/>
        <v>0.38082416566685812</v>
      </c>
      <c r="H1073" s="3">
        <f t="shared" si="115"/>
        <v>2.0042547324229196</v>
      </c>
      <c r="I1073" s="3">
        <f t="shared" si="116"/>
        <v>66.713874519105644</v>
      </c>
    </row>
    <row r="1074" spans="1:9" ht="15.75" customHeight="1">
      <c r="A1074" s="14">
        <v>21947</v>
      </c>
      <c r="B1074">
        <v>55.78</v>
      </c>
      <c r="C1074" s="3">
        <f t="shared" si="117"/>
        <v>-2.25</v>
      </c>
      <c r="D1074" s="3">
        <f t="shared" si="113"/>
        <v>0</v>
      </c>
      <c r="E1074" s="3">
        <f t="shared" si="114"/>
        <v>2.25</v>
      </c>
      <c r="F1074" s="3">
        <f t="shared" si="112"/>
        <v>0.70874944795460959</v>
      </c>
      <c r="G1074" s="3">
        <f t="shared" si="112"/>
        <v>0.51433672526208252</v>
      </c>
      <c r="H1074" s="3">
        <f t="shared" si="115"/>
        <v>1.3779872467661398</v>
      </c>
      <c r="I1074" s="3">
        <f t="shared" si="116"/>
        <v>57.947629813409861</v>
      </c>
    </row>
    <row r="1075" spans="1:9" ht="15.75" customHeight="1">
      <c r="A1075" s="14">
        <v>21976</v>
      </c>
      <c r="B1075">
        <v>55.02</v>
      </c>
      <c r="C1075" s="3">
        <f t="shared" si="117"/>
        <v>-0.75999999999999801</v>
      </c>
      <c r="D1075" s="3">
        <f t="shared" si="113"/>
        <v>0</v>
      </c>
      <c r="E1075" s="3">
        <f t="shared" si="114"/>
        <v>0.75999999999999801</v>
      </c>
      <c r="F1075" s="3">
        <f t="shared" si="112"/>
        <v>0.65812448738642326</v>
      </c>
      <c r="G1075" s="3">
        <f t="shared" si="112"/>
        <v>0.53188410202907643</v>
      </c>
      <c r="H1075" s="3">
        <f t="shared" si="115"/>
        <v>1.2373456639815974</v>
      </c>
      <c r="I1075" s="3">
        <f t="shared" si="116"/>
        <v>55.30417958660923</v>
      </c>
    </row>
    <row r="1076" spans="1:9" ht="15.75" customHeight="1">
      <c r="A1076" s="14">
        <v>22007</v>
      </c>
      <c r="B1076">
        <v>55.73</v>
      </c>
      <c r="C1076" s="3">
        <f t="shared" si="117"/>
        <v>0.70999999999999375</v>
      </c>
      <c r="D1076" s="3">
        <f t="shared" si="113"/>
        <v>0.70999999999999375</v>
      </c>
      <c r="E1076" s="3">
        <f t="shared" si="114"/>
        <v>0</v>
      </c>
      <c r="F1076" s="3">
        <f t="shared" si="112"/>
        <v>0.66182988114453545</v>
      </c>
      <c r="G1076" s="3">
        <f t="shared" si="112"/>
        <v>0.49389238045557093</v>
      </c>
      <c r="H1076" s="3">
        <f t="shared" si="115"/>
        <v>1.3400285311833671</v>
      </c>
      <c r="I1076" s="3">
        <f t="shared" si="116"/>
        <v>57.265478319006057</v>
      </c>
    </row>
    <row r="1077" spans="1:9" ht="15.75" customHeight="1">
      <c r="A1077" s="14">
        <v>22037</v>
      </c>
      <c r="B1077">
        <v>55.22</v>
      </c>
      <c r="C1077" s="3">
        <f t="shared" si="117"/>
        <v>-0.50999999999999801</v>
      </c>
      <c r="D1077" s="3">
        <f t="shared" si="113"/>
        <v>0</v>
      </c>
      <c r="E1077" s="3">
        <f t="shared" si="114"/>
        <v>0.50999999999999801</v>
      </c>
      <c r="F1077" s="3">
        <f t="shared" si="112"/>
        <v>0.61455631820564005</v>
      </c>
      <c r="G1077" s="3">
        <f t="shared" si="112"/>
        <v>0.49504292470874434</v>
      </c>
      <c r="H1077" s="3">
        <f t="shared" si="115"/>
        <v>1.2414202638432026</v>
      </c>
      <c r="I1077" s="3">
        <f t="shared" si="116"/>
        <v>55.385430562434031</v>
      </c>
    </row>
    <row r="1078" spans="1:9" ht="15.75" customHeight="1">
      <c r="A1078" s="14">
        <v>22068</v>
      </c>
      <c r="B1078">
        <v>57.26</v>
      </c>
      <c r="C1078" s="3">
        <f t="shared" si="117"/>
        <v>2.0399999999999991</v>
      </c>
      <c r="D1078" s="3">
        <f t="shared" si="113"/>
        <v>2.0399999999999991</v>
      </c>
      <c r="E1078" s="3">
        <f t="shared" si="114"/>
        <v>0</v>
      </c>
      <c r="F1078" s="3">
        <f t="shared" si="112"/>
        <v>0.7163737240480943</v>
      </c>
      <c r="G1078" s="3">
        <f t="shared" si="112"/>
        <v>0.45968271580097692</v>
      </c>
      <c r="H1078" s="3">
        <f t="shared" si="115"/>
        <v>1.5584090926713321</v>
      </c>
      <c r="I1078" s="3">
        <f t="shared" si="116"/>
        <v>60.913209585420056</v>
      </c>
    </row>
    <row r="1079" spans="1:9" ht="15.75" customHeight="1">
      <c r="A1079" s="14">
        <v>22098</v>
      </c>
      <c r="B1079">
        <v>55.84</v>
      </c>
      <c r="C1079" s="3">
        <f t="shared" si="117"/>
        <v>-1.4199999999999946</v>
      </c>
      <c r="D1079" s="3">
        <f t="shared" si="113"/>
        <v>0</v>
      </c>
      <c r="E1079" s="3">
        <f t="shared" si="114"/>
        <v>1.4199999999999946</v>
      </c>
      <c r="F1079" s="3">
        <f t="shared" si="112"/>
        <v>0.66520417233037321</v>
      </c>
      <c r="G1079" s="3">
        <f t="shared" si="112"/>
        <v>0.52827680752947814</v>
      </c>
      <c r="H1079" s="3">
        <f t="shared" si="115"/>
        <v>1.2591962449406875</v>
      </c>
      <c r="I1079" s="3">
        <f t="shared" si="116"/>
        <v>55.736470338093454</v>
      </c>
    </row>
    <row r="1080" spans="1:9" ht="15.75" customHeight="1">
      <c r="A1080" s="14">
        <v>22129</v>
      </c>
      <c r="B1080">
        <v>56.51</v>
      </c>
      <c r="C1080" s="3">
        <f t="shared" si="117"/>
        <v>0.6699999999999946</v>
      </c>
      <c r="D1080" s="3">
        <f t="shared" si="113"/>
        <v>0.6699999999999946</v>
      </c>
      <c r="E1080" s="3">
        <f t="shared" si="114"/>
        <v>0</v>
      </c>
      <c r="F1080" s="3">
        <f t="shared" si="112"/>
        <v>0.66554673144963183</v>
      </c>
      <c r="G1080" s="3">
        <f t="shared" si="112"/>
        <v>0.49054274984880114</v>
      </c>
      <c r="H1080" s="3">
        <f t="shared" si="115"/>
        <v>1.3567558212913589</v>
      </c>
      <c r="I1080" s="3">
        <f t="shared" si="116"/>
        <v>57.568790497266676</v>
      </c>
    </row>
    <row r="1081" spans="1:9" ht="15.75" customHeight="1">
      <c r="A1081" s="14">
        <v>22160</v>
      </c>
      <c r="B1081">
        <v>54.81</v>
      </c>
      <c r="C1081" s="3">
        <f t="shared" si="117"/>
        <v>-1.6999999999999957</v>
      </c>
      <c r="D1081" s="3">
        <f t="shared" si="113"/>
        <v>0</v>
      </c>
      <c r="E1081" s="3">
        <f t="shared" si="114"/>
        <v>1.6999999999999957</v>
      </c>
      <c r="F1081" s="3">
        <f t="shared" si="112"/>
        <v>0.61800767920322952</v>
      </c>
      <c r="G1081" s="3">
        <f t="shared" si="112"/>
        <v>0.57693255343102934</v>
      </c>
      <c r="H1081" s="3">
        <f t="shared" si="115"/>
        <v>1.0711957152147606</v>
      </c>
      <c r="I1081" s="3">
        <f t="shared" si="116"/>
        <v>51.718710469796875</v>
      </c>
    </row>
    <row r="1082" spans="1:9" ht="15.75" customHeight="1">
      <c r="A1082" s="14">
        <v>22190</v>
      </c>
      <c r="B1082">
        <v>53.73</v>
      </c>
      <c r="C1082" s="3">
        <f t="shared" si="117"/>
        <v>-1.0800000000000054</v>
      </c>
      <c r="D1082" s="3">
        <f t="shared" si="113"/>
        <v>0</v>
      </c>
      <c r="E1082" s="3">
        <f t="shared" si="114"/>
        <v>1.0800000000000054</v>
      </c>
      <c r="F1082" s="3">
        <f t="shared" si="112"/>
        <v>0.5738642735458559</v>
      </c>
      <c r="G1082" s="3">
        <f t="shared" si="112"/>
        <v>0.61286594247167059</v>
      </c>
      <c r="H1082" s="3">
        <f t="shared" si="115"/>
        <v>0.93636182691353009</v>
      </c>
      <c r="I1082" s="3">
        <f t="shared" si="116"/>
        <v>48.356759253307885</v>
      </c>
    </row>
    <row r="1083" spans="1:9" ht="15.75" customHeight="1">
      <c r="A1083" s="14">
        <v>22221</v>
      </c>
      <c r="B1083">
        <v>55.47</v>
      </c>
      <c r="C1083" s="3">
        <f t="shared" si="117"/>
        <v>1.740000000000002</v>
      </c>
      <c r="D1083" s="3">
        <f t="shared" si="113"/>
        <v>1.740000000000002</v>
      </c>
      <c r="E1083" s="3">
        <f t="shared" si="114"/>
        <v>0</v>
      </c>
      <c r="F1083" s="3">
        <f t="shared" si="112"/>
        <v>0.65715968257829493</v>
      </c>
      <c r="G1083" s="3">
        <f t="shared" si="112"/>
        <v>0.56908980372369411</v>
      </c>
      <c r="H1083" s="3">
        <f t="shared" si="115"/>
        <v>1.1547556787669329</v>
      </c>
      <c r="I1083" s="3">
        <f t="shared" si="116"/>
        <v>53.591026126347018</v>
      </c>
    </row>
    <row r="1084" spans="1:9" ht="15.75" customHeight="1">
      <c r="A1084" s="14">
        <v>22251</v>
      </c>
      <c r="B1084">
        <v>56.8</v>
      </c>
      <c r="C1084" s="3">
        <f t="shared" si="117"/>
        <v>1.3299999999999983</v>
      </c>
      <c r="D1084" s="3">
        <f t="shared" si="113"/>
        <v>1.3299999999999983</v>
      </c>
      <c r="E1084" s="3">
        <f t="shared" si="114"/>
        <v>0</v>
      </c>
      <c r="F1084" s="3">
        <f t="shared" si="112"/>
        <v>0.70521970525127375</v>
      </c>
      <c r="G1084" s="3">
        <f t="shared" si="112"/>
        <v>0.52844053202914454</v>
      </c>
      <c r="H1084" s="3">
        <f t="shared" si="115"/>
        <v>1.3345299281705731</v>
      </c>
      <c r="I1084" s="3">
        <f t="shared" si="116"/>
        <v>57.164824150117525</v>
      </c>
    </row>
    <row r="1085" spans="1:9" ht="15.75" customHeight="1">
      <c r="A1085" s="14">
        <v>22282</v>
      </c>
      <c r="B1085">
        <v>59.72</v>
      </c>
      <c r="C1085" s="3">
        <f t="shared" si="117"/>
        <v>2.9200000000000017</v>
      </c>
      <c r="D1085" s="3">
        <f t="shared" si="113"/>
        <v>2.9200000000000017</v>
      </c>
      <c r="E1085" s="3">
        <f t="shared" si="114"/>
        <v>0</v>
      </c>
      <c r="F1085" s="3">
        <f t="shared" si="112"/>
        <v>0.86341829773332568</v>
      </c>
      <c r="G1085" s="3">
        <f t="shared" si="112"/>
        <v>0.49069477974134845</v>
      </c>
      <c r="H1085" s="3">
        <f t="shared" si="115"/>
        <v>1.7595832142099506</v>
      </c>
      <c r="I1085" s="3">
        <f t="shared" si="116"/>
        <v>63.762643762627278</v>
      </c>
    </row>
    <row r="1086" spans="1:9" ht="15.75" customHeight="1">
      <c r="A1086" s="14">
        <v>22313</v>
      </c>
      <c r="B1086">
        <v>62.17</v>
      </c>
      <c r="C1086" s="3">
        <f t="shared" si="117"/>
        <v>2.4500000000000028</v>
      </c>
      <c r="D1086" s="3">
        <f t="shared" si="113"/>
        <v>2.4500000000000028</v>
      </c>
      <c r="E1086" s="3">
        <f t="shared" si="114"/>
        <v>0</v>
      </c>
      <c r="F1086" s="3">
        <f t="shared" si="112"/>
        <v>0.97674556218094544</v>
      </c>
      <c r="G1086" s="3">
        <f t="shared" si="112"/>
        <v>0.45564515261696642</v>
      </c>
      <c r="H1086" s="3">
        <f t="shared" si="115"/>
        <v>2.1436540179810426</v>
      </c>
      <c r="I1086" s="3">
        <f t="shared" si="116"/>
        <v>68.189883674214485</v>
      </c>
    </row>
    <row r="1087" spans="1:9" ht="15.75" customHeight="1">
      <c r="A1087" s="14">
        <v>22341</v>
      </c>
      <c r="B1087">
        <v>64.12</v>
      </c>
      <c r="C1087" s="3">
        <f t="shared" si="117"/>
        <v>1.9500000000000028</v>
      </c>
      <c r="D1087" s="3">
        <f t="shared" si="113"/>
        <v>1.9500000000000028</v>
      </c>
      <c r="E1087" s="3">
        <f t="shared" si="114"/>
        <v>0</v>
      </c>
      <c r="F1087" s="3">
        <f t="shared" si="112"/>
        <v>1.0462637363108782</v>
      </c>
      <c r="G1087" s="3">
        <f t="shared" si="112"/>
        <v>0.42309907028718313</v>
      </c>
      <c r="H1087" s="3">
        <f t="shared" si="115"/>
        <v>2.4728575640705501</v>
      </c>
      <c r="I1087" s="3">
        <f t="shared" si="116"/>
        <v>71.205268815347097</v>
      </c>
    </row>
    <row r="1088" spans="1:9" ht="15.75" customHeight="1">
      <c r="A1088" s="14">
        <v>22372</v>
      </c>
      <c r="B1088">
        <v>65.83</v>
      </c>
      <c r="C1088" s="3">
        <f t="shared" si="117"/>
        <v>1.7099999999999937</v>
      </c>
      <c r="D1088" s="3">
        <f t="shared" si="113"/>
        <v>1.7099999999999937</v>
      </c>
      <c r="E1088" s="3">
        <f t="shared" si="114"/>
        <v>0</v>
      </c>
      <c r="F1088" s="3">
        <f t="shared" si="112"/>
        <v>1.0936734694315293</v>
      </c>
      <c r="G1088" s="3">
        <f t="shared" si="112"/>
        <v>0.3928777081238129</v>
      </c>
      <c r="H1088" s="3">
        <f t="shared" si="115"/>
        <v>2.7837503803775632</v>
      </c>
      <c r="I1088" s="3">
        <f t="shared" si="116"/>
        <v>73.571195256801943</v>
      </c>
    </row>
    <row r="1089" spans="1:9" ht="15.75" customHeight="1">
      <c r="A1089" s="14">
        <v>22402</v>
      </c>
      <c r="B1089">
        <v>66.5</v>
      </c>
      <c r="C1089" s="3">
        <f t="shared" si="117"/>
        <v>0.67000000000000171</v>
      </c>
      <c r="D1089" s="3">
        <f t="shared" si="113"/>
        <v>0.67000000000000171</v>
      </c>
      <c r="E1089" s="3">
        <f t="shared" si="114"/>
        <v>0</v>
      </c>
      <c r="F1089" s="3">
        <f t="shared" si="112"/>
        <v>1.0634110787578488</v>
      </c>
      <c r="G1089" s="3">
        <f t="shared" si="112"/>
        <v>0.36481501468639765</v>
      </c>
      <c r="H1089" s="3">
        <f t="shared" si="115"/>
        <v>2.9149323244603251</v>
      </c>
      <c r="I1089" s="3">
        <f t="shared" si="116"/>
        <v>74.456774290782903</v>
      </c>
    </row>
    <row r="1090" spans="1:9" ht="15.75" customHeight="1">
      <c r="A1090" s="14">
        <v>22433</v>
      </c>
      <c r="B1090">
        <v>65.62</v>
      </c>
      <c r="C1090" s="3">
        <f t="shared" si="117"/>
        <v>-0.87999999999999545</v>
      </c>
      <c r="D1090" s="3">
        <f t="shared" si="113"/>
        <v>0</v>
      </c>
      <c r="E1090" s="3">
        <f t="shared" si="114"/>
        <v>0.87999999999999545</v>
      </c>
      <c r="F1090" s="3">
        <f t="shared" si="112"/>
        <v>0.98745314456085964</v>
      </c>
      <c r="G1090" s="3">
        <f t="shared" si="112"/>
        <v>0.40161394220879748</v>
      </c>
      <c r="H1090" s="3">
        <f t="shared" si="115"/>
        <v>2.4587123124512611</v>
      </c>
      <c r="I1090" s="3">
        <f t="shared" si="116"/>
        <v>71.087505705518495</v>
      </c>
    </row>
    <row r="1091" spans="1:9" ht="15.75" customHeight="1">
      <c r="A1091" s="14">
        <v>22463</v>
      </c>
      <c r="B1091">
        <v>65.44</v>
      </c>
      <c r="C1091" s="3">
        <f t="shared" si="117"/>
        <v>-0.18000000000000682</v>
      </c>
      <c r="D1091" s="3">
        <f t="shared" si="113"/>
        <v>0</v>
      </c>
      <c r="E1091" s="3">
        <f t="shared" si="114"/>
        <v>0.18000000000000682</v>
      </c>
      <c r="F1091" s="3">
        <f t="shared" si="112"/>
        <v>0.91692077709222686</v>
      </c>
      <c r="G1091" s="3">
        <f t="shared" si="112"/>
        <v>0.38578437490816958</v>
      </c>
      <c r="H1091" s="3">
        <f t="shared" si="115"/>
        <v>2.3767701253076585</v>
      </c>
      <c r="I1091" s="3">
        <f t="shared" si="116"/>
        <v>70.385902418842036</v>
      </c>
    </row>
    <row r="1092" spans="1:9" ht="15.75" customHeight="1">
      <c r="A1092" s="14">
        <v>22494</v>
      </c>
      <c r="B1092">
        <v>67.790000000000006</v>
      </c>
      <c r="C1092" s="3">
        <f t="shared" si="117"/>
        <v>2.3500000000000085</v>
      </c>
      <c r="D1092" s="3">
        <f t="shared" si="113"/>
        <v>2.3500000000000085</v>
      </c>
      <c r="E1092" s="3">
        <f t="shared" si="114"/>
        <v>0</v>
      </c>
      <c r="F1092" s="3">
        <f t="shared" si="112"/>
        <v>1.0192835787284971</v>
      </c>
      <c r="G1092" s="3">
        <f t="shared" si="112"/>
        <v>0.35822834812901461</v>
      </c>
      <c r="H1092" s="3">
        <f t="shared" si="115"/>
        <v>2.845345947779113</v>
      </c>
      <c r="I1092" s="3">
        <f t="shared" si="116"/>
        <v>73.994537459560647</v>
      </c>
    </row>
    <row r="1093" spans="1:9" ht="15.75" customHeight="1">
      <c r="A1093" s="14">
        <v>22525</v>
      </c>
      <c r="B1093">
        <v>67.260000000000005</v>
      </c>
      <c r="C1093" s="3">
        <f t="shared" si="117"/>
        <v>-0.53000000000000114</v>
      </c>
      <c r="D1093" s="3">
        <f t="shared" si="113"/>
        <v>0</v>
      </c>
      <c r="E1093" s="3">
        <f t="shared" si="114"/>
        <v>0.53000000000000114</v>
      </c>
      <c r="F1093" s="3">
        <f t="shared" si="112"/>
        <v>0.94647760881931864</v>
      </c>
      <c r="G1093" s="3">
        <f t="shared" si="112"/>
        <v>0.37049775183408507</v>
      </c>
      <c r="H1093" s="3">
        <f t="shared" si="115"/>
        <v>2.5546109365952825</v>
      </c>
      <c r="I1093" s="3">
        <f t="shared" si="116"/>
        <v>71.867525930761047</v>
      </c>
    </row>
    <row r="1094" spans="1:9" ht="15.75" customHeight="1">
      <c r="A1094" s="14">
        <v>22555</v>
      </c>
      <c r="B1094">
        <v>68</v>
      </c>
      <c r="C1094" s="3">
        <f t="shared" si="117"/>
        <v>0.73999999999999488</v>
      </c>
      <c r="D1094" s="3">
        <f t="shared" si="113"/>
        <v>0.73999999999999488</v>
      </c>
      <c r="E1094" s="3">
        <f t="shared" si="114"/>
        <v>0</v>
      </c>
      <c r="F1094" s="3">
        <f t="shared" si="112"/>
        <v>0.93172920818936689</v>
      </c>
      <c r="G1094" s="3">
        <f t="shared" si="112"/>
        <v>0.34403362670307897</v>
      </c>
      <c r="H1094" s="3">
        <f t="shared" si="115"/>
        <v>2.7082504030732535</v>
      </c>
      <c r="I1094" s="3">
        <f t="shared" si="116"/>
        <v>73.033104798660872</v>
      </c>
    </row>
    <row r="1095" spans="1:9" ht="15.75" customHeight="1">
      <c r="A1095" s="14">
        <v>22586</v>
      </c>
      <c r="B1095">
        <v>71.08</v>
      </c>
      <c r="C1095" s="3">
        <f t="shared" si="117"/>
        <v>3.0799999999999983</v>
      </c>
      <c r="D1095" s="3">
        <f t="shared" si="113"/>
        <v>3.0799999999999983</v>
      </c>
      <c r="E1095" s="3">
        <f t="shared" si="114"/>
        <v>0</v>
      </c>
      <c r="F1095" s="3">
        <f t="shared" si="112"/>
        <v>1.0851771218901263</v>
      </c>
      <c r="G1095" s="3">
        <f t="shared" si="112"/>
        <v>0.31945979622428761</v>
      </c>
      <c r="H1095" s="3">
        <f t="shared" si="115"/>
        <v>3.3969129596772194</v>
      </c>
      <c r="I1095" s="3">
        <f t="shared" si="116"/>
        <v>77.25677062132678</v>
      </c>
    </row>
    <row r="1096" spans="1:9" ht="15.75" customHeight="1">
      <c r="A1096" s="14">
        <v>22616</v>
      </c>
      <c r="B1096">
        <v>71.739999999999995</v>
      </c>
      <c r="C1096" s="3">
        <f t="shared" si="117"/>
        <v>0.65999999999999659</v>
      </c>
      <c r="D1096" s="3">
        <f t="shared" si="113"/>
        <v>0.65999999999999659</v>
      </c>
      <c r="E1096" s="3">
        <f t="shared" si="114"/>
        <v>0</v>
      </c>
      <c r="F1096" s="3">
        <f t="shared" si="112"/>
        <v>1.0548073274694028</v>
      </c>
      <c r="G1096" s="3">
        <f t="shared" si="112"/>
        <v>0.29664123935112424</v>
      </c>
      <c r="H1096" s="3">
        <f t="shared" si="115"/>
        <v>3.5558350881242875</v>
      </c>
      <c r="I1096" s="3">
        <f t="shared" si="116"/>
        <v>78.050127349721151</v>
      </c>
    </row>
    <row r="1097" spans="1:9" ht="15.75" customHeight="1">
      <c r="A1097" s="14">
        <v>22647</v>
      </c>
      <c r="B1097">
        <v>69.069999999999993</v>
      </c>
      <c r="C1097" s="3">
        <f t="shared" si="117"/>
        <v>-2.6700000000000017</v>
      </c>
      <c r="D1097" s="3">
        <f t="shared" si="113"/>
        <v>0</v>
      </c>
      <c r="E1097" s="3">
        <f t="shared" si="114"/>
        <v>2.6700000000000017</v>
      </c>
      <c r="F1097" s="3">
        <f t="shared" si="112"/>
        <v>0.97946394693587391</v>
      </c>
      <c r="G1097" s="3">
        <f t="shared" si="112"/>
        <v>0.46616686511175837</v>
      </c>
      <c r="H1097" s="3">
        <f t="shared" si="115"/>
        <v>2.1011016016787427</v>
      </c>
      <c r="I1097" s="3">
        <f t="shared" si="116"/>
        <v>67.753394488633887</v>
      </c>
    </row>
    <row r="1098" spans="1:9" ht="15.75" customHeight="1">
      <c r="A1098" s="14">
        <v>22678</v>
      </c>
      <c r="B1098">
        <v>70.22</v>
      </c>
      <c r="C1098" s="3">
        <f t="shared" si="117"/>
        <v>1.1500000000000057</v>
      </c>
      <c r="D1098" s="3">
        <f t="shared" si="113"/>
        <v>1.1500000000000057</v>
      </c>
      <c r="E1098" s="3">
        <f t="shared" si="114"/>
        <v>0</v>
      </c>
      <c r="F1098" s="3">
        <f t="shared" si="112"/>
        <v>0.99164509358331188</v>
      </c>
      <c r="G1098" s="3">
        <f t="shared" si="112"/>
        <v>0.43286923188948995</v>
      </c>
      <c r="H1098" s="3">
        <f t="shared" si="115"/>
        <v>2.2908652787696298</v>
      </c>
      <c r="I1098" s="3">
        <f t="shared" si="116"/>
        <v>69.612855121985604</v>
      </c>
    </row>
    <row r="1099" spans="1:9" ht="15.75" customHeight="1">
      <c r="A1099" s="14">
        <v>22706</v>
      </c>
      <c r="B1099">
        <v>70.290000000000006</v>
      </c>
      <c r="C1099" s="3">
        <f t="shared" si="117"/>
        <v>7.000000000000739E-2</v>
      </c>
      <c r="D1099" s="3">
        <f t="shared" si="113"/>
        <v>7.000000000000739E-2</v>
      </c>
      <c r="E1099" s="3">
        <f t="shared" si="114"/>
        <v>0</v>
      </c>
      <c r="F1099" s="3">
        <f t="shared" si="112"/>
        <v>0.92581330118450444</v>
      </c>
      <c r="G1099" s="3">
        <f t="shared" si="112"/>
        <v>0.40195000104024065</v>
      </c>
      <c r="H1099" s="3">
        <f t="shared" si="115"/>
        <v>2.3033046368665588</v>
      </c>
      <c r="I1099" s="3">
        <f t="shared" si="116"/>
        <v>69.727284948548444</v>
      </c>
    </row>
    <row r="1100" spans="1:9" ht="15.75" customHeight="1">
      <c r="A1100" s="14">
        <v>22737</v>
      </c>
      <c r="B1100">
        <v>68.05</v>
      </c>
      <c r="C1100" s="3">
        <f t="shared" si="117"/>
        <v>-2.2400000000000091</v>
      </c>
      <c r="D1100" s="3">
        <f t="shared" si="113"/>
        <v>0</v>
      </c>
      <c r="E1100" s="3">
        <f t="shared" si="114"/>
        <v>2.2400000000000091</v>
      </c>
      <c r="F1100" s="3">
        <f t="shared" si="112"/>
        <v>0.85968377967132548</v>
      </c>
      <c r="G1100" s="3">
        <f t="shared" si="112"/>
        <v>0.53323928668022413</v>
      </c>
      <c r="H1100" s="3">
        <f t="shared" si="115"/>
        <v>1.6121913766396312</v>
      </c>
      <c r="I1100" s="3">
        <f t="shared" si="116"/>
        <v>61.717965653557222</v>
      </c>
    </row>
    <row r="1101" spans="1:9" ht="15.75" customHeight="1">
      <c r="A1101" s="14">
        <v>22767</v>
      </c>
      <c r="B1101">
        <v>62.99</v>
      </c>
      <c r="C1101" s="3">
        <f t="shared" si="117"/>
        <v>-5.0599999999999952</v>
      </c>
      <c r="D1101" s="3">
        <f t="shared" si="113"/>
        <v>0</v>
      </c>
      <c r="E1101" s="3">
        <f t="shared" si="114"/>
        <v>5.0599999999999952</v>
      </c>
      <c r="F1101" s="3">
        <f t="shared" si="112"/>
        <v>0.79827779540908794</v>
      </c>
      <c r="G1101" s="3">
        <f t="shared" si="112"/>
        <v>0.85657933763163641</v>
      </c>
      <c r="H1101" s="3">
        <f t="shared" si="115"/>
        <v>0.93193678663351032</v>
      </c>
      <c r="I1101" s="3">
        <f t="shared" si="116"/>
        <v>48.238472039111251</v>
      </c>
    </row>
    <row r="1102" spans="1:9" ht="15.75" customHeight="1">
      <c r="A1102" s="14">
        <v>22798</v>
      </c>
      <c r="B1102">
        <v>55.63</v>
      </c>
      <c r="C1102" s="3">
        <f t="shared" si="117"/>
        <v>-7.3599999999999994</v>
      </c>
      <c r="D1102" s="3">
        <f t="shared" si="113"/>
        <v>0</v>
      </c>
      <c r="E1102" s="3">
        <f t="shared" si="114"/>
        <v>7.3599999999999994</v>
      </c>
      <c r="F1102" s="3">
        <f t="shared" si="112"/>
        <v>0.7412579528798674</v>
      </c>
      <c r="G1102" s="3">
        <f t="shared" si="112"/>
        <v>1.3211093849436624</v>
      </c>
      <c r="H1102" s="3">
        <f t="shared" si="115"/>
        <v>0.56108749307800709</v>
      </c>
      <c r="I1102" s="3">
        <f t="shared" si="116"/>
        <v>35.942091366814225</v>
      </c>
    </row>
    <row r="1103" spans="1:9" ht="15.75" customHeight="1">
      <c r="A1103" s="14">
        <v>22828</v>
      </c>
      <c r="B1103">
        <v>56.97</v>
      </c>
      <c r="C1103" s="3">
        <f t="shared" si="117"/>
        <v>1.3399999999999963</v>
      </c>
      <c r="D1103" s="3">
        <f t="shared" si="113"/>
        <v>1.3399999999999963</v>
      </c>
      <c r="E1103" s="3">
        <f t="shared" si="114"/>
        <v>0</v>
      </c>
      <c r="F1103" s="3">
        <f t="shared" si="112"/>
        <v>0.78402524195987666</v>
      </c>
      <c r="G1103" s="3">
        <f t="shared" si="112"/>
        <v>1.2267444288762579</v>
      </c>
      <c r="H1103" s="3">
        <f t="shared" si="115"/>
        <v>0.63911049726801861</v>
      </c>
      <c r="I1103" s="3">
        <f t="shared" si="116"/>
        <v>38.991300362803706</v>
      </c>
    </row>
    <row r="1104" spans="1:9" ht="15.75" customHeight="1">
      <c r="A1104" s="14">
        <v>22859</v>
      </c>
      <c r="B1104">
        <v>58.52</v>
      </c>
      <c r="C1104" s="3">
        <f t="shared" si="117"/>
        <v>1.5500000000000043</v>
      </c>
      <c r="D1104" s="3">
        <f t="shared" si="113"/>
        <v>1.5500000000000043</v>
      </c>
      <c r="E1104" s="3">
        <f t="shared" si="114"/>
        <v>0</v>
      </c>
      <c r="F1104" s="3">
        <f t="shared" si="112"/>
        <v>0.83873772467702867</v>
      </c>
      <c r="G1104" s="3">
        <f t="shared" si="112"/>
        <v>1.139119826813668</v>
      </c>
      <c r="H1104" s="3">
        <f t="shared" si="115"/>
        <v>0.73630333256786129</v>
      </c>
      <c r="I1104" s="3">
        <f t="shared" si="116"/>
        <v>42.406376740573563</v>
      </c>
    </row>
    <row r="1105" spans="1:9" ht="15.75" customHeight="1">
      <c r="A1105" s="14">
        <v>22890</v>
      </c>
      <c r="B1105">
        <v>58</v>
      </c>
      <c r="C1105" s="3">
        <f t="shared" si="117"/>
        <v>-0.52000000000000313</v>
      </c>
      <c r="D1105" s="3">
        <f t="shared" si="113"/>
        <v>0</v>
      </c>
      <c r="E1105" s="3">
        <f t="shared" si="114"/>
        <v>0.52000000000000313</v>
      </c>
      <c r="F1105" s="3">
        <f t="shared" si="112"/>
        <v>0.77882788720009799</v>
      </c>
      <c r="G1105" s="3">
        <f t="shared" si="112"/>
        <v>1.0948969820412633</v>
      </c>
      <c r="H1105" s="3">
        <f t="shared" si="115"/>
        <v>0.71132526618905811</v>
      </c>
      <c r="I1105" s="3">
        <f t="shared" si="116"/>
        <v>41.565754929400704</v>
      </c>
    </row>
    <row r="1106" spans="1:9" ht="15.75" customHeight="1">
      <c r="A1106" s="14">
        <v>22920</v>
      </c>
      <c r="B1106">
        <v>56.17</v>
      </c>
      <c r="C1106" s="3">
        <f t="shared" si="117"/>
        <v>-1.8299999999999983</v>
      </c>
      <c r="D1106" s="3">
        <f t="shared" si="113"/>
        <v>0</v>
      </c>
      <c r="E1106" s="3">
        <f t="shared" si="114"/>
        <v>1.8299999999999983</v>
      </c>
      <c r="F1106" s="3">
        <f t="shared" ref="F1106:G1169" si="118">((F1105*13)+D1106)/14</f>
        <v>0.72319732382866242</v>
      </c>
      <c r="G1106" s="3">
        <f t="shared" si="118"/>
        <v>1.1474043404668872</v>
      </c>
      <c r="H1106" s="3">
        <f t="shared" si="115"/>
        <v>0.63028986236394058</v>
      </c>
      <c r="I1106" s="3">
        <f t="shared" si="116"/>
        <v>38.6612146045006</v>
      </c>
    </row>
    <row r="1107" spans="1:9" ht="15.75" customHeight="1">
      <c r="A1107" s="14">
        <v>22951</v>
      </c>
      <c r="B1107">
        <v>60.04</v>
      </c>
      <c r="C1107" s="3">
        <f t="shared" si="117"/>
        <v>3.8699999999999974</v>
      </c>
      <c r="D1107" s="3">
        <f t="shared" si="113"/>
        <v>3.8699999999999974</v>
      </c>
      <c r="E1107" s="3">
        <f t="shared" si="114"/>
        <v>0</v>
      </c>
      <c r="F1107" s="3">
        <f t="shared" si="118"/>
        <v>0.94796894355518635</v>
      </c>
      <c r="G1107" s="3">
        <f t="shared" si="118"/>
        <v>1.0654468875763954</v>
      </c>
      <c r="H1107" s="3">
        <f t="shared" si="115"/>
        <v>0.88973833854032869</v>
      </c>
      <c r="I1107" s="3">
        <f t="shared" si="116"/>
        <v>47.082620931931778</v>
      </c>
    </row>
    <row r="1108" spans="1:9" ht="15.75" customHeight="1">
      <c r="A1108" s="14">
        <v>22981</v>
      </c>
      <c r="B1108">
        <v>62.64</v>
      </c>
      <c r="C1108" s="3">
        <f t="shared" si="117"/>
        <v>2.6000000000000014</v>
      </c>
      <c r="D1108" s="3">
        <f t="shared" si="113"/>
        <v>2.6000000000000014</v>
      </c>
      <c r="E1108" s="3">
        <f t="shared" si="114"/>
        <v>0</v>
      </c>
      <c r="F1108" s="3">
        <f t="shared" si="118"/>
        <v>1.065971161872673</v>
      </c>
      <c r="G1108" s="3">
        <f t="shared" si="118"/>
        <v>0.98934353846379575</v>
      </c>
      <c r="H1108" s="3">
        <f t="shared" si="115"/>
        <v>1.0774529983061909</v>
      </c>
      <c r="I1108" s="3">
        <f t="shared" si="116"/>
        <v>51.86413358976931</v>
      </c>
    </row>
    <row r="1109" spans="1:9" ht="15.75" customHeight="1">
      <c r="A1109" s="14">
        <v>23012</v>
      </c>
      <c r="B1109">
        <v>65.06</v>
      </c>
      <c r="C1109" s="3">
        <f t="shared" si="117"/>
        <v>2.4200000000000017</v>
      </c>
      <c r="D1109" s="3">
        <f t="shared" si="113"/>
        <v>2.4200000000000017</v>
      </c>
      <c r="E1109" s="3">
        <f t="shared" si="114"/>
        <v>0</v>
      </c>
      <c r="F1109" s="3">
        <f t="shared" si="118"/>
        <v>1.1626875074531964</v>
      </c>
      <c r="G1109" s="3">
        <f t="shared" si="118"/>
        <v>0.91867614285923893</v>
      </c>
      <c r="H1109" s="3">
        <f t="shared" si="115"/>
        <v>1.2656119531247534</v>
      </c>
      <c r="I1109" s="3">
        <f t="shared" si="116"/>
        <v>55.861814790445884</v>
      </c>
    </row>
    <row r="1110" spans="1:9" ht="15.75" customHeight="1">
      <c r="A1110" s="14">
        <v>23043</v>
      </c>
      <c r="B1110">
        <v>65.92</v>
      </c>
      <c r="C1110" s="3">
        <f t="shared" si="117"/>
        <v>0.85999999999999943</v>
      </c>
      <c r="D1110" s="3">
        <f t="shared" si="113"/>
        <v>0.85999999999999943</v>
      </c>
      <c r="E1110" s="3">
        <f t="shared" si="114"/>
        <v>0</v>
      </c>
      <c r="F1110" s="3">
        <f t="shared" si="118"/>
        <v>1.1410669712065393</v>
      </c>
      <c r="G1110" s="3">
        <f t="shared" si="118"/>
        <v>0.85305641836929336</v>
      </c>
      <c r="H1110" s="3">
        <f t="shared" si="115"/>
        <v>1.3376219282047115</v>
      </c>
      <c r="I1110" s="3">
        <f t="shared" si="116"/>
        <v>57.221482741308911</v>
      </c>
    </row>
    <row r="1111" spans="1:9" ht="15.75" customHeight="1">
      <c r="A1111" s="14">
        <v>23071</v>
      </c>
      <c r="B1111">
        <v>65.67</v>
      </c>
      <c r="C1111" s="3">
        <f t="shared" si="117"/>
        <v>-0.25</v>
      </c>
      <c r="D1111" s="3">
        <f t="shared" si="113"/>
        <v>0</v>
      </c>
      <c r="E1111" s="3">
        <f t="shared" si="114"/>
        <v>0.25</v>
      </c>
      <c r="F1111" s="3">
        <f t="shared" si="118"/>
        <v>1.0595621875489294</v>
      </c>
      <c r="G1111" s="3">
        <f t="shared" si="118"/>
        <v>0.80998095991434382</v>
      </c>
      <c r="H1111" s="3">
        <f t="shared" si="115"/>
        <v>1.308132215430075</v>
      </c>
      <c r="I1111" s="3">
        <f t="shared" si="116"/>
        <v>56.674925582039521</v>
      </c>
    </row>
    <row r="1112" spans="1:9" ht="15.75" customHeight="1">
      <c r="A1112" s="14">
        <v>23102</v>
      </c>
      <c r="B1112">
        <v>68.760000000000005</v>
      </c>
      <c r="C1112" s="3">
        <f t="shared" si="117"/>
        <v>3.0900000000000034</v>
      </c>
      <c r="D1112" s="3">
        <f t="shared" si="113"/>
        <v>3.0900000000000034</v>
      </c>
      <c r="E1112" s="3">
        <f t="shared" si="114"/>
        <v>0</v>
      </c>
      <c r="F1112" s="3">
        <f t="shared" si="118"/>
        <v>1.2045934598668633</v>
      </c>
      <c r="G1112" s="3">
        <f t="shared" si="118"/>
        <v>0.75212517706331927</v>
      </c>
      <c r="H1112" s="3">
        <f t="shared" si="115"/>
        <v>1.6015864068933461</v>
      </c>
      <c r="I1112" s="3">
        <f t="shared" si="116"/>
        <v>61.561914785904101</v>
      </c>
    </row>
    <row r="1113" spans="1:9" ht="15.75" customHeight="1">
      <c r="A1113" s="14">
        <v>23132</v>
      </c>
      <c r="B1113">
        <v>70.14</v>
      </c>
      <c r="C1113" s="3">
        <f t="shared" si="117"/>
        <v>1.3799999999999955</v>
      </c>
      <c r="D1113" s="3">
        <f t="shared" si="113"/>
        <v>1.3799999999999955</v>
      </c>
      <c r="E1113" s="3">
        <f t="shared" si="114"/>
        <v>0</v>
      </c>
      <c r="F1113" s="3">
        <f t="shared" si="118"/>
        <v>1.2171224984478013</v>
      </c>
      <c r="G1113" s="3">
        <f t="shared" si="118"/>
        <v>0.69840195013022499</v>
      </c>
      <c r="H1113" s="3">
        <f t="shared" si="115"/>
        <v>1.7427249425933804</v>
      </c>
      <c r="I1113" s="3">
        <f t="shared" si="116"/>
        <v>63.539909362750343</v>
      </c>
    </row>
    <row r="1114" spans="1:9" ht="15.75" customHeight="1">
      <c r="A1114" s="14">
        <v>23163</v>
      </c>
      <c r="B1114">
        <v>70.11</v>
      </c>
      <c r="C1114" s="3">
        <f t="shared" si="117"/>
        <v>-3.0000000000001137E-2</v>
      </c>
      <c r="D1114" s="3">
        <f t="shared" si="113"/>
        <v>0</v>
      </c>
      <c r="E1114" s="3">
        <f t="shared" si="114"/>
        <v>3.0000000000001137E-2</v>
      </c>
      <c r="F1114" s="3">
        <f t="shared" si="118"/>
        <v>1.1301851771301012</v>
      </c>
      <c r="G1114" s="3">
        <f t="shared" si="118"/>
        <v>0.65065895369235183</v>
      </c>
      <c r="H1114" s="3">
        <f t="shared" si="115"/>
        <v>1.7369855140185801</v>
      </c>
      <c r="I1114" s="3">
        <f t="shared" si="116"/>
        <v>63.463452952962491</v>
      </c>
    </row>
    <row r="1115" spans="1:9" ht="15.75" customHeight="1">
      <c r="A1115" s="14">
        <v>23193</v>
      </c>
      <c r="B1115">
        <v>69.069999999999993</v>
      </c>
      <c r="C1115" s="3">
        <f t="shared" si="117"/>
        <v>-1.0400000000000063</v>
      </c>
      <c r="D1115" s="3">
        <f t="shared" si="113"/>
        <v>0</v>
      </c>
      <c r="E1115" s="3">
        <f t="shared" si="114"/>
        <v>1.0400000000000063</v>
      </c>
      <c r="F1115" s="3">
        <f t="shared" si="118"/>
        <v>1.0494576644779512</v>
      </c>
      <c r="G1115" s="3">
        <f t="shared" si="118"/>
        <v>0.6784690284286129</v>
      </c>
      <c r="H1115" s="3">
        <f t="shared" si="115"/>
        <v>1.5468026107375554</v>
      </c>
      <c r="I1115" s="3">
        <f t="shared" si="116"/>
        <v>60.735080300926832</v>
      </c>
    </row>
    <row r="1116" spans="1:9" ht="15.75" customHeight="1">
      <c r="A1116" s="14">
        <v>23224</v>
      </c>
      <c r="B1116">
        <v>70.98</v>
      </c>
      <c r="C1116" s="3">
        <f t="shared" si="117"/>
        <v>1.9100000000000108</v>
      </c>
      <c r="D1116" s="3">
        <f t="shared" si="113"/>
        <v>1.9100000000000108</v>
      </c>
      <c r="E1116" s="3">
        <f t="shared" si="114"/>
        <v>0</v>
      </c>
      <c r="F1116" s="3">
        <f t="shared" si="118"/>
        <v>1.1109249741580984</v>
      </c>
      <c r="G1116" s="3">
        <f t="shared" si="118"/>
        <v>0.63000695496942627</v>
      </c>
      <c r="H1116" s="3">
        <f t="shared" si="115"/>
        <v>1.7633535080767653</v>
      </c>
      <c r="I1116" s="3">
        <f t="shared" si="116"/>
        <v>63.812085674989206</v>
      </c>
    </row>
    <row r="1117" spans="1:9" ht="15.75" customHeight="1">
      <c r="A1117" s="14">
        <v>23255</v>
      </c>
      <c r="B1117">
        <v>72.849999999999994</v>
      </c>
      <c r="C1117" s="3">
        <f t="shared" si="117"/>
        <v>1.8699999999999903</v>
      </c>
      <c r="D1117" s="3">
        <f t="shared" si="113"/>
        <v>1.8699999999999903</v>
      </c>
      <c r="E1117" s="3">
        <f t="shared" si="114"/>
        <v>0</v>
      </c>
      <c r="F1117" s="3">
        <f t="shared" si="118"/>
        <v>1.1651446188610908</v>
      </c>
      <c r="G1117" s="3">
        <f t="shared" si="118"/>
        <v>0.58500645818589592</v>
      </c>
      <c r="H1117" s="3">
        <f t="shared" si="115"/>
        <v>1.9916782157827837</v>
      </c>
      <c r="I1117" s="3">
        <f t="shared" si="116"/>
        <v>66.573945194893014</v>
      </c>
    </row>
    <row r="1118" spans="1:9" ht="15.75" customHeight="1">
      <c r="A1118" s="14">
        <v>23285</v>
      </c>
      <c r="B1118">
        <v>73.03</v>
      </c>
      <c r="C1118" s="3">
        <f t="shared" si="117"/>
        <v>0.18000000000000682</v>
      </c>
      <c r="D1118" s="3">
        <f t="shared" si="113"/>
        <v>0.18000000000000682</v>
      </c>
      <c r="E1118" s="3">
        <f t="shared" si="114"/>
        <v>0</v>
      </c>
      <c r="F1118" s="3">
        <f t="shared" si="118"/>
        <v>1.0947771460852991</v>
      </c>
      <c r="G1118" s="3">
        <f t="shared" si="118"/>
        <v>0.54322028260118904</v>
      </c>
      <c r="H1118" s="3">
        <f t="shared" si="115"/>
        <v>2.0153465935458108</v>
      </c>
      <c r="I1118" s="3">
        <f t="shared" si="116"/>
        <v>66.836316523598086</v>
      </c>
    </row>
    <row r="1119" spans="1:9" ht="15.75" customHeight="1">
      <c r="A1119" s="14">
        <v>23316</v>
      </c>
      <c r="B1119">
        <v>72.62</v>
      </c>
      <c r="C1119" s="3">
        <f t="shared" si="117"/>
        <v>-0.40999999999999659</v>
      </c>
      <c r="D1119" s="3">
        <f t="shared" si="113"/>
        <v>0</v>
      </c>
      <c r="E1119" s="3">
        <f t="shared" si="114"/>
        <v>0.40999999999999659</v>
      </c>
      <c r="F1119" s="3">
        <f t="shared" si="118"/>
        <v>1.0165787785077778</v>
      </c>
      <c r="G1119" s="3">
        <f t="shared" si="118"/>
        <v>0.53370454812967527</v>
      </c>
      <c r="H1119" s="3">
        <f t="shared" si="115"/>
        <v>1.904759444284851</v>
      </c>
      <c r="I1119" s="3">
        <f t="shared" si="116"/>
        <v>65.573741331058869</v>
      </c>
    </row>
    <row r="1120" spans="1:9" ht="15.75" customHeight="1">
      <c r="A1120" s="14">
        <v>23346</v>
      </c>
      <c r="B1120">
        <v>74.17</v>
      </c>
      <c r="C1120" s="3">
        <f t="shared" si="117"/>
        <v>1.5499999999999972</v>
      </c>
      <c r="D1120" s="3">
        <f t="shared" si="113"/>
        <v>1.5499999999999972</v>
      </c>
      <c r="E1120" s="3">
        <f t="shared" si="114"/>
        <v>0</v>
      </c>
      <c r="F1120" s="3">
        <f t="shared" si="118"/>
        <v>1.0546802943286506</v>
      </c>
      <c r="G1120" s="3">
        <f t="shared" si="118"/>
        <v>0.49558279469184136</v>
      </c>
      <c r="H1120" s="3">
        <f t="shared" si="115"/>
        <v>2.1281616424647307</v>
      </c>
      <c r="I1120" s="3">
        <f t="shared" si="116"/>
        <v>68.032342497106924</v>
      </c>
    </row>
    <row r="1121" spans="1:9" ht="15.75" customHeight="1">
      <c r="A1121" s="14">
        <v>23377</v>
      </c>
      <c r="B1121">
        <v>76.45</v>
      </c>
      <c r="C1121" s="3">
        <f t="shared" si="117"/>
        <v>2.2800000000000011</v>
      </c>
      <c r="D1121" s="3">
        <f t="shared" si="113"/>
        <v>2.2800000000000011</v>
      </c>
      <c r="E1121" s="3">
        <f t="shared" si="114"/>
        <v>0</v>
      </c>
      <c r="F1121" s="3">
        <f t="shared" si="118"/>
        <v>1.1422031304480329</v>
      </c>
      <c r="G1121" s="3">
        <f t="shared" si="118"/>
        <v>0.46018402364242411</v>
      </c>
      <c r="H1121" s="3">
        <f t="shared" si="115"/>
        <v>2.4820573330802045</v>
      </c>
      <c r="I1121" s="3">
        <f t="shared" si="116"/>
        <v>71.281345930182979</v>
      </c>
    </row>
    <row r="1122" spans="1:9" ht="15.75" customHeight="1">
      <c r="A1122" s="14">
        <v>23408</v>
      </c>
      <c r="B1122">
        <v>77.39</v>
      </c>
      <c r="C1122" s="3">
        <f t="shared" si="117"/>
        <v>0.93999999999999773</v>
      </c>
      <c r="D1122" s="3">
        <f t="shared" si="113"/>
        <v>0.93999999999999773</v>
      </c>
      <c r="E1122" s="3">
        <f t="shared" si="114"/>
        <v>0</v>
      </c>
      <c r="F1122" s="3">
        <f t="shared" si="118"/>
        <v>1.1277600497017446</v>
      </c>
      <c r="G1122" s="3">
        <f t="shared" si="118"/>
        <v>0.42731373623939378</v>
      </c>
      <c r="H1122" s="3">
        <f t="shared" si="115"/>
        <v>2.6391851093453735</v>
      </c>
      <c r="I1122" s="3">
        <f t="shared" si="116"/>
        <v>72.521320846471511</v>
      </c>
    </row>
    <row r="1123" spans="1:9" ht="15.75" customHeight="1">
      <c r="A1123" s="14">
        <v>23437</v>
      </c>
      <c r="B1123">
        <v>78.8</v>
      </c>
      <c r="C1123" s="3">
        <f t="shared" si="117"/>
        <v>1.4099999999999966</v>
      </c>
      <c r="D1123" s="3">
        <f t="shared" si="113"/>
        <v>1.4099999999999966</v>
      </c>
      <c r="E1123" s="3">
        <f t="shared" si="114"/>
        <v>0</v>
      </c>
      <c r="F1123" s="3">
        <f t="shared" si="118"/>
        <v>1.1479200461516197</v>
      </c>
      <c r="G1123" s="3">
        <f t="shared" si="118"/>
        <v>0.39679132650800852</v>
      </c>
      <c r="H1123" s="3">
        <f t="shared" si="115"/>
        <v>2.8930069017737234</v>
      </c>
      <c r="I1123" s="3">
        <f t="shared" si="116"/>
        <v>74.312914792306628</v>
      </c>
    </row>
    <row r="1124" spans="1:9" ht="15.75" customHeight="1">
      <c r="A1124" s="14">
        <v>23468</v>
      </c>
      <c r="B1124">
        <v>79.94</v>
      </c>
      <c r="C1124" s="3">
        <f t="shared" si="117"/>
        <v>1.1400000000000006</v>
      </c>
      <c r="D1124" s="3">
        <f t="shared" si="113"/>
        <v>1.1400000000000006</v>
      </c>
      <c r="E1124" s="3">
        <f t="shared" si="114"/>
        <v>0</v>
      </c>
      <c r="F1124" s="3">
        <f t="shared" si="118"/>
        <v>1.1473543285693613</v>
      </c>
      <c r="G1124" s="3">
        <f t="shared" si="118"/>
        <v>0.36844908890029365</v>
      </c>
      <c r="H1124" s="3">
        <f t="shared" si="115"/>
        <v>3.1140104919077376</v>
      </c>
      <c r="I1124" s="3">
        <f t="shared" si="116"/>
        <v>75.692818431868346</v>
      </c>
    </row>
    <row r="1125" spans="1:9" ht="15.75" customHeight="1">
      <c r="A1125" s="14">
        <v>23498</v>
      </c>
      <c r="B1125">
        <v>80.72</v>
      </c>
      <c r="C1125" s="3">
        <f t="shared" si="117"/>
        <v>0.78000000000000114</v>
      </c>
      <c r="D1125" s="3">
        <f t="shared" si="113"/>
        <v>0.78000000000000114</v>
      </c>
      <c r="E1125" s="3">
        <f t="shared" si="114"/>
        <v>0</v>
      </c>
      <c r="F1125" s="3">
        <f t="shared" si="118"/>
        <v>1.1211147336715499</v>
      </c>
      <c r="G1125" s="3">
        <f t="shared" si="118"/>
        <v>0.34213129683598698</v>
      </c>
      <c r="H1125" s="3">
        <f t="shared" si="115"/>
        <v>3.2768552425328012</v>
      </c>
      <c r="I1125" s="3">
        <f t="shared" si="116"/>
        <v>76.618334189683992</v>
      </c>
    </row>
    <row r="1126" spans="1:9" ht="15.75" customHeight="1">
      <c r="A1126" s="14">
        <v>23529</v>
      </c>
      <c r="B1126">
        <v>80.239999999999995</v>
      </c>
      <c r="C1126" s="3">
        <f t="shared" si="117"/>
        <v>-0.48000000000000398</v>
      </c>
      <c r="D1126" s="3">
        <f t="shared" ref="D1126:D1189" si="119">IF(C1126&gt;0,C1126,0)</f>
        <v>0</v>
      </c>
      <c r="E1126" s="3">
        <f t="shared" ref="E1126:E1189" si="120">IF(C1126&lt;0,-C1126,0)</f>
        <v>0.48000000000000398</v>
      </c>
      <c r="F1126" s="3">
        <f t="shared" si="118"/>
        <v>1.0410351098378678</v>
      </c>
      <c r="G1126" s="3">
        <f t="shared" si="118"/>
        <v>0.35197906134770246</v>
      </c>
      <c r="H1126" s="3">
        <f t="shared" ref="H1126:H1189" si="121">F1126/G1126</f>
        <v>2.9576620434517311</v>
      </c>
      <c r="I1126" s="3">
        <f t="shared" ref="I1126:I1189" si="122">IF(G1126=0,100,100-(100/(1+H1126)))</f>
        <v>74.732557024302267</v>
      </c>
    </row>
    <row r="1127" spans="1:9" ht="15.75" customHeight="1">
      <c r="A1127" s="14">
        <v>23559</v>
      </c>
      <c r="B1127">
        <v>83.22</v>
      </c>
      <c r="C1127" s="3">
        <f t="shared" si="117"/>
        <v>2.980000000000004</v>
      </c>
      <c r="D1127" s="3">
        <f t="shared" si="119"/>
        <v>2.980000000000004</v>
      </c>
      <c r="E1127" s="3">
        <f t="shared" si="120"/>
        <v>0</v>
      </c>
      <c r="F1127" s="3">
        <f t="shared" si="118"/>
        <v>1.1795326019923063</v>
      </c>
      <c r="G1127" s="3">
        <f t="shared" si="118"/>
        <v>0.32683769982286659</v>
      </c>
      <c r="H1127" s="3">
        <f t="shared" si="121"/>
        <v>3.6089245599010376</v>
      </c>
      <c r="I1127" s="3">
        <f t="shared" si="122"/>
        <v>78.302964455085984</v>
      </c>
    </row>
    <row r="1128" spans="1:9" ht="15.75" customHeight="1">
      <c r="A1128" s="14">
        <v>23590</v>
      </c>
      <c r="B1128">
        <v>82</v>
      </c>
      <c r="C1128" s="3">
        <f t="shared" si="117"/>
        <v>-1.2199999999999989</v>
      </c>
      <c r="D1128" s="3">
        <f t="shared" si="119"/>
        <v>0</v>
      </c>
      <c r="E1128" s="3">
        <f t="shared" si="120"/>
        <v>1.2199999999999989</v>
      </c>
      <c r="F1128" s="3">
        <f t="shared" si="118"/>
        <v>1.09528027327857</v>
      </c>
      <c r="G1128" s="3">
        <f t="shared" si="118"/>
        <v>0.39063500697837605</v>
      </c>
      <c r="H1128" s="3">
        <f t="shared" si="121"/>
        <v>2.8038456710542592</v>
      </c>
      <c r="I1128" s="3">
        <f t="shared" si="122"/>
        <v>73.710815672423337</v>
      </c>
    </row>
    <row r="1129" spans="1:9" ht="15.75" customHeight="1">
      <c r="A1129" s="14">
        <v>23621</v>
      </c>
      <c r="B1129">
        <v>83.41</v>
      </c>
      <c r="C1129" s="3">
        <f t="shared" si="117"/>
        <v>1.4099999999999966</v>
      </c>
      <c r="D1129" s="3">
        <f t="shared" si="119"/>
        <v>1.4099999999999966</v>
      </c>
      <c r="E1129" s="3">
        <f t="shared" si="120"/>
        <v>0</v>
      </c>
      <c r="F1129" s="3">
        <f t="shared" si="118"/>
        <v>1.1177602537586719</v>
      </c>
      <c r="G1129" s="3">
        <f t="shared" si="118"/>
        <v>0.36273250647992061</v>
      </c>
      <c r="H1129" s="3">
        <f t="shared" si="121"/>
        <v>3.0815000966023058</v>
      </c>
      <c r="I1129" s="3">
        <f t="shared" si="122"/>
        <v>75.499204304014057</v>
      </c>
    </row>
    <row r="1130" spans="1:9" ht="15.75" customHeight="1">
      <c r="A1130" s="14">
        <v>23651</v>
      </c>
      <c r="B1130">
        <v>84.85</v>
      </c>
      <c r="C1130" s="3">
        <f t="shared" si="117"/>
        <v>1.4399999999999977</v>
      </c>
      <c r="D1130" s="3">
        <f t="shared" si="119"/>
        <v>1.4399999999999977</v>
      </c>
      <c r="E1130" s="3">
        <f t="shared" si="120"/>
        <v>0</v>
      </c>
      <c r="F1130" s="3">
        <f t="shared" si="118"/>
        <v>1.1407773784901951</v>
      </c>
      <c r="G1130" s="3">
        <f t="shared" si="118"/>
        <v>0.33682304173135486</v>
      </c>
      <c r="H1130" s="3">
        <f t="shared" si="121"/>
        <v>3.386874522082318</v>
      </c>
      <c r="I1130" s="3">
        <f t="shared" si="122"/>
        <v>77.204727535144315</v>
      </c>
    </row>
    <row r="1131" spans="1:9" ht="15.75" customHeight="1">
      <c r="A1131" s="14">
        <v>23682</v>
      </c>
      <c r="B1131">
        <v>85.44</v>
      </c>
      <c r="C1131" s="3">
        <f t="shared" ref="C1131:C1194" si="123">B1131-B1130</f>
        <v>0.59000000000000341</v>
      </c>
      <c r="D1131" s="3">
        <f t="shared" si="119"/>
        <v>0.59000000000000341</v>
      </c>
      <c r="E1131" s="3">
        <f t="shared" si="120"/>
        <v>0</v>
      </c>
      <c r="F1131" s="3">
        <f t="shared" si="118"/>
        <v>1.1014361371694672</v>
      </c>
      <c r="G1131" s="3">
        <f t="shared" si="118"/>
        <v>0.3127642530362581</v>
      </c>
      <c r="H1131" s="3">
        <f t="shared" si="121"/>
        <v>3.5216177247780935</v>
      </c>
      <c r="I1131" s="3">
        <f t="shared" si="122"/>
        <v>77.884021585458626</v>
      </c>
    </row>
    <row r="1132" spans="1:9" ht="15.75" customHeight="1">
      <c r="A1132" s="14">
        <v>23712</v>
      </c>
      <c r="B1132">
        <v>83.96</v>
      </c>
      <c r="C1132" s="3">
        <f t="shared" si="123"/>
        <v>-1.480000000000004</v>
      </c>
      <c r="D1132" s="3">
        <f t="shared" si="119"/>
        <v>0</v>
      </c>
      <c r="E1132" s="3">
        <f t="shared" si="120"/>
        <v>1.480000000000004</v>
      </c>
      <c r="F1132" s="3">
        <f t="shared" si="118"/>
        <v>1.0227621273716481</v>
      </c>
      <c r="G1132" s="3">
        <f t="shared" si="118"/>
        <v>0.39613823496223993</v>
      </c>
      <c r="H1132" s="3">
        <f t="shared" si="121"/>
        <v>2.5818313838580571</v>
      </c>
      <c r="I1132" s="3">
        <f t="shared" si="122"/>
        <v>72.081321178137614</v>
      </c>
    </row>
    <row r="1133" spans="1:9" ht="15.75" customHeight="1">
      <c r="A1133" s="14">
        <v>23743</v>
      </c>
      <c r="B1133">
        <v>86.12</v>
      </c>
      <c r="C1133" s="3">
        <f t="shared" si="123"/>
        <v>2.1600000000000108</v>
      </c>
      <c r="D1133" s="3">
        <f t="shared" si="119"/>
        <v>2.1600000000000108</v>
      </c>
      <c r="E1133" s="3">
        <f t="shared" si="120"/>
        <v>0</v>
      </c>
      <c r="F1133" s="3">
        <f t="shared" si="118"/>
        <v>1.1039934039879598</v>
      </c>
      <c r="G1133" s="3">
        <f t="shared" si="118"/>
        <v>0.36784264675065137</v>
      </c>
      <c r="H1133" s="3">
        <f t="shared" si="121"/>
        <v>3.0012653881764861</v>
      </c>
      <c r="I1133" s="3">
        <f t="shared" si="122"/>
        <v>75.007906175007946</v>
      </c>
    </row>
    <row r="1134" spans="1:9" ht="15.75" customHeight="1">
      <c r="A1134" s="14">
        <v>23774</v>
      </c>
      <c r="B1134">
        <v>86.75</v>
      </c>
      <c r="C1134" s="3">
        <f t="shared" si="123"/>
        <v>0.62999999999999545</v>
      </c>
      <c r="D1134" s="3">
        <f t="shared" si="119"/>
        <v>0.62999999999999545</v>
      </c>
      <c r="E1134" s="3">
        <f t="shared" si="120"/>
        <v>0</v>
      </c>
      <c r="F1134" s="3">
        <f t="shared" si="118"/>
        <v>1.0701367322745337</v>
      </c>
      <c r="G1134" s="3">
        <f t="shared" si="118"/>
        <v>0.34156817198274769</v>
      </c>
      <c r="H1134" s="3">
        <f t="shared" si="121"/>
        <v>3.133010684404709</v>
      </c>
      <c r="I1134" s="3">
        <f t="shared" si="122"/>
        <v>75.80456291164819</v>
      </c>
    </row>
    <row r="1135" spans="1:9" ht="15.75" customHeight="1">
      <c r="A1135" s="14">
        <v>23802</v>
      </c>
      <c r="B1135">
        <v>86.83</v>
      </c>
      <c r="C1135" s="3">
        <f t="shared" si="123"/>
        <v>7.9999999999998295E-2</v>
      </c>
      <c r="D1135" s="3">
        <f t="shared" si="119"/>
        <v>7.9999999999998295E-2</v>
      </c>
      <c r="E1135" s="3">
        <f t="shared" si="120"/>
        <v>0</v>
      </c>
      <c r="F1135" s="3">
        <f t="shared" si="118"/>
        <v>0.99941267996920968</v>
      </c>
      <c r="G1135" s="3">
        <f t="shared" si="118"/>
        <v>0.3171704454125514</v>
      </c>
      <c r="H1135" s="3">
        <f t="shared" si="121"/>
        <v>3.1510271351709616</v>
      </c>
      <c r="I1135" s="3">
        <f t="shared" si="122"/>
        <v>75.909576896591048</v>
      </c>
    </row>
    <row r="1136" spans="1:9" ht="15.75" customHeight="1">
      <c r="A1136" s="14">
        <v>23833</v>
      </c>
      <c r="B1136">
        <v>87.97</v>
      </c>
      <c r="C1136" s="3">
        <f t="shared" si="123"/>
        <v>1.1400000000000006</v>
      </c>
      <c r="D1136" s="3">
        <f t="shared" si="119"/>
        <v>1.1400000000000006</v>
      </c>
      <c r="E1136" s="3">
        <f t="shared" si="120"/>
        <v>0</v>
      </c>
      <c r="F1136" s="3">
        <f t="shared" si="118"/>
        <v>1.0094546313999804</v>
      </c>
      <c r="G1136" s="3">
        <f t="shared" si="118"/>
        <v>0.29451541359736916</v>
      </c>
      <c r="H1136" s="3">
        <f t="shared" si="121"/>
        <v>3.4275103603915338</v>
      </c>
      <c r="I1136" s="3">
        <f t="shared" si="122"/>
        <v>77.41394330895325</v>
      </c>
    </row>
    <row r="1137" spans="1:9" ht="15.75" customHeight="1">
      <c r="A1137" s="14">
        <v>23863</v>
      </c>
      <c r="B1137">
        <v>89.28</v>
      </c>
      <c r="C1137" s="3">
        <f t="shared" si="123"/>
        <v>1.3100000000000023</v>
      </c>
      <c r="D1137" s="3">
        <f t="shared" si="119"/>
        <v>1.3100000000000023</v>
      </c>
      <c r="E1137" s="3">
        <f t="shared" si="120"/>
        <v>0</v>
      </c>
      <c r="F1137" s="3">
        <f t="shared" si="118"/>
        <v>1.0309221577285534</v>
      </c>
      <c r="G1137" s="3">
        <f t="shared" si="118"/>
        <v>0.27347859834041421</v>
      </c>
      <c r="H1137" s="3">
        <f t="shared" si="121"/>
        <v>3.769663015624011</v>
      </c>
      <c r="I1137" s="3">
        <f t="shared" si="122"/>
        <v>79.03415824714881</v>
      </c>
    </row>
    <row r="1138" spans="1:9" ht="15.75" customHeight="1">
      <c r="A1138" s="14">
        <v>23894</v>
      </c>
      <c r="B1138">
        <v>85.04</v>
      </c>
      <c r="C1138" s="3">
        <f t="shared" si="123"/>
        <v>-4.2399999999999949</v>
      </c>
      <c r="D1138" s="3">
        <f t="shared" si="119"/>
        <v>0</v>
      </c>
      <c r="E1138" s="3">
        <f t="shared" si="120"/>
        <v>4.2399999999999949</v>
      </c>
      <c r="F1138" s="3">
        <f t="shared" si="118"/>
        <v>0.9572848607479425</v>
      </c>
      <c r="G1138" s="3">
        <f t="shared" si="118"/>
        <v>0.55680155560181288</v>
      </c>
      <c r="H1138" s="3">
        <f t="shared" si="121"/>
        <v>1.719256800051989</v>
      </c>
      <c r="I1138" s="3">
        <f t="shared" si="122"/>
        <v>63.225245957613076</v>
      </c>
    </row>
    <row r="1139" spans="1:9" ht="15.75" customHeight="1">
      <c r="A1139" s="14">
        <v>23924</v>
      </c>
      <c r="B1139">
        <v>84.91</v>
      </c>
      <c r="C1139" s="3">
        <f t="shared" si="123"/>
        <v>-0.13000000000000966</v>
      </c>
      <c r="D1139" s="3">
        <f t="shared" si="119"/>
        <v>0</v>
      </c>
      <c r="E1139" s="3">
        <f t="shared" si="120"/>
        <v>0.13000000000000966</v>
      </c>
      <c r="F1139" s="3">
        <f t="shared" si="118"/>
        <v>0.88890737069451808</v>
      </c>
      <c r="G1139" s="3">
        <f t="shared" si="118"/>
        <v>0.5263157302016841</v>
      </c>
      <c r="H1139" s="3">
        <f t="shared" si="121"/>
        <v>1.6889241945208229</v>
      </c>
      <c r="I1139" s="3">
        <f t="shared" si="122"/>
        <v>62.810405661948977</v>
      </c>
    </row>
    <row r="1140" spans="1:9" ht="15.75" customHeight="1">
      <c r="A1140" s="14">
        <v>23955</v>
      </c>
      <c r="B1140">
        <v>86.49</v>
      </c>
      <c r="C1140" s="3">
        <f t="shared" si="123"/>
        <v>1.5799999999999983</v>
      </c>
      <c r="D1140" s="3">
        <f t="shared" si="119"/>
        <v>1.5799999999999983</v>
      </c>
      <c r="E1140" s="3">
        <f t="shared" si="120"/>
        <v>0</v>
      </c>
      <c r="F1140" s="3">
        <f t="shared" si="118"/>
        <v>0.93827112993062378</v>
      </c>
      <c r="G1140" s="3">
        <f t="shared" si="118"/>
        <v>0.48872174947299241</v>
      </c>
      <c r="H1140" s="3">
        <f t="shared" si="121"/>
        <v>1.9198472974497205</v>
      </c>
      <c r="I1140" s="3">
        <f t="shared" si="122"/>
        <v>65.751633625723201</v>
      </c>
    </row>
    <row r="1141" spans="1:9" ht="15.75" customHeight="1">
      <c r="A1141" s="14">
        <v>23986</v>
      </c>
      <c r="B1141">
        <v>89.38</v>
      </c>
      <c r="C1141" s="3">
        <f t="shared" si="123"/>
        <v>2.8900000000000006</v>
      </c>
      <c r="D1141" s="3">
        <f t="shared" si="119"/>
        <v>2.8900000000000006</v>
      </c>
      <c r="E1141" s="3">
        <f t="shared" si="120"/>
        <v>0</v>
      </c>
      <c r="F1141" s="3">
        <f t="shared" si="118"/>
        <v>1.0776803349355792</v>
      </c>
      <c r="G1141" s="3">
        <f t="shared" si="118"/>
        <v>0.45381305308206438</v>
      </c>
      <c r="H1141" s="3">
        <f t="shared" si="121"/>
        <v>2.374723088321347</v>
      </c>
      <c r="I1141" s="3">
        <f t="shared" si="122"/>
        <v>70.367939121860829</v>
      </c>
    </row>
    <row r="1142" spans="1:9" ht="15.75" customHeight="1">
      <c r="A1142" s="14">
        <v>24016</v>
      </c>
      <c r="B1142">
        <v>91.39</v>
      </c>
      <c r="C1142" s="3">
        <f t="shared" si="123"/>
        <v>2.0100000000000051</v>
      </c>
      <c r="D1142" s="3">
        <f t="shared" si="119"/>
        <v>2.0100000000000051</v>
      </c>
      <c r="E1142" s="3">
        <f t="shared" si="120"/>
        <v>0</v>
      </c>
      <c r="F1142" s="3">
        <f t="shared" si="118"/>
        <v>1.1442745967258954</v>
      </c>
      <c r="G1142" s="3">
        <f t="shared" si="118"/>
        <v>0.42139783500477407</v>
      </c>
      <c r="H1142" s="3">
        <f t="shared" si="121"/>
        <v>2.7154259032036361</v>
      </c>
      <c r="I1142" s="3">
        <f t="shared" si="122"/>
        <v>73.085185223644288</v>
      </c>
    </row>
    <row r="1143" spans="1:9" ht="15.75" customHeight="1">
      <c r="A1143" s="14">
        <v>24047</v>
      </c>
      <c r="B1143">
        <v>92.15</v>
      </c>
      <c r="C1143" s="3">
        <f t="shared" si="123"/>
        <v>0.76000000000000512</v>
      </c>
      <c r="D1143" s="3">
        <f t="shared" si="119"/>
        <v>0.76000000000000512</v>
      </c>
      <c r="E1143" s="3">
        <f t="shared" si="120"/>
        <v>0</v>
      </c>
      <c r="F1143" s="3">
        <f t="shared" si="118"/>
        <v>1.1168264112454747</v>
      </c>
      <c r="G1143" s="3">
        <f t="shared" si="118"/>
        <v>0.39129798964729018</v>
      </c>
      <c r="H1143" s="3">
        <f t="shared" si="121"/>
        <v>2.8541583161522612</v>
      </c>
      <c r="I1143" s="3">
        <f t="shared" si="122"/>
        <v>74.053997838928041</v>
      </c>
    </row>
    <row r="1144" spans="1:9" ht="15.75" customHeight="1">
      <c r="A1144" s="14">
        <v>24077</v>
      </c>
      <c r="B1144">
        <v>91.73</v>
      </c>
      <c r="C1144" s="3">
        <f t="shared" si="123"/>
        <v>-0.42000000000000171</v>
      </c>
      <c r="D1144" s="3">
        <f t="shared" si="119"/>
        <v>0</v>
      </c>
      <c r="E1144" s="3">
        <f t="shared" si="120"/>
        <v>0.42000000000000171</v>
      </c>
      <c r="F1144" s="3">
        <f t="shared" si="118"/>
        <v>1.0370530961565121</v>
      </c>
      <c r="G1144" s="3">
        <f t="shared" si="118"/>
        <v>0.39334813324391243</v>
      </c>
      <c r="H1144" s="3">
        <f t="shared" si="121"/>
        <v>2.6364764657811217</v>
      </c>
      <c r="I1144" s="3">
        <f t="shared" si="122"/>
        <v>72.500853245995131</v>
      </c>
    </row>
    <row r="1145" spans="1:9" ht="15.75" customHeight="1">
      <c r="A1145" s="14">
        <v>24108</v>
      </c>
      <c r="B1145">
        <v>93.32</v>
      </c>
      <c r="C1145" s="3">
        <f t="shared" si="123"/>
        <v>1.5899999999999892</v>
      </c>
      <c r="D1145" s="3">
        <f t="shared" si="119"/>
        <v>1.5899999999999892</v>
      </c>
      <c r="E1145" s="3">
        <f t="shared" si="120"/>
        <v>0</v>
      </c>
      <c r="F1145" s="3">
        <f t="shared" si="118"/>
        <v>1.0765493035739033</v>
      </c>
      <c r="G1145" s="3">
        <f t="shared" si="118"/>
        <v>0.3652518380122044</v>
      </c>
      <c r="H1145" s="3">
        <f t="shared" si="121"/>
        <v>2.9474165261775682</v>
      </c>
      <c r="I1145" s="3">
        <f t="shared" si="122"/>
        <v>74.666975390906174</v>
      </c>
    </row>
    <row r="1146" spans="1:9" ht="15.75" customHeight="1">
      <c r="A1146" s="14">
        <v>24139</v>
      </c>
      <c r="B1146">
        <v>92.69</v>
      </c>
      <c r="C1146" s="3">
        <f t="shared" si="123"/>
        <v>-0.62999999999999545</v>
      </c>
      <c r="D1146" s="3">
        <f t="shared" si="119"/>
        <v>0</v>
      </c>
      <c r="E1146" s="3">
        <f t="shared" si="120"/>
        <v>0.62999999999999545</v>
      </c>
      <c r="F1146" s="3">
        <f t="shared" si="118"/>
        <v>0.99965292474719603</v>
      </c>
      <c r="G1146" s="3">
        <f t="shared" si="118"/>
        <v>0.38416242101133236</v>
      </c>
      <c r="H1146" s="3">
        <f t="shared" si="121"/>
        <v>2.6021621847226628</v>
      </c>
      <c r="I1146" s="3">
        <f t="shared" si="122"/>
        <v>72.238895732092317</v>
      </c>
    </row>
    <row r="1147" spans="1:9" ht="15.75" customHeight="1">
      <c r="A1147" s="14">
        <v>24167</v>
      </c>
      <c r="B1147">
        <v>88.88</v>
      </c>
      <c r="C1147" s="3">
        <f t="shared" si="123"/>
        <v>-3.8100000000000023</v>
      </c>
      <c r="D1147" s="3">
        <f t="shared" si="119"/>
        <v>0</v>
      </c>
      <c r="E1147" s="3">
        <f t="shared" si="120"/>
        <v>3.8100000000000023</v>
      </c>
      <c r="F1147" s="3">
        <f t="shared" si="118"/>
        <v>0.92824914440811057</v>
      </c>
      <c r="G1147" s="3">
        <f t="shared" si="118"/>
        <v>0.62886510522480876</v>
      </c>
      <c r="H1147" s="3">
        <f t="shared" si="121"/>
        <v>1.4760703634148646</v>
      </c>
      <c r="I1147" s="3">
        <f t="shared" si="122"/>
        <v>59.613425580489029</v>
      </c>
    </row>
    <row r="1148" spans="1:9" ht="15.75" customHeight="1">
      <c r="A1148" s="14">
        <v>24198</v>
      </c>
      <c r="B1148">
        <v>91.6</v>
      </c>
      <c r="C1148" s="3">
        <f t="shared" si="123"/>
        <v>2.7199999999999989</v>
      </c>
      <c r="D1148" s="3">
        <f t="shared" si="119"/>
        <v>2.7199999999999989</v>
      </c>
      <c r="E1148" s="3">
        <f t="shared" si="120"/>
        <v>0</v>
      </c>
      <c r="F1148" s="3">
        <f t="shared" si="118"/>
        <v>1.0562313483789596</v>
      </c>
      <c r="G1148" s="3">
        <f t="shared" si="118"/>
        <v>0.58394616913732234</v>
      </c>
      <c r="H1148" s="3">
        <f t="shared" si="121"/>
        <v>1.8087820491045528</v>
      </c>
      <c r="I1148" s="3">
        <f t="shared" si="122"/>
        <v>64.397379984723173</v>
      </c>
    </row>
    <row r="1149" spans="1:9" ht="15.75" customHeight="1">
      <c r="A1149" s="14">
        <v>24228</v>
      </c>
      <c r="B1149">
        <v>86.78</v>
      </c>
      <c r="C1149" s="3">
        <f t="shared" si="123"/>
        <v>-4.8199999999999932</v>
      </c>
      <c r="D1149" s="3">
        <f t="shared" si="119"/>
        <v>0</v>
      </c>
      <c r="E1149" s="3">
        <f t="shared" si="120"/>
        <v>4.8199999999999932</v>
      </c>
      <c r="F1149" s="3">
        <f t="shared" si="118"/>
        <v>0.98078625206617676</v>
      </c>
      <c r="G1149" s="3">
        <f t="shared" si="118"/>
        <v>0.88652144277037037</v>
      </c>
      <c r="H1149" s="3">
        <f t="shared" si="121"/>
        <v>1.1063311102788782</v>
      </c>
      <c r="I1149" s="3">
        <f t="shared" si="122"/>
        <v>52.524083458673317</v>
      </c>
    </row>
    <row r="1150" spans="1:9" ht="15.75" customHeight="1">
      <c r="A1150" s="14">
        <v>24259</v>
      </c>
      <c r="B1150">
        <v>86.06</v>
      </c>
      <c r="C1150" s="3">
        <f t="shared" si="123"/>
        <v>-0.71999999999999886</v>
      </c>
      <c r="D1150" s="3">
        <f t="shared" si="119"/>
        <v>0</v>
      </c>
      <c r="E1150" s="3">
        <f t="shared" si="120"/>
        <v>0.71999999999999886</v>
      </c>
      <c r="F1150" s="3">
        <f t="shared" si="118"/>
        <v>0.91073009120430704</v>
      </c>
      <c r="G1150" s="3">
        <f t="shared" si="118"/>
        <v>0.87462705400105811</v>
      </c>
      <c r="H1150" s="3">
        <f t="shared" si="121"/>
        <v>1.041278207709323</v>
      </c>
      <c r="I1150" s="3">
        <f t="shared" si="122"/>
        <v>51.011087257812946</v>
      </c>
    </row>
    <row r="1151" spans="1:9" ht="15.75" customHeight="1">
      <c r="A1151" s="14">
        <v>24289</v>
      </c>
      <c r="B1151">
        <v>85.84</v>
      </c>
      <c r="C1151" s="3">
        <f t="shared" si="123"/>
        <v>-0.21999999999999886</v>
      </c>
      <c r="D1151" s="3">
        <f t="shared" si="119"/>
        <v>0</v>
      </c>
      <c r="E1151" s="3">
        <f t="shared" si="120"/>
        <v>0.21999999999999886</v>
      </c>
      <c r="F1151" s="3">
        <f t="shared" si="118"/>
        <v>0.84567794183257072</v>
      </c>
      <c r="G1151" s="3">
        <f t="shared" si="118"/>
        <v>0.82786797871526818</v>
      </c>
      <c r="H1151" s="3">
        <f t="shared" si="121"/>
        <v>1.0215130474607086</v>
      </c>
      <c r="I1151" s="3">
        <f t="shared" si="122"/>
        <v>50.53210261214322</v>
      </c>
    </row>
    <row r="1152" spans="1:9" ht="15.75" customHeight="1">
      <c r="A1152" s="14">
        <v>24320</v>
      </c>
      <c r="B1152">
        <v>80.650000000000006</v>
      </c>
      <c r="C1152" s="3">
        <f t="shared" si="123"/>
        <v>-5.1899999999999977</v>
      </c>
      <c r="D1152" s="3">
        <f t="shared" si="119"/>
        <v>0</v>
      </c>
      <c r="E1152" s="3">
        <f t="shared" si="120"/>
        <v>5.1899999999999977</v>
      </c>
      <c r="F1152" s="3">
        <f t="shared" si="118"/>
        <v>0.78527237455881571</v>
      </c>
      <c r="G1152" s="3">
        <f t="shared" si="118"/>
        <v>1.139448837378463</v>
      </c>
      <c r="H1152" s="3">
        <f t="shared" si="121"/>
        <v>0.68916861275272057</v>
      </c>
      <c r="I1152" s="3">
        <f t="shared" si="122"/>
        <v>40.799278861192576</v>
      </c>
    </row>
    <row r="1153" spans="1:9" ht="15.75" customHeight="1">
      <c r="A1153" s="14">
        <v>24351</v>
      </c>
      <c r="B1153">
        <v>77.81</v>
      </c>
      <c r="C1153" s="3">
        <f t="shared" si="123"/>
        <v>-2.8400000000000034</v>
      </c>
      <c r="D1153" s="3">
        <f t="shared" si="119"/>
        <v>0</v>
      </c>
      <c r="E1153" s="3">
        <f t="shared" si="120"/>
        <v>2.8400000000000034</v>
      </c>
      <c r="F1153" s="3">
        <f t="shared" si="118"/>
        <v>0.72918149066175741</v>
      </c>
      <c r="G1153" s="3">
        <f t="shared" si="118"/>
        <v>1.260916777565716</v>
      </c>
      <c r="H1153" s="3">
        <f t="shared" si="121"/>
        <v>0.5782947008362368</v>
      </c>
      <c r="I1153" s="3">
        <f t="shared" si="122"/>
        <v>36.640476618836495</v>
      </c>
    </row>
    <row r="1154" spans="1:9" ht="15.75" customHeight="1">
      <c r="A1154" s="14">
        <v>24381</v>
      </c>
      <c r="B1154">
        <v>77.13</v>
      </c>
      <c r="C1154" s="3">
        <f t="shared" si="123"/>
        <v>-0.68000000000000682</v>
      </c>
      <c r="D1154" s="3">
        <f t="shared" si="119"/>
        <v>0</v>
      </c>
      <c r="E1154" s="3">
        <f t="shared" si="120"/>
        <v>0.68000000000000682</v>
      </c>
      <c r="F1154" s="3">
        <f t="shared" si="118"/>
        <v>0.6770970984716318</v>
      </c>
      <c r="G1154" s="3">
        <f t="shared" si="118"/>
        <v>1.2194227220253082</v>
      </c>
      <c r="H1154" s="3">
        <f t="shared" si="121"/>
        <v>0.55526035905502769</v>
      </c>
      <c r="I1154" s="3">
        <f t="shared" si="122"/>
        <v>35.702083951551515</v>
      </c>
    </row>
    <row r="1155" spans="1:9" ht="15.75" customHeight="1">
      <c r="A1155" s="14">
        <v>24412</v>
      </c>
      <c r="B1155">
        <v>80.989999999999995</v>
      </c>
      <c r="C1155" s="3">
        <f t="shared" si="123"/>
        <v>3.8599999999999994</v>
      </c>
      <c r="D1155" s="3">
        <f t="shared" si="119"/>
        <v>3.8599999999999994</v>
      </c>
      <c r="E1155" s="3">
        <f t="shared" si="120"/>
        <v>0</v>
      </c>
      <c r="F1155" s="3">
        <f t="shared" si="118"/>
        <v>0.90444730572365806</v>
      </c>
      <c r="G1155" s="3">
        <f t="shared" si="118"/>
        <v>1.1323210990235004</v>
      </c>
      <c r="H1155" s="3">
        <f t="shared" si="121"/>
        <v>0.79875514684274818</v>
      </c>
      <c r="I1155" s="3">
        <f t="shared" si="122"/>
        <v>44.405996460649867</v>
      </c>
    </row>
    <row r="1156" spans="1:9" ht="15.75" customHeight="1">
      <c r="A1156" s="14">
        <v>24442</v>
      </c>
      <c r="B1156">
        <v>81.33</v>
      </c>
      <c r="C1156" s="3">
        <f t="shared" si="123"/>
        <v>0.34000000000000341</v>
      </c>
      <c r="D1156" s="3">
        <f t="shared" si="119"/>
        <v>0.34000000000000341</v>
      </c>
      <c r="E1156" s="3">
        <f t="shared" si="120"/>
        <v>0</v>
      </c>
      <c r="F1156" s="3">
        <f t="shared" si="118"/>
        <v>0.86412964102911138</v>
      </c>
      <c r="G1156" s="3">
        <f t="shared" si="118"/>
        <v>1.0514410205218219</v>
      </c>
      <c r="H1156" s="3">
        <f t="shared" si="121"/>
        <v>0.82185269945075057</v>
      </c>
      <c r="I1156" s="3">
        <f t="shared" si="122"/>
        <v>45.110820413665792</v>
      </c>
    </row>
    <row r="1157" spans="1:9" ht="15.75" customHeight="1">
      <c r="A1157" s="14">
        <v>24473</v>
      </c>
      <c r="B1157">
        <v>84.45</v>
      </c>
      <c r="C1157" s="3">
        <f t="shared" si="123"/>
        <v>3.1200000000000045</v>
      </c>
      <c r="D1157" s="3">
        <f t="shared" si="119"/>
        <v>3.1200000000000045</v>
      </c>
      <c r="E1157" s="3">
        <f t="shared" si="120"/>
        <v>0</v>
      </c>
      <c r="F1157" s="3">
        <f t="shared" si="118"/>
        <v>1.025263238098461</v>
      </c>
      <c r="G1157" s="3">
        <f t="shared" si="118"/>
        <v>0.97633809048454889</v>
      </c>
      <c r="H1157" s="3">
        <f t="shared" si="121"/>
        <v>1.0501108664004197</v>
      </c>
      <c r="I1157" s="3">
        <f t="shared" si="122"/>
        <v>51.222150158357152</v>
      </c>
    </row>
    <row r="1158" spans="1:9" ht="15.75" customHeight="1">
      <c r="A1158" s="14">
        <v>24504</v>
      </c>
      <c r="B1158">
        <v>87.36</v>
      </c>
      <c r="C1158" s="3">
        <f t="shared" si="123"/>
        <v>2.9099999999999966</v>
      </c>
      <c r="D1158" s="3">
        <f t="shared" si="119"/>
        <v>2.9099999999999966</v>
      </c>
      <c r="E1158" s="3">
        <f t="shared" si="120"/>
        <v>0</v>
      </c>
      <c r="F1158" s="3">
        <f t="shared" si="118"/>
        <v>1.1598872925199992</v>
      </c>
      <c r="G1158" s="3">
        <f t="shared" si="118"/>
        <v>0.90659965544993837</v>
      </c>
      <c r="H1158" s="3">
        <f t="shared" si="121"/>
        <v>1.2793820133809297</v>
      </c>
      <c r="I1158" s="3">
        <f t="shared" si="122"/>
        <v>56.128459638201058</v>
      </c>
    </row>
    <row r="1159" spans="1:9" ht="15.75" customHeight="1">
      <c r="A1159" s="14">
        <v>24532</v>
      </c>
      <c r="B1159">
        <v>89.42</v>
      </c>
      <c r="C1159" s="3">
        <f t="shared" si="123"/>
        <v>2.0600000000000023</v>
      </c>
      <c r="D1159" s="3">
        <f t="shared" si="119"/>
        <v>2.0600000000000023</v>
      </c>
      <c r="E1159" s="3">
        <f t="shared" si="120"/>
        <v>0</v>
      </c>
      <c r="F1159" s="3">
        <f t="shared" si="118"/>
        <v>1.2241810573399994</v>
      </c>
      <c r="G1159" s="3">
        <f t="shared" si="118"/>
        <v>0.84184253720351421</v>
      </c>
      <c r="H1159" s="3">
        <f t="shared" si="121"/>
        <v>1.4541686874205257</v>
      </c>
      <c r="I1159" s="3">
        <f t="shared" si="122"/>
        <v>59.253004688481369</v>
      </c>
    </row>
    <row r="1160" spans="1:9" ht="15.75" customHeight="1">
      <c r="A1160" s="14">
        <v>24563</v>
      </c>
      <c r="B1160">
        <v>90.96</v>
      </c>
      <c r="C1160" s="3">
        <f t="shared" si="123"/>
        <v>1.539999999999992</v>
      </c>
      <c r="D1160" s="3">
        <f t="shared" si="119"/>
        <v>1.539999999999992</v>
      </c>
      <c r="E1160" s="3">
        <f t="shared" si="120"/>
        <v>0</v>
      </c>
      <c r="F1160" s="3">
        <f t="shared" si="118"/>
        <v>1.2467395532442846</v>
      </c>
      <c r="G1160" s="3">
        <f t="shared" si="118"/>
        <v>0.7817109274032632</v>
      </c>
      <c r="H1160" s="3">
        <f t="shared" si="121"/>
        <v>1.5948856662216337</v>
      </c>
      <c r="I1160" s="3">
        <f t="shared" si="122"/>
        <v>61.46265660112563</v>
      </c>
    </row>
    <row r="1161" spans="1:9" ht="15.75" customHeight="1">
      <c r="A1161" s="14">
        <v>24593</v>
      </c>
      <c r="B1161">
        <v>92.59</v>
      </c>
      <c r="C1161" s="3">
        <f t="shared" si="123"/>
        <v>1.6300000000000097</v>
      </c>
      <c r="D1161" s="3">
        <f t="shared" si="119"/>
        <v>1.6300000000000097</v>
      </c>
      <c r="E1161" s="3">
        <f t="shared" si="120"/>
        <v>0</v>
      </c>
      <c r="F1161" s="3">
        <f t="shared" si="118"/>
        <v>1.2741152994411222</v>
      </c>
      <c r="G1161" s="3">
        <f t="shared" si="118"/>
        <v>0.7258744325887444</v>
      </c>
      <c r="H1161" s="3">
        <f t="shared" si="121"/>
        <v>1.7552833413585629</v>
      </c>
      <c r="I1161" s="3">
        <f t="shared" si="122"/>
        <v>63.706092038181296</v>
      </c>
    </row>
    <row r="1162" spans="1:9" ht="15.75" customHeight="1">
      <c r="A1162" s="14">
        <v>24624</v>
      </c>
      <c r="B1162">
        <v>91.43</v>
      </c>
      <c r="C1162" s="3">
        <f t="shared" si="123"/>
        <v>-1.1599999999999966</v>
      </c>
      <c r="D1162" s="3">
        <f t="shared" si="119"/>
        <v>0</v>
      </c>
      <c r="E1162" s="3">
        <f t="shared" si="120"/>
        <v>1.1599999999999966</v>
      </c>
      <c r="F1162" s="3">
        <f t="shared" si="118"/>
        <v>1.1831070637667565</v>
      </c>
      <c r="G1162" s="3">
        <f t="shared" si="118"/>
        <v>0.75688340168954815</v>
      </c>
      <c r="H1162" s="3">
        <f t="shared" si="121"/>
        <v>1.5631298838444248</v>
      </c>
      <c r="I1162" s="3">
        <f t="shared" si="122"/>
        <v>60.985199918932501</v>
      </c>
    </row>
    <row r="1163" spans="1:9" ht="15.75" customHeight="1">
      <c r="A1163" s="14">
        <v>24654</v>
      </c>
      <c r="B1163">
        <v>93.01</v>
      </c>
      <c r="C1163" s="3">
        <f t="shared" si="123"/>
        <v>1.5799999999999983</v>
      </c>
      <c r="D1163" s="3">
        <f t="shared" si="119"/>
        <v>1.5799999999999983</v>
      </c>
      <c r="E1163" s="3">
        <f t="shared" si="120"/>
        <v>0</v>
      </c>
      <c r="F1163" s="3">
        <f t="shared" si="118"/>
        <v>1.2114565592119881</v>
      </c>
      <c r="G1163" s="3">
        <f t="shared" si="118"/>
        <v>0.7028203015688661</v>
      </c>
      <c r="H1163" s="3">
        <f t="shared" si="121"/>
        <v>1.7237074064419056</v>
      </c>
      <c r="I1163" s="3">
        <f t="shared" si="122"/>
        <v>63.285336830421798</v>
      </c>
    </row>
    <row r="1164" spans="1:9" ht="15.75" customHeight="1">
      <c r="A1164" s="14">
        <v>24685</v>
      </c>
      <c r="B1164">
        <v>94.49</v>
      </c>
      <c r="C1164" s="3">
        <f t="shared" si="123"/>
        <v>1.4799999999999898</v>
      </c>
      <c r="D1164" s="3">
        <f t="shared" si="119"/>
        <v>1.4799999999999898</v>
      </c>
      <c r="E1164" s="3">
        <f t="shared" si="120"/>
        <v>0</v>
      </c>
      <c r="F1164" s="3">
        <f t="shared" si="118"/>
        <v>1.2306382335539883</v>
      </c>
      <c r="G1164" s="3">
        <f t="shared" si="118"/>
        <v>0.65261885145680421</v>
      </c>
      <c r="H1164" s="3">
        <f t="shared" si="121"/>
        <v>1.8856921322559164</v>
      </c>
      <c r="I1164" s="3">
        <f t="shared" si="122"/>
        <v>65.34626861881344</v>
      </c>
    </row>
    <row r="1165" spans="1:9" ht="15.75" customHeight="1">
      <c r="A1165" s="14">
        <v>24716</v>
      </c>
      <c r="B1165">
        <v>95.81</v>
      </c>
      <c r="C1165" s="3">
        <f t="shared" si="123"/>
        <v>1.3200000000000074</v>
      </c>
      <c r="D1165" s="3">
        <f t="shared" si="119"/>
        <v>1.3200000000000074</v>
      </c>
      <c r="E1165" s="3">
        <f t="shared" si="120"/>
        <v>0</v>
      </c>
      <c r="F1165" s="3">
        <f t="shared" si="118"/>
        <v>1.2370212168715611</v>
      </c>
      <c r="G1165" s="3">
        <f t="shared" si="118"/>
        <v>0.60600321920988964</v>
      </c>
      <c r="H1165" s="3">
        <f t="shared" si="121"/>
        <v>2.0412782930169846</v>
      </c>
      <c r="I1165" s="3">
        <f t="shared" si="122"/>
        <v>67.119089288998026</v>
      </c>
    </row>
    <row r="1166" spans="1:9" ht="15.75" customHeight="1">
      <c r="A1166" s="14">
        <v>24746</v>
      </c>
      <c r="B1166">
        <v>95.66</v>
      </c>
      <c r="C1166" s="3">
        <f t="shared" si="123"/>
        <v>-0.15000000000000568</v>
      </c>
      <c r="D1166" s="3">
        <f t="shared" si="119"/>
        <v>0</v>
      </c>
      <c r="E1166" s="3">
        <f t="shared" si="120"/>
        <v>0.15000000000000568</v>
      </c>
      <c r="F1166" s="3">
        <f t="shared" si="118"/>
        <v>1.1486625585235923</v>
      </c>
      <c r="G1166" s="3">
        <f t="shared" si="118"/>
        <v>0.57343156069489787</v>
      </c>
      <c r="H1166" s="3">
        <f t="shared" si="121"/>
        <v>2.0031380155142071</v>
      </c>
      <c r="I1166" s="3">
        <f t="shared" si="122"/>
        <v>66.701497072928333</v>
      </c>
    </row>
    <row r="1167" spans="1:9" ht="15.75" customHeight="1">
      <c r="A1167" s="14">
        <v>24777</v>
      </c>
      <c r="B1167">
        <v>92.66</v>
      </c>
      <c r="C1167" s="3">
        <f t="shared" si="123"/>
        <v>-3</v>
      </c>
      <c r="D1167" s="3">
        <f t="shared" si="119"/>
        <v>0</v>
      </c>
      <c r="E1167" s="3">
        <f t="shared" si="120"/>
        <v>3</v>
      </c>
      <c r="F1167" s="3">
        <f t="shared" si="118"/>
        <v>1.0666152329147642</v>
      </c>
      <c r="G1167" s="3">
        <f t="shared" si="118"/>
        <v>0.74675787778811942</v>
      </c>
      <c r="H1167" s="3">
        <f t="shared" si="121"/>
        <v>1.4283280627370887</v>
      </c>
      <c r="I1167" s="3">
        <f t="shared" si="122"/>
        <v>58.819402726300069</v>
      </c>
    </row>
    <row r="1168" spans="1:9" ht="15.75" customHeight="1">
      <c r="A1168" s="14">
        <v>24807</v>
      </c>
      <c r="B1168">
        <v>95.3</v>
      </c>
      <c r="C1168" s="3">
        <f t="shared" si="123"/>
        <v>2.6400000000000006</v>
      </c>
      <c r="D1168" s="3">
        <f t="shared" si="119"/>
        <v>2.6400000000000006</v>
      </c>
      <c r="E1168" s="3">
        <f t="shared" si="120"/>
        <v>0</v>
      </c>
      <c r="F1168" s="3">
        <f t="shared" si="118"/>
        <v>1.1789998591351381</v>
      </c>
      <c r="G1168" s="3">
        <f t="shared" si="118"/>
        <v>0.69341802937468233</v>
      </c>
      <c r="H1168" s="3">
        <f t="shared" si="121"/>
        <v>1.7002728645494676</v>
      </c>
      <c r="I1168" s="3">
        <f t="shared" si="122"/>
        <v>62.966705582665362</v>
      </c>
    </row>
    <row r="1169" spans="1:9" ht="15.75" customHeight="1">
      <c r="A1169" s="14">
        <v>24838</v>
      </c>
      <c r="B1169">
        <v>95.04</v>
      </c>
      <c r="C1169" s="3">
        <f t="shared" si="123"/>
        <v>-0.25999999999999091</v>
      </c>
      <c r="D1169" s="3">
        <f t="shared" si="119"/>
        <v>0</v>
      </c>
      <c r="E1169" s="3">
        <f t="shared" si="120"/>
        <v>0.25999999999999091</v>
      </c>
      <c r="F1169" s="3">
        <f t="shared" si="118"/>
        <v>1.0947855834826281</v>
      </c>
      <c r="G1169" s="3">
        <f t="shared" si="118"/>
        <v>0.66245959870506155</v>
      </c>
      <c r="H1169" s="3">
        <f t="shared" si="121"/>
        <v>1.6526073222014639</v>
      </c>
      <c r="I1169" s="3">
        <f t="shared" si="122"/>
        <v>62.301242568761538</v>
      </c>
    </row>
    <row r="1170" spans="1:9" ht="15.75" customHeight="1">
      <c r="A1170" s="14">
        <v>24869</v>
      </c>
      <c r="B1170">
        <v>90.75</v>
      </c>
      <c r="C1170" s="3">
        <f t="shared" si="123"/>
        <v>-4.2900000000000063</v>
      </c>
      <c r="D1170" s="3">
        <f t="shared" si="119"/>
        <v>0</v>
      </c>
      <c r="E1170" s="3">
        <f t="shared" si="120"/>
        <v>4.2900000000000063</v>
      </c>
      <c r="F1170" s="3">
        <f t="shared" ref="F1170:G1233" si="124">((F1169*13)+D1170)/14</f>
        <v>1.016586613233869</v>
      </c>
      <c r="G1170" s="3">
        <f t="shared" si="124"/>
        <v>0.92156962736898618</v>
      </c>
      <c r="H1170" s="3">
        <f t="shared" si="121"/>
        <v>1.1031034259843713</v>
      </c>
      <c r="I1170" s="3">
        <f t="shared" si="122"/>
        <v>52.451221007737956</v>
      </c>
    </row>
    <row r="1171" spans="1:9" ht="15.75" customHeight="1">
      <c r="A1171" s="14">
        <v>24898</v>
      </c>
      <c r="B1171">
        <v>89.09</v>
      </c>
      <c r="C1171" s="3">
        <f t="shared" si="123"/>
        <v>-1.6599999999999966</v>
      </c>
      <c r="D1171" s="3">
        <f t="shared" si="119"/>
        <v>0</v>
      </c>
      <c r="E1171" s="3">
        <f t="shared" si="120"/>
        <v>1.6599999999999966</v>
      </c>
      <c r="F1171" s="3">
        <f t="shared" si="124"/>
        <v>0.94397328371716405</v>
      </c>
      <c r="G1171" s="3">
        <f t="shared" si="124"/>
        <v>0.97431465398548689</v>
      </c>
      <c r="H1171" s="3">
        <f t="shared" si="121"/>
        <v>0.96885875610696215</v>
      </c>
      <c r="I1171" s="3">
        <f t="shared" si="122"/>
        <v>49.209154953435721</v>
      </c>
    </row>
    <row r="1172" spans="1:9" ht="15.75" customHeight="1">
      <c r="A1172" s="14">
        <v>24929</v>
      </c>
      <c r="B1172">
        <v>95.67</v>
      </c>
      <c r="C1172" s="3">
        <f t="shared" si="123"/>
        <v>6.5799999999999983</v>
      </c>
      <c r="D1172" s="3">
        <f t="shared" si="119"/>
        <v>6.5799999999999983</v>
      </c>
      <c r="E1172" s="3">
        <f t="shared" si="120"/>
        <v>0</v>
      </c>
      <c r="F1172" s="3">
        <f t="shared" si="124"/>
        <v>1.3465466205945094</v>
      </c>
      <c r="G1172" s="3">
        <f t="shared" si="124"/>
        <v>0.90472075012938069</v>
      </c>
      <c r="H1172" s="3">
        <f t="shared" si="121"/>
        <v>1.4883560705355159</v>
      </c>
      <c r="I1172" s="3">
        <f t="shared" si="122"/>
        <v>59.812825349195649</v>
      </c>
    </row>
    <row r="1173" spans="1:9" ht="15.75" customHeight="1">
      <c r="A1173" s="14">
        <v>24959</v>
      </c>
      <c r="B1173">
        <v>97.87</v>
      </c>
      <c r="C1173" s="3">
        <f t="shared" si="123"/>
        <v>2.2000000000000028</v>
      </c>
      <c r="D1173" s="3">
        <f t="shared" si="119"/>
        <v>2.2000000000000028</v>
      </c>
      <c r="E1173" s="3">
        <f t="shared" si="120"/>
        <v>0</v>
      </c>
      <c r="F1173" s="3">
        <f t="shared" si="124"/>
        <v>1.4075075762663303</v>
      </c>
      <c r="G1173" s="3">
        <f t="shared" si="124"/>
        <v>0.84009783940585347</v>
      </c>
      <c r="H1173" s="3">
        <f t="shared" si="121"/>
        <v>1.6754091133739479</v>
      </c>
      <c r="I1173" s="3">
        <f t="shared" si="122"/>
        <v>62.622538923069449</v>
      </c>
    </row>
    <row r="1174" spans="1:9" ht="15.75" customHeight="1">
      <c r="A1174" s="14">
        <v>24990</v>
      </c>
      <c r="B1174">
        <v>100.5</v>
      </c>
      <c r="C1174" s="3">
        <f t="shared" si="123"/>
        <v>2.6299999999999955</v>
      </c>
      <c r="D1174" s="3">
        <f t="shared" si="119"/>
        <v>2.6299999999999955</v>
      </c>
      <c r="E1174" s="3">
        <f t="shared" si="120"/>
        <v>0</v>
      </c>
      <c r="F1174" s="3">
        <f t="shared" si="124"/>
        <v>1.4948284636758777</v>
      </c>
      <c r="G1174" s="3">
        <f t="shared" si="124"/>
        <v>0.78009085087686392</v>
      </c>
      <c r="H1174" s="3">
        <f t="shared" si="121"/>
        <v>1.9162235552379707</v>
      </c>
      <c r="I1174" s="3">
        <f t="shared" si="122"/>
        <v>65.709076102761344</v>
      </c>
    </row>
    <row r="1175" spans="1:9" ht="15.75" customHeight="1">
      <c r="A1175" s="14">
        <v>25020</v>
      </c>
      <c r="B1175">
        <v>100.3</v>
      </c>
      <c r="C1175" s="3">
        <f t="shared" si="123"/>
        <v>-0.20000000000000284</v>
      </c>
      <c r="D1175" s="3">
        <f t="shared" si="119"/>
        <v>0</v>
      </c>
      <c r="E1175" s="3">
        <f t="shared" si="120"/>
        <v>0.20000000000000284</v>
      </c>
      <c r="F1175" s="3">
        <f t="shared" si="124"/>
        <v>1.3880550019847437</v>
      </c>
      <c r="G1175" s="3">
        <f t="shared" si="124"/>
        <v>0.7386557900999452</v>
      </c>
      <c r="H1175" s="3">
        <f t="shared" si="121"/>
        <v>1.8791635029313591</v>
      </c>
      <c r="I1175" s="3">
        <f t="shared" si="122"/>
        <v>65.267689765382499</v>
      </c>
    </row>
    <row r="1176" spans="1:9" ht="15.75" customHeight="1">
      <c r="A1176" s="14">
        <v>25051</v>
      </c>
      <c r="B1176">
        <v>98.11</v>
      </c>
      <c r="C1176" s="3">
        <f t="shared" si="123"/>
        <v>-2.1899999999999977</v>
      </c>
      <c r="D1176" s="3">
        <f t="shared" si="119"/>
        <v>0</v>
      </c>
      <c r="E1176" s="3">
        <f t="shared" si="120"/>
        <v>2.1899999999999977</v>
      </c>
      <c r="F1176" s="3">
        <f t="shared" si="124"/>
        <v>1.2889082161286907</v>
      </c>
      <c r="G1176" s="3">
        <f t="shared" si="124"/>
        <v>0.84232323366423467</v>
      </c>
      <c r="H1176" s="3">
        <f t="shared" si="121"/>
        <v>1.5301824342678323</v>
      </c>
      <c r="I1176" s="3">
        <f t="shared" si="122"/>
        <v>60.477158229526104</v>
      </c>
    </row>
    <row r="1177" spans="1:9" ht="15.75" customHeight="1">
      <c r="A1177" s="14">
        <v>25082</v>
      </c>
      <c r="B1177">
        <v>101.3</v>
      </c>
      <c r="C1177" s="3">
        <f t="shared" si="123"/>
        <v>3.1899999999999977</v>
      </c>
      <c r="D1177" s="3">
        <f t="shared" si="119"/>
        <v>3.1899999999999977</v>
      </c>
      <c r="E1177" s="3">
        <f t="shared" si="120"/>
        <v>0</v>
      </c>
      <c r="F1177" s="3">
        <f t="shared" si="124"/>
        <v>1.4247004864052126</v>
      </c>
      <c r="G1177" s="3">
        <f t="shared" si="124"/>
        <v>0.78215728840250365</v>
      </c>
      <c r="H1177" s="3">
        <f t="shared" si="121"/>
        <v>1.8215012600791003</v>
      </c>
      <c r="I1177" s="3">
        <f t="shared" si="122"/>
        <v>64.557875123119203</v>
      </c>
    </row>
    <row r="1178" spans="1:9" ht="15.75" customHeight="1">
      <c r="A1178" s="14">
        <v>25112</v>
      </c>
      <c r="B1178">
        <v>103.8</v>
      </c>
      <c r="C1178" s="3">
        <f t="shared" si="123"/>
        <v>2.5</v>
      </c>
      <c r="D1178" s="3">
        <f t="shared" si="119"/>
        <v>2.5</v>
      </c>
      <c r="E1178" s="3">
        <f t="shared" si="120"/>
        <v>0</v>
      </c>
      <c r="F1178" s="3">
        <f t="shared" si="124"/>
        <v>1.5015075945191261</v>
      </c>
      <c r="G1178" s="3">
        <f t="shared" si="124"/>
        <v>0.72628891065946777</v>
      </c>
      <c r="H1178" s="3">
        <f t="shared" si="121"/>
        <v>2.0673695721937464</v>
      </c>
      <c r="I1178" s="3">
        <f t="shared" si="122"/>
        <v>67.398776819553177</v>
      </c>
    </row>
    <row r="1179" spans="1:9" ht="15.75" customHeight="1">
      <c r="A1179" s="14">
        <v>25143</v>
      </c>
      <c r="B1179">
        <v>105.4</v>
      </c>
      <c r="C1179" s="3">
        <f t="shared" si="123"/>
        <v>1.6000000000000085</v>
      </c>
      <c r="D1179" s="3">
        <f t="shared" si="119"/>
        <v>1.6000000000000085</v>
      </c>
      <c r="E1179" s="3">
        <f t="shared" si="120"/>
        <v>0</v>
      </c>
      <c r="F1179" s="3">
        <f t="shared" si="124"/>
        <v>1.5085427663391893</v>
      </c>
      <c r="G1179" s="3">
        <f t="shared" si="124"/>
        <v>0.67441113132664865</v>
      </c>
      <c r="H1179" s="3">
        <f t="shared" si="121"/>
        <v>2.2368295780819962</v>
      </c>
      <c r="I1179" s="3">
        <f t="shared" si="122"/>
        <v>69.105571489724326</v>
      </c>
    </row>
    <row r="1180" spans="1:9" ht="15.75" customHeight="1">
      <c r="A1180" s="14">
        <v>25173</v>
      </c>
      <c r="B1180">
        <v>106.5</v>
      </c>
      <c r="C1180" s="3">
        <f t="shared" si="123"/>
        <v>1.0999999999999943</v>
      </c>
      <c r="D1180" s="3">
        <f t="shared" si="119"/>
        <v>1.0999999999999943</v>
      </c>
      <c r="E1180" s="3">
        <f t="shared" si="120"/>
        <v>0</v>
      </c>
      <c r="F1180" s="3">
        <f t="shared" si="124"/>
        <v>1.4793611401721039</v>
      </c>
      <c r="G1180" s="3">
        <f t="shared" si="124"/>
        <v>0.62623890766045942</v>
      </c>
      <c r="H1180" s="3">
        <f t="shared" si="121"/>
        <v>2.3622951593646411</v>
      </c>
      <c r="I1180" s="3">
        <f t="shared" si="122"/>
        <v>70.258411216076411</v>
      </c>
    </row>
    <row r="1181" spans="1:9" ht="15.75" customHeight="1">
      <c r="A1181" s="14">
        <v>25204</v>
      </c>
      <c r="B1181">
        <v>102</v>
      </c>
      <c r="C1181" s="3">
        <f t="shared" si="123"/>
        <v>-4.5</v>
      </c>
      <c r="D1181" s="3">
        <f t="shared" si="119"/>
        <v>0</v>
      </c>
      <c r="E1181" s="3">
        <f t="shared" si="120"/>
        <v>4.5</v>
      </c>
      <c r="F1181" s="3">
        <f t="shared" si="124"/>
        <v>1.3736924873026679</v>
      </c>
      <c r="G1181" s="3">
        <f t="shared" si="124"/>
        <v>0.90293612854185512</v>
      </c>
      <c r="H1181" s="3">
        <f t="shared" si="121"/>
        <v>1.5213617485004545</v>
      </c>
      <c r="I1181" s="3">
        <f t="shared" si="122"/>
        <v>60.338892243656176</v>
      </c>
    </row>
    <row r="1182" spans="1:9" ht="15.75" customHeight="1">
      <c r="A1182" s="14">
        <v>25235</v>
      </c>
      <c r="B1182">
        <v>101.5</v>
      </c>
      <c r="C1182" s="3">
        <f t="shared" si="123"/>
        <v>-0.5</v>
      </c>
      <c r="D1182" s="3">
        <f t="shared" si="119"/>
        <v>0</v>
      </c>
      <c r="E1182" s="3">
        <f t="shared" si="120"/>
        <v>0.5</v>
      </c>
      <c r="F1182" s="3">
        <f t="shared" si="124"/>
        <v>1.2755715953524773</v>
      </c>
      <c r="G1182" s="3">
        <f t="shared" si="124"/>
        <v>0.87415497650315122</v>
      </c>
      <c r="H1182" s="3">
        <f t="shared" si="121"/>
        <v>1.4592053235858677</v>
      </c>
      <c r="I1182" s="3">
        <f t="shared" si="122"/>
        <v>59.336457578017146</v>
      </c>
    </row>
    <row r="1183" spans="1:9" ht="15.75" customHeight="1">
      <c r="A1183" s="14">
        <v>25263</v>
      </c>
      <c r="B1183">
        <v>99.3</v>
      </c>
      <c r="C1183" s="3">
        <f t="shared" si="123"/>
        <v>-2.2000000000000028</v>
      </c>
      <c r="D1183" s="3">
        <f t="shared" si="119"/>
        <v>0</v>
      </c>
      <c r="E1183" s="3">
        <f t="shared" si="120"/>
        <v>2.2000000000000028</v>
      </c>
      <c r="F1183" s="3">
        <f t="shared" si="124"/>
        <v>1.184459338541586</v>
      </c>
      <c r="G1183" s="3">
        <f t="shared" si="124"/>
        <v>0.96885819246721205</v>
      </c>
      <c r="H1183" s="3">
        <f t="shared" si="121"/>
        <v>1.2225311689065068</v>
      </c>
      <c r="I1183" s="3">
        <f t="shared" si="122"/>
        <v>55.006255300707274</v>
      </c>
    </row>
    <row r="1184" spans="1:9" ht="15.75" customHeight="1">
      <c r="A1184" s="14">
        <v>25294</v>
      </c>
      <c r="B1184">
        <v>101.3</v>
      </c>
      <c r="C1184" s="3">
        <f t="shared" si="123"/>
        <v>2</v>
      </c>
      <c r="D1184" s="3">
        <f t="shared" si="119"/>
        <v>2</v>
      </c>
      <c r="E1184" s="3">
        <f t="shared" si="120"/>
        <v>0</v>
      </c>
      <c r="F1184" s="3">
        <f t="shared" si="124"/>
        <v>1.2427122429314728</v>
      </c>
      <c r="G1184" s="3">
        <f t="shared" si="124"/>
        <v>0.89965403586241111</v>
      </c>
      <c r="H1184" s="3">
        <f t="shared" si="121"/>
        <v>1.3813223677034974</v>
      </c>
      <c r="I1184" s="3">
        <f t="shared" si="122"/>
        <v>58.006525552255184</v>
      </c>
    </row>
    <row r="1185" spans="1:9" ht="15.75" customHeight="1">
      <c r="A1185" s="14">
        <v>25324</v>
      </c>
      <c r="B1185">
        <v>104.6</v>
      </c>
      <c r="C1185" s="3">
        <f t="shared" si="123"/>
        <v>3.2999999999999972</v>
      </c>
      <c r="D1185" s="3">
        <f t="shared" si="119"/>
        <v>3.2999999999999972</v>
      </c>
      <c r="E1185" s="3">
        <f t="shared" si="120"/>
        <v>0</v>
      </c>
      <c r="F1185" s="3">
        <f t="shared" si="124"/>
        <v>1.3896613684363675</v>
      </c>
      <c r="G1185" s="3">
        <f t="shared" si="124"/>
        <v>0.83539303330081027</v>
      </c>
      <c r="H1185" s="3">
        <f t="shared" si="121"/>
        <v>1.6634821132581494</v>
      </c>
      <c r="I1185" s="3">
        <f t="shared" si="122"/>
        <v>62.455163673814461</v>
      </c>
    </row>
    <row r="1186" spans="1:9" ht="15.75" customHeight="1">
      <c r="A1186" s="14">
        <v>25355</v>
      </c>
      <c r="B1186">
        <v>99.14</v>
      </c>
      <c r="C1186" s="3">
        <f t="shared" si="123"/>
        <v>-5.4599999999999937</v>
      </c>
      <c r="D1186" s="3">
        <f t="shared" si="119"/>
        <v>0</v>
      </c>
      <c r="E1186" s="3">
        <f t="shared" si="120"/>
        <v>5.4599999999999937</v>
      </c>
      <c r="F1186" s="3">
        <f t="shared" si="124"/>
        <v>1.290399842119484</v>
      </c>
      <c r="G1186" s="3">
        <f t="shared" si="124"/>
        <v>1.165722102350752</v>
      </c>
      <c r="H1186" s="3">
        <f t="shared" si="121"/>
        <v>1.1069532262597677</v>
      </c>
      <c r="I1186" s="3">
        <f t="shared" si="122"/>
        <v>52.538101580205208</v>
      </c>
    </row>
    <row r="1187" spans="1:9" ht="15.75" customHeight="1">
      <c r="A1187" s="14">
        <v>25385</v>
      </c>
      <c r="B1187">
        <v>94.71</v>
      </c>
      <c r="C1187" s="3">
        <f t="shared" si="123"/>
        <v>-4.4300000000000068</v>
      </c>
      <c r="D1187" s="3">
        <f t="shared" si="119"/>
        <v>0</v>
      </c>
      <c r="E1187" s="3">
        <f t="shared" si="120"/>
        <v>4.4300000000000068</v>
      </c>
      <c r="F1187" s="3">
        <f t="shared" si="124"/>
        <v>1.1982284248252351</v>
      </c>
      <c r="G1187" s="3">
        <f t="shared" si="124"/>
        <v>1.3988848093256989</v>
      </c>
      <c r="H1187" s="3">
        <f t="shared" si="121"/>
        <v>0.85655975162301912</v>
      </c>
      <c r="I1187" s="3">
        <f t="shared" si="122"/>
        <v>46.136934234096579</v>
      </c>
    </row>
    <row r="1188" spans="1:9" ht="15.75" customHeight="1">
      <c r="A1188" s="14">
        <v>25416</v>
      </c>
      <c r="B1188">
        <v>94.18</v>
      </c>
      <c r="C1188" s="3">
        <f t="shared" si="123"/>
        <v>-0.52999999999998693</v>
      </c>
      <c r="D1188" s="3">
        <f t="shared" si="119"/>
        <v>0</v>
      </c>
      <c r="E1188" s="3">
        <f t="shared" si="120"/>
        <v>0.52999999999998693</v>
      </c>
      <c r="F1188" s="3">
        <f t="shared" si="124"/>
        <v>1.1126406801948612</v>
      </c>
      <c r="G1188" s="3">
        <f t="shared" si="124"/>
        <v>1.3368216086595766</v>
      </c>
      <c r="H1188" s="3">
        <f t="shared" si="121"/>
        <v>0.83230303354424351</v>
      </c>
      <c r="I1188" s="3">
        <f t="shared" si="122"/>
        <v>45.423874670682103</v>
      </c>
    </row>
    <row r="1189" spans="1:9" ht="15.75" customHeight="1">
      <c r="A1189" s="14">
        <v>25447</v>
      </c>
      <c r="B1189">
        <v>94.51</v>
      </c>
      <c r="C1189" s="3">
        <f t="shared" si="123"/>
        <v>0.32999999999999829</v>
      </c>
      <c r="D1189" s="3">
        <f t="shared" si="119"/>
        <v>0.32999999999999829</v>
      </c>
      <c r="E1189" s="3">
        <f t="shared" si="120"/>
        <v>0</v>
      </c>
      <c r="F1189" s="3">
        <f t="shared" si="124"/>
        <v>1.0567377744666566</v>
      </c>
      <c r="G1189" s="3">
        <f t="shared" si="124"/>
        <v>1.2413343508981782</v>
      </c>
      <c r="H1189" s="3">
        <f t="shared" si="121"/>
        <v>0.85129181650539587</v>
      </c>
      <c r="I1189" s="3">
        <f t="shared" si="122"/>
        <v>45.983664429108913</v>
      </c>
    </row>
    <row r="1190" spans="1:9" ht="15.75" customHeight="1">
      <c r="A1190" s="14">
        <v>25477</v>
      </c>
      <c r="B1190">
        <v>95.52</v>
      </c>
      <c r="C1190" s="3">
        <f t="shared" si="123"/>
        <v>1.0099999999999909</v>
      </c>
      <c r="D1190" s="3">
        <f t="shared" ref="D1190:D1253" si="125">IF(C1190&gt;0,C1190,0)</f>
        <v>1.0099999999999909</v>
      </c>
      <c r="E1190" s="3">
        <f t="shared" ref="E1190:E1253" si="126">IF(C1190&lt;0,-C1190,0)</f>
        <v>0</v>
      </c>
      <c r="F1190" s="3">
        <f t="shared" si="124"/>
        <v>1.0533993620047519</v>
      </c>
      <c r="G1190" s="3">
        <f t="shared" si="124"/>
        <v>1.1526676115483083</v>
      </c>
      <c r="H1190" s="3">
        <f t="shared" ref="H1190:H1253" si="127">F1190/G1190</f>
        <v>0.91387955335171134</v>
      </c>
      <c r="I1190" s="3">
        <f t="shared" ref="I1190:I1253" si="128">IF(G1190=0,100,100-(100/(1+H1190)))</f>
        <v>47.750107980999402</v>
      </c>
    </row>
    <row r="1191" spans="1:9" ht="15.75" customHeight="1">
      <c r="A1191" s="14">
        <v>25508</v>
      </c>
      <c r="B1191">
        <v>96.21</v>
      </c>
      <c r="C1191" s="3">
        <f t="shared" si="123"/>
        <v>0.68999999999999773</v>
      </c>
      <c r="D1191" s="3">
        <f t="shared" si="125"/>
        <v>0.68999999999999773</v>
      </c>
      <c r="E1191" s="3">
        <f t="shared" si="126"/>
        <v>0</v>
      </c>
      <c r="F1191" s="3">
        <f t="shared" si="124"/>
        <v>1.027442264718698</v>
      </c>
      <c r="G1191" s="3">
        <f t="shared" si="124"/>
        <v>1.0703342107234293</v>
      </c>
      <c r="H1191" s="3">
        <f t="shared" si="127"/>
        <v>0.9599265859438979</v>
      </c>
      <c r="I1191" s="3">
        <f t="shared" si="128"/>
        <v>48.977680737036309</v>
      </c>
    </row>
    <row r="1192" spans="1:9" ht="15.75" customHeight="1">
      <c r="A1192" s="14">
        <v>25538</v>
      </c>
      <c r="B1192">
        <v>91.11</v>
      </c>
      <c r="C1192" s="3">
        <f t="shared" si="123"/>
        <v>-5.0999999999999943</v>
      </c>
      <c r="D1192" s="3">
        <f t="shared" si="125"/>
        <v>0</v>
      </c>
      <c r="E1192" s="3">
        <f t="shared" si="126"/>
        <v>5.0999999999999943</v>
      </c>
      <c r="F1192" s="3">
        <f t="shared" si="124"/>
        <v>0.95405353152450534</v>
      </c>
      <c r="G1192" s="3">
        <f t="shared" si="124"/>
        <v>1.3581674813860409</v>
      </c>
      <c r="H1192" s="3">
        <f t="shared" si="127"/>
        <v>0.70245646770372672</v>
      </c>
      <c r="I1192" s="3">
        <f t="shared" si="128"/>
        <v>41.261346826165834</v>
      </c>
    </row>
    <row r="1193" spans="1:9" ht="15.75" customHeight="1">
      <c r="A1193" s="14">
        <v>25569</v>
      </c>
      <c r="B1193">
        <v>90.31</v>
      </c>
      <c r="C1193" s="3">
        <f t="shared" si="123"/>
        <v>-0.79999999999999716</v>
      </c>
      <c r="D1193" s="3">
        <f t="shared" si="125"/>
        <v>0</v>
      </c>
      <c r="E1193" s="3">
        <f t="shared" si="126"/>
        <v>0.79999999999999716</v>
      </c>
      <c r="F1193" s="3">
        <f t="shared" si="124"/>
        <v>0.88590685070132635</v>
      </c>
      <c r="G1193" s="3">
        <f t="shared" si="124"/>
        <v>1.318298375572752</v>
      </c>
      <c r="H1193" s="3">
        <f t="shared" si="127"/>
        <v>0.67200784520153301</v>
      </c>
      <c r="I1193" s="3">
        <f t="shared" si="128"/>
        <v>40.191668186851928</v>
      </c>
    </row>
    <row r="1194" spans="1:9" ht="15.75" customHeight="1">
      <c r="A1194" s="14">
        <v>25600</v>
      </c>
      <c r="B1194">
        <v>87.16</v>
      </c>
      <c r="C1194" s="3">
        <f t="shared" si="123"/>
        <v>-3.1500000000000057</v>
      </c>
      <c r="D1194" s="3">
        <f t="shared" si="125"/>
        <v>0</v>
      </c>
      <c r="E1194" s="3">
        <f t="shared" si="126"/>
        <v>3.1500000000000057</v>
      </c>
      <c r="F1194" s="3">
        <f t="shared" si="124"/>
        <v>0.82262778993694585</v>
      </c>
      <c r="G1194" s="3">
        <f t="shared" si="124"/>
        <v>1.4491342058889845</v>
      </c>
      <c r="H1194" s="3">
        <f t="shared" si="127"/>
        <v>0.56766846479363686</v>
      </c>
      <c r="I1194" s="3">
        <f t="shared" si="128"/>
        <v>36.211002360653019</v>
      </c>
    </row>
    <row r="1195" spans="1:9" ht="15.75" customHeight="1">
      <c r="A1195" s="14">
        <v>25628</v>
      </c>
      <c r="B1195">
        <v>88.65</v>
      </c>
      <c r="C1195" s="3">
        <f t="shared" ref="C1195:C1258" si="129">B1195-B1194</f>
        <v>1.4900000000000091</v>
      </c>
      <c r="D1195" s="3">
        <f t="shared" si="125"/>
        <v>1.4900000000000091</v>
      </c>
      <c r="E1195" s="3">
        <f t="shared" si="126"/>
        <v>0</v>
      </c>
      <c r="F1195" s="3">
        <f t="shared" si="124"/>
        <v>0.87029723351287891</v>
      </c>
      <c r="G1195" s="3">
        <f t="shared" si="124"/>
        <v>1.3456246197540569</v>
      </c>
      <c r="H1195" s="3">
        <f t="shared" si="127"/>
        <v>0.64676078360690614</v>
      </c>
      <c r="I1195" s="3">
        <f t="shared" si="128"/>
        <v>39.274725876718023</v>
      </c>
    </row>
    <row r="1196" spans="1:9" ht="15.75" customHeight="1">
      <c r="A1196" s="14">
        <v>25659</v>
      </c>
      <c r="B1196">
        <v>85.95</v>
      </c>
      <c r="C1196" s="3">
        <f t="shared" si="129"/>
        <v>-2.7000000000000028</v>
      </c>
      <c r="D1196" s="3">
        <f t="shared" si="125"/>
        <v>0</v>
      </c>
      <c r="E1196" s="3">
        <f t="shared" si="126"/>
        <v>2.7000000000000028</v>
      </c>
      <c r="F1196" s="3">
        <f t="shared" si="124"/>
        <v>0.80813314540481607</v>
      </c>
      <c r="G1196" s="3">
        <f t="shared" si="124"/>
        <v>1.4423657183430529</v>
      </c>
      <c r="H1196" s="3">
        <f t="shared" si="127"/>
        <v>0.560283106515576</v>
      </c>
      <c r="I1196" s="3">
        <f t="shared" si="128"/>
        <v>35.909067026098882</v>
      </c>
    </row>
    <row r="1197" spans="1:9" ht="15.75" customHeight="1">
      <c r="A1197" s="14">
        <v>25689</v>
      </c>
      <c r="B1197">
        <v>76.06</v>
      </c>
      <c r="C1197" s="3">
        <f t="shared" si="129"/>
        <v>-9.89</v>
      </c>
      <c r="D1197" s="3">
        <f t="shared" si="125"/>
        <v>0</v>
      </c>
      <c r="E1197" s="3">
        <f t="shared" si="126"/>
        <v>9.89</v>
      </c>
      <c r="F1197" s="3">
        <f t="shared" si="124"/>
        <v>0.75040934930447201</v>
      </c>
      <c r="G1197" s="3">
        <f t="shared" si="124"/>
        <v>2.0457681670328349</v>
      </c>
      <c r="H1197" s="3">
        <f t="shared" si="127"/>
        <v>0.36681055136020591</v>
      </c>
      <c r="I1197" s="3">
        <f t="shared" si="128"/>
        <v>26.836971004881974</v>
      </c>
    </row>
    <row r="1198" spans="1:9" ht="15.75" customHeight="1">
      <c r="A1198" s="14">
        <v>25720</v>
      </c>
      <c r="B1198">
        <v>75.59</v>
      </c>
      <c r="C1198" s="3">
        <f t="shared" si="129"/>
        <v>-0.46999999999999886</v>
      </c>
      <c r="D1198" s="3">
        <f t="shared" si="125"/>
        <v>0</v>
      </c>
      <c r="E1198" s="3">
        <f t="shared" si="126"/>
        <v>0.46999999999999886</v>
      </c>
      <c r="F1198" s="3">
        <f t="shared" si="124"/>
        <v>0.6968086814970097</v>
      </c>
      <c r="G1198" s="3">
        <f t="shared" si="124"/>
        <v>1.9332132979590608</v>
      </c>
      <c r="H1198" s="3">
        <f t="shared" si="127"/>
        <v>0.36044066230697208</v>
      </c>
      <c r="I1198" s="3">
        <f t="shared" si="128"/>
        <v>26.494405253644317</v>
      </c>
    </row>
    <row r="1199" spans="1:9" ht="15.75" customHeight="1">
      <c r="A1199" s="14">
        <v>25750</v>
      </c>
      <c r="B1199">
        <v>75.72</v>
      </c>
      <c r="C1199" s="3">
        <f t="shared" si="129"/>
        <v>0.12999999999999545</v>
      </c>
      <c r="D1199" s="3">
        <f t="shared" si="125"/>
        <v>0.12999999999999545</v>
      </c>
      <c r="E1199" s="3">
        <f t="shared" si="126"/>
        <v>0</v>
      </c>
      <c r="F1199" s="3">
        <f t="shared" si="124"/>
        <v>0.65632234710436588</v>
      </c>
      <c r="G1199" s="3">
        <f t="shared" si="124"/>
        <v>1.7951266338191281</v>
      </c>
      <c r="H1199" s="3">
        <f t="shared" si="127"/>
        <v>0.36561339726102859</v>
      </c>
      <c r="I1199" s="3">
        <f t="shared" si="128"/>
        <v>26.772833218708087</v>
      </c>
    </row>
    <row r="1200" spans="1:9" ht="15.75" customHeight="1">
      <c r="A1200" s="14">
        <v>25781</v>
      </c>
      <c r="B1200">
        <v>77.92</v>
      </c>
      <c r="C1200" s="3">
        <f t="shared" si="129"/>
        <v>2.2000000000000028</v>
      </c>
      <c r="D1200" s="3">
        <f t="shared" si="125"/>
        <v>2.2000000000000028</v>
      </c>
      <c r="E1200" s="3">
        <f t="shared" si="126"/>
        <v>0</v>
      </c>
      <c r="F1200" s="3">
        <f t="shared" si="124"/>
        <v>0.76658503659691135</v>
      </c>
      <c r="G1200" s="3">
        <f t="shared" si="124"/>
        <v>1.6669033028320475</v>
      </c>
      <c r="H1200" s="3">
        <f t="shared" si="127"/>
        <v>0.45988572660123306</v>
      </c>
      <c r="I1200" s="3">
        <f t="shared" si="128"/>
        <v>31.501487974123506</v>
      </c>
    </row>
    <row r="1201" spans="1:9" ht="15.75" customHeight="1">
      <c r="A1201" s="14">
        <v>25812</v>
      </c>
      <c r="B1201">
        <v>82.58</v>
      </c>
      <c r="C1201" s="3">
        <f t="shared" si="129"/>
        <v>4.6599999999999966</v>
      </c>
      <c r="D1201" s="3">
        <f t="shared" si="125"/>
        <v>4.6599999999999966</v>
      </c>
      <c r="E1201" s="3">
        <f t="shared" si="126"/>
        <v>0</v>
      </c>
      <c r="F1201" s="3">
        <f t="shared" si="124"/>
        <v>1.0446861054114174</v>
      </c>
      <c r="G1201" s="3">
        <f t="shared" si="124"/>
        <v>1.5478387812011871</v>
      </c>
      <c r="H1201" s="3">
        <f t="shared" si="127"/>
        <v>0.67493211702623035</v>
      </c>
      <c r="I1201" s="3">
        <f t="shared" si="128"/>
        <v>40.296087833371011</v>
      </c>
    </row>
    <row r="1202" spans="1:9" ht="15.75" customHeight="1">
      <c r="A1202" s="14">
        <v>25842</v>
      </c>
      <c r="B1202">
        <v>84.37</v>
      </c>
      <c r="C1202" s="3">
        <f t="shared" si="129"/>
        <v>1.7900000000000063</v>
      </c>
      <c r="D1202" s="3">
        <f t="shared" si="125"/>
        <v>1.7900000000000063</v>
      </c>
      <c r="E1202" s="3">
        <f t="shared" si="126"/>
        <v>0</v>
      </c>
      <c r="F1202" s="3">
        <f t="shared" si="124"/>
        <v>1.0979228121677451</v>
      </c>
      <c r="G1202" s="3">
        <f t="shared" si="124"/>
        <v>1.4372788682582451</v>
      </c>
      <c r="H1202" s="3">
        <f t="shared" si="127"/>
        <v>0.76388990085010722</v>
      </c>
      <c r="I1202" s="3">
        <f t="shared" si="128"/>
        <v>43.307119139462742</v>
      </c>
    </row>
    <row r="1203" spans="1:9" ht="15.75" customHeight="1">
      <c r="A1203" s="14">
        <v>25873</v>
      </c>
      <c r="B1203">
        <v>84.28</v>
      </c>
      <c r="C1203" s="3">
        <f t="shared" si="129"/>
        <v>-9.0000000000003411E-2</v>
      </c>
      <c r="D1203" s="3">
        <f t="shared" si="125"/>
        <v>0</v>
      </c>
      <c r="E1203" s="3">
        <f t="shared" si="126"/>
        <v>9.0000000000003411E-2</v>
      </c>
      <c r="F1203" s="3">
        <f t="shared" si="124"/>
        <v>1.0194997541557633</v>
      </c>
      <c r="G1203" s="3">
        <f t="shared" si="124"/>
        <v>1.3410446633826563</v>
      </c>
      <c r="H1203" s="3">
        <f t="shared" si="127"/>
        <v>0.76022803862786581</v>
      </c>
      <c r="I1203" s="3">
        <f t="shared" si="128"/>
        <v>43.189179012310213</v>
      </c>
    </row>
    <row r="1204" spans="1:9" ht="15.75" customHeight="1">
      <c r="A1204" s="14">
        <v>25903</v>
      </c>
      <c r="B1204">
        <v>90.05</v>
      </c>
      <c r="C1204" s="3">
        <f t="shared" si="129"/>
        <v>5.769999999999996</v>
      </c>
      <c r="D1204" s="3">
        <f t="shared" si="125"/>
        <v>5.769999999999996</v>
      </c>
      <c r="E1204" s="3">
        <f t="shared" si="126"/>
        <v>0</v>
      </c>
      <c r="F1204" s="3">
        <f t="shared" si="124"/>
        <v>1.3588212002874942</v>
      </c>
      <c r="G1204" s="3">
        <f t="shared" si="124"/>
        <v>1.2452557588553237</v>
      </c>
      <c r="H1204" s="3">
        <f t="shared" si="127"/>
        <v>1.0911984872381264</v>
      </c>
      <c r="I1204" s="3">
        <f t="shared" si="128"/>
        <v>52.180531589772087</v>
      </c>
    </row>
    <row r="1205" spans="1:9" ht="15.75" customHeight="1">
      <c r="A1205" s="14">
        <v>25934</v>
      </c>
      <c r="B1205">
        <v>93.49</v>
      </c>
      <c r="C1205" s="3">
        <f t="shared" si="129"/>
        <v>3.4399999999999977</v>
      </c>
      <c r="D1205" s="3">
        <f t="shared" si="125"/>
        <v>3.4399999999999977</v>
      </c>
      <c r="E1205" s="3">
        <f t="shared" si="126"/>
        <v>0</v>
      </c>
      <c r="F1205" s="3">
        <f t="shared" si="124"/>
        <v>1.5074768288383873</v>
      </c>
      <c r="G1205" s="3">
        <f t="shared" si="124"/>
        <v>1.1563089189370861</v>
      </c>
      <c r="H1205" s="3">
        <f t="shared" si="127"/>
        <v>1.3036973114624986</v>
      </c>
      <c r="I1205" s="3">
        <f t="shared" si="128"/>
        <v>56.591519422959628</v>
      </c>
    </row>
    <row r="1206" spans="1:9" ht="15.75" customHeight="1">
      <c r="A1206" s="14">
        <v>25965</v>
      </c>
      <c r="B1206">
        <v>97.11</v>
      </c>
      <c r="C1206" s="3">
        <f t="shared" si="129"/>
        <v>3.6200000000000045</v>
      </c>
      <c r="D1206" s="3">
        <f t="shared" si="125"/>
        <v>3.6200000000000045</v>
      </c>
      <c r="E1206" s="3">
        <f t="shared" si="126"/>
        <v>0</v>
      </c>
      <c r="F1206" s="3">
        <f t="shared" si="124"/>
        <v>1.6583713410642171</v>
      </c>
      <c r="G1206" s="3">
        <f t="shared" si="124"/>
        <v>1.0737154247272942</v>
      </c>
      <c r="H1206" s="3">
        <f t="shared" si="127"/>
        <v>1.5445166408831426</v>
      </c>
      <c r="I1206" s="3">
        <f t="shared" si="128"/>
        <v>60.699805065809151</v>
      </c>
    </row>
    <row r="1207" spans="1:9" ht="15.75" customHeight="1">
      <c r="A1207" s="14">
        <v>25993</v>
      </c>
      <c r="B1207">
        <v>99.6</v>
      </c>
      <c r="C1207" s="3">
        <f t="shared" si="129"/>
        <v>2.4899999999999949</v>
      </c>
      <c r="D1207" s="3">
        <f t="shared" si="125"/>
        <v>2.4899999999999949</v>
      </c>
      <c r="E1207" s="3">
        <f t="shared" si="126"/>
        <v>0</v>
      </c>
      <c r="F1207" s="3">
        <f t="shared" si="124"/>
        <v>1.7177733881310584</v>
      </c>
      <c r="G1207" s="3">
        <f t="shared" si="124"/>
        <v>0.99702146581820172</v>
      </c>
      <c r="H1207" s="3">
        <f t="shared" si="127"/>
        <v>1.7229051199227436</v>
      </c>
      <c r="I1207" s="3">
        <f t="shared" si="128"/>
        <v>63.274519090537652</v>
      </c>
    </row>
    <row r="1208" spans="1:9" ht="15.75" customHeight="1">
      <c r="A1208" s="14">
        <v>26024</v>
      </c>
      <c r="B1208">
        <v>103</v>
      </c>
      <c r="C1208" s="3">
        <f t="shared" si="129"/>
        <v>3.4000000000000057</v>
      </c>
      <c r="D1208" s="3">
        <f t="shared" si="125"/>
        <v>3.4000000000000057</v>
      </c>
      <c r="E1208" s="3">
        <f t="shared" si="126"/>
        <v>0</v>
      </c>
      <c r="F1208" s="3">
        <f t="shared" si="124"/>
        <v>1.8379324318359831</v>
      </c>
      <c r="G1208" s="3">
        <f t="shared" si="124"/>
        <v>0.92580564683118727</v>
      </c>
      <c r="H1208" s="3">
        <f t="shared" si="127"/>
        <v>1.9852249099222812</v>
      </c>
      <c r="I1208" s="3">
        <f t="shared" si="128"/>
        <v>66.501686466697933</v>
      </c>
    </row>
    <row r="1209" spans="1:9" ht="15.75" customHeight="1">
      <c r="A1209" s="14">
        <v>26054</v>
      </c>
      <c r="B1209">
        <v>101.6</v>
      </c>
      <c r="C1209" s="3">
        <f t="shared" si="129"/>
        <v>-1.4000000000000057</v>
      </c>
      <c r="D1209" s="3">
        <f t="shared" si="125"/>
        <v>0</v>
      </c>
      <c r="E1209" s="3">
        <f t="shared" si="126"/>
        <v>1.4000000000000057</v>
      </c>
      <c r="F1209" s="3">
        <f t="shared" si="124"/>
        <v>1.7066515438476986</v>
      </c>
      <c r="G1209" s="3">
        <f t="shared" si="124"/>
        <v>0.95967667205753138</v>
      </c>
      <c r="H1209" s="3">
        <f t="shared" si="127"/>
        <v>1.7783609767117345</v>
      </c>
      <c r="I1209" s="3">
        <f t="shared" si="128"/>
        <v>64.007556671648658</v>
      </c>
    </row>
    <row r="1210" spans="1:9" ht="15.75" customHeight="1">
      <c r="A1210" s="14">
        <v>26085</v>
      </c>
      <c r="B1210">
        <v>99.72</v>
      </c>
      <c r="C1210" s="3">
        <f t="shared" si="129"/>
        <v>-1.8799999999999955</v>
      </c>
      <c r="D1210" s="3">
        <f t="shared" si="125"/>
        <v>0</v>
      </c>
      <c r="E1210" s="3">
        <f t="shared" si="126"/>
        <v>1.8799999999999955</v>
      </c>
      <c r="F1210" s="3">
        <f t="shared" si="124"/>
        <v>1.5847478621442916</v>
      </c>
      <c r="G1210" s="3">
        <f t="shared" si="124"/>
        <v>1.0254140526248503</v>
      </c>
      <c r="H1210" s="3">
        <f t="shared" si="127"/>
        <v>1.5454711763386324</v>
      </c>
      <c r="I1210" s="3">
        <f t="shared" si="128"/>
        <v>60.714542388243231</v>
      </c>
    </row>
    <row r="1211" spans="1:9" ht="15.75" customHeight="1">
      <c r="A1211" s="14">
        <v>26115</v>
      </c>
      <c r="B1211">
        <v>99</v>
      </c>
      <c r="C1211" s="3">
        <f t="shared" si="129"/>
        <v>-0.71999999999999886</v>
      </c>
      <c r="D1211" s="3">
        <f t="shared" si="125"/>
        <v>0</v>
      </c>
      <c r="E1211" s="3">
        <f t="shared" si="126"/>
        <v>0.71999999999999886</v>
      </c>
      <c r="F1211" s="3">
        <f t="shared" si="124"/>
        <v>1.4715515862768422</v>
      </c>
      <c r="G1211" s="3">
        <f t="shared" si="124"/>
        <v>1.0035987631516465</v>
      </c>
      <c r="H1211" s="3">
        <f t="shared" si="127"/>
        <v>1.4662748105185606</v>
      </c>
      <c r="I1211" s="3">
        <f t="shared" si="128"/>
        <v>59.453018141569579</v>
      </c>
    </row>
    <row r="1212" spans="1:9" ht="15.75" customHeight="1">
      <c r="A1212" s="14">
        <v>26146</v>
      </c>
      <c r="B1212">
        <v>97.24</v>
      </c>
      <c r="C1212" s="3">
        <f t="shared" si="129"/>
        <v>-1.7600000000000051</v>
      </c>
      <c r="D1212" s="3">
        <f t="shared" si="125"/>
        <v>0</v>
      </c>
      <c r="E1212" s="3">
        <f t="shared" si="126"/>
        <v>1.7600000000000051</v>
      </c>
      <c r="F1212" s="3">
        <f t="shared" si="124"/>
        <v>1.3664407586856393</v>
      </c>
      <c r="G1212" s="3">
        <f t="shared" si="124"/>
        <v>1.0576274229265292</v>
      </c>
      <c r="H1212" s="3">
        <f t="shared" si="127"/>
        <v>1.2919868841000755</v>
      </c>
      <c r="I1212" s="3">
        <f t="shared" si="128"/>
        <v>56.369732875123347</v>
      </c>
    </row>
    <row r="1213" spans="1:9" ht="15.75" customHeight="1">
      <c r="A1213" s="14">
        <v>26177</v>
      </c>
      <c r="B1213">
        <v>99.4</v>
      </c>
      <c r="C1213" s="3">
        <f t="shared" si="129"/>
        <v>2.1600000000000108</v>
      </c>
      <c r="D1213" s="3">
        <f t="shared" si="125"/>
        <v>2.1600000000000108</v>
      </c>
      <c r="E1213" s="3">
        <f t="shared" si="126"/>
        <v>0</v>
      </c>
      <c r="F1213" s="3">
        <f t="shared" si="124"/>
        <v>1.423123561636666</v>
      </c>
      <c r="G1213" s="3">
        <f t="shared" si="124"/>
        <v>0.98208260700320571</v>
      </c>
      <c r="H1213" s="3">
        <f t="shared" si="127"/>
        <v>1.4490874306177592</v>
      </c>
      <c r="I1213" s="3">
        <f t="shared" si="128"/>
        <v>59.168464649391488</v>
      </c>
    </row>
    <row r="1214" spans="1:9" ht="15.75" customHeight="1">
      <c r="A1214" s="14">
        <v>26207</v>
      </c>
      <c r="B1214">
        <v>97.29</v>
      </c>
      <c r="C1214" s="3">
        <f t="shared" si="129"/>
        <v>-2.1099999999999994</v>
      </c>
      <c r="D1214" s="3">
        <f t="shared" si="125"/>
        <v>0</v>
      </c>
      <c r="E1214" s="3">
        <f t="shared" si="126"/>
        <v>2.1099999999999994</v>
      </c>
      <c r="F1214" s="3">
        <f t="shared" si="124"/>
        <v>1.3214718786626185</v>
      </c>
      <c r="G1214" s="3">
        <f t="shared" si="124"/>
        <v>1.0626481350744053</v>
      </c>
      <c r="H1214" s="3">
        <f t="shared" si="127"/>
        <v>1.2435648593784909</v>
      </c>
      <c r="I1214" s="3">
        <f t="shared" si="128"/>
        <v>55.428077070300589</v>
      </c>
    </row>
    <row r="1215" spans="1:9" ht="15.75" customHeight="1">
      <c r="A1215" s="14">
        <v>26238</v>
      </c>
      <c r="B1215">
        <v>92.78</v>
      </c>
      <c r="C1215" s="3">
        <f t="shared" si="129"/>
        <v>-4.5100000000000051</v>
      </c>
      <c r="D1215" s="3">
        <f t="shared" si="125"/>
        <v>0</v>
      </c>
      <c r="E1215" s="3">
        <f t="shared" si="126"/>
        <v>4.5100000000000051</v>
      </c>
      <c r="F1215" s="3">
        <f t="shared" si="124"/>
        <v>1.2270810301867172</v>
      </c>
      <c r="G1215" s="3">
        <f t="shared" si="124"/>
        <v>1.3088875539976623</v>
      </c>
      <c r="H1215" s="3">
        <f t="shared" si="127"/>
        <v>0.93749919650386471</v>
      </c>
      <c r="I1215" s="3">
        <f t="shared" si="128"/>
        <v>48.38707536991717</v>
      </c>
    </row>
    <row r="1216" spans="1:9" ht="15.75" customHeight="1">
      <c r="A1216" s="14">
        <v>26268</v>
      </c>
      <c r="B1216">
        <v>99.17</v>
      </c>
      <c r="C1216" s="3">
        <f t="shared" si="129"/>
        <v>6.3900000000000006</v>
      </c>
      <c r="D1216" s="3">
        <f t="shared" si="125"/>
        <v>6.3900000000000006</v>
      </c>
      <c r="E1216" s="3">
        <f t="shared" si="126"/>
        <v>0</v>
      </c>
      <c r="F1216" s="3">
        <f t="shared" si="124"/>
        <v>1.5958609566019517</v>
      </c>
      <c r="G1216" s="3">
        <f t="shared" si="124"/>
        <v>1.2153955858549723</v>
      </c>
      <c r="H1216" s="3">
        <f t="shared" si="127"/>
        <v>1.3130383022407806</v>
      </c>
      <c r="I1216" s="3">
        <f t="shared" si="128"/>
        <v>56.766820548054078</v>
      </c>
    </row>
    <row r="1217" spans="1:9" ht="15.75" customHeight="1">
      <c r="A1217" s="14">
        <v>26299</v>
      </c>
      <c r="B1217">
        <v>103.3</v>
      </c>
      <c r="C1217" s="3">
        <f t="shared" si="129"/>
        <v>4.1299999999999955</v>
      </c>
      <c r="D1217" s="3">
        <f t="shared" si="125"/>
        <v>4.1299999999999955</v>
      </c>
      <c r="E1217" s="3">
        <f t="shared" si="126"/>
        <v>0</v>
      </c>
      <c r="F1217" s="3">
        <f t="shared" si="124"/>
        <v>1.7768708882732405</v>
      </c>
      <c r="G1217" s="3">
        <f t="shared" si="124"/>
        <v>1.1285816154367601</v>
      </c>
      <c r="H1217" s="3">
        <f t="shared" si="127"/>
        <v>1.5744283479095953</v>
      </c>
      <c r="I1217" s="3">
        <f t="shared" si="128"/>
        <v>61.156425238558775</v>
      </c>
    </row>
    <row r="1218" spans="1:9" ht="15.75" customHeight="1">
      <c r="A1218" s="14">
        <v>26330</v>
      </c>
      <c r="B1218">
        <v>105.2</v>
      </c>
      <c r="C1218" s="3">
        <f t="shared" si="129"/>
        <v>1.9000000000000057</v>
      </c>
      <c r="D1218" s="3">
        <f t="shared" si="125"/>
        <v>1.9000000000000057</v>
      </c>
      <c r="E1218" s="3">
        <f t="shared" si="126"/>
        <v>0</v>
      </c>
      <c r="F1218" s="3">
        <f t="shared" si="124"/>
        <v>1.7856658248251522</v>
      </c>
      <c r="G1218" s="3">
        <f t="shared" si="124"/>
        <v>1.047968642905563</v>
      </c>
      <c r="H1218" s="3">
        <f t="shared" si="127"/>
        <v>1.703930586963246</v>
      </c>
      <c r="I1218" s="3">
        <f t="shared" si="128"/>
        <v>63.016802102043279</v>
      </c>
    </row>
    <row r="1219" spans="1:9" ht="15.75" customHeight="1">
      <c r="A1219" s="14">
        <v>26359</v>
      </c>
      <c r="B1219">
        <v>107.7</v>
      </c>
      <c r="C1219" s="3">
        <f t="shared" si="129"/>
        <v>2.5</v>
      </c>
      <c r="D1219" s="3">
        <f t="shared" si="125"/>
        <v>2.5</v>
      </c>
      <c r="E1219" s="3">
        <f t="shared" si="126"/>
        <v>0</v>
      </c>
      <c r="F1219" s="3">
        <f t="shared" si="124"/>
        <v>1.8366896944804985</v>
      </c>
      <c r="G1219" s="3">
        <f t="shared" si="124"/>
        <v>0.9731137398408799</v>
      </c>
      <c r="H1219" s="3">
        <f t="shared" si="127"/>
        <v>1.8874357840028313</v>
      </c>
      <c r="I1219" s="3">
        <f t="shared" si="128"/>
        <v>65.367195158407739</v>
      </c>
    </row>
    <row r="1220" spans="1:9" ht="15.75" customHeight="1">
      <c r="A1220" s="14">
        <v>26390</v>
      </c>
      <c r="B1220">
        <v>108.8</v>
      </c>
      <c r="C1220" s="3">
        <f t="shared" si="129"/>
        <v>1.0999999999999943</v>
      </c>
      <c r="D1220" s="3">
        <f t="shared" si="125"/>
        <v>1.0999999999999943</v>
      </c>
      <c r="E1220" s="3">
        <f t="shared" si="126"/>
        <v>0</v>
      </c>
      <c r="F1220" s="3">
        <f t="shared" si="124"/>
        <v>1.7840690020176051</v>
      </c>
      <c r="G1220" s="3">
        <f t="shared" si="124"/>
        <v>0.90360561556653141</v>
      </c>
      <c r="H1220" s="3">
        <f t="shared" si="127"/>
        <v>1.9743890158308188</v>
      </c>
      <c r="I1220" s="3">
        <f t="shared" si="128"/>
        <v>66.379649915407043</v>
      </c>
    </row>
    <row r="1221" spans="1:9" ht="15.75" customHeight="1">
      <c r="A1221" s="14">
        <v>26420</v>
      </c>
      <c r="B1221">
        <v>107.7</v>
      </c>
      <c r="C1221" s="3">
        <f t="shared" si="129"/>
        <v>-1.0999999999999943</v>
      </c>
      <c r="D1221" s="3">
        <f t="shared" si="125"/>
        <v>0</v>
      </c>
      <c r="E1221" s="3">
        <f t="shared" si="126"/>
        <v>1.0999999999999943</v>
      </c>
      <c r="F1221" s="3">
        <f t="shared" si="124"/>
        <v>1.6566355018734904</v>
      </c>
      <c r="G1221" s="3">
        <f t="shared" si="124"/>
        <v>0.91763378588320743</v>
      </c>
      <c r="H1221" s="3">
        <f t="shared" si="127"/>
        <v>1.8053340312432</v>
      </c>
      <c r="I1221" s="3">
        <f t="shared" si="128"/>
        <v>64.35362103539434</v>
      </c>
    </row>
    <row r="1222" spans="1:9" ht="15.75" customHeight="1">
      <c r="A1222" s="14">
        <v>26451</v>
      </c>
      <c r="B1222">
        <v>108</v>
      </c>
      <c r="C1222" s="3">
        <f t="shared" si="129"/>
        <v>0.29999999999999716</v>
      </c>
      <c r="D1222" s="3">
        <f t="shared" si="125"/>
        <v>0.29999999999999716</v>
      </c>
      <c r="E1222" s="3">
        <f t="shared" si="126"/>
        <v>0</v>
      </c>
      <c r="F1222" s="3">
        <f t="shared" si="124"/>
        <v>1.5597329660253838</v>
      </c>
      <c r="G1222" s="3">
        <f t="shared" si="124"/>
        <v>0.85208851546297837</v>
      </c>
      <c r="H1222" s="3">
        <f t="shared" si="127"/>
        <v>1.8304823239847448</v>
      </c>
      <c r="I1222" s="3">
        <f t="shared" si="128"/>
        <v>64.670332277779323</v>
      </c>
    </row>
    <row r="1223" spans="1:9" ht="15.75" customHeight="1">
      <c r="A1223" s="14">
        <v>26481</v>
      </c>
      <c r="B1223">
        <v>107.2</v>
      </c>
      <c r="C1223" s="3">
        <f t="shared" si="129"/>
        <v>-0.79999999999999716</v>
      </c>
      <c r="D1223" s="3">
        <f t="shared" si="125"/>
        <v>0</v>
      </c>
      <c r="E1223" s="3">
        <f t="shared" si="126"/>
        <v>0.79999999999999716</v>
      </c>
      <c r="F1223" s="3">
        <f t="shared" si="124"/>
        <v>1.448323468452142</v>
      </c>
      <c r="G1223" s="3">
        <f t="shared" si="124"/>
        <v>0.8483679072156225</v>
      </c>
      <c r="H1223" s="3">
        <f t="shared" si="127"/>
        <v>1.7071879501024476</v>
      </c>
      <c r="I1223" s="3">
        <f t="shared" si="128"/>
        <v>63.061301304840796</v>
      </c>
    </row>
    <row r="1224" spans="1:9" ht="15.75" customHeight="1">
      <c r="A1224" s="14">
        <v>26512</v>
      </c>
      <c r="B1224">
        <v>111</v>
      </c>
      <c r="C1224" s="3">
        <f t="shared" si="129"/>
        <v>3.7999999999999972</v>
      </c>
      <c r="D1224" s="3">
        <f t="shared" si="125"/>
        <v>3.7999999999999972</v>
      </c>
      <c r="E1224" s="3">
        <f t="shared" si="126"/>
        <v>0</v>
      </c>
      <c r="F1224" s="3">
        <f t="shared" si="124"/>
        <v>1.6163003635627029</v>
      </c>
      <c r="G1224" s="3">
        <f t="shared" si="124"/>
        <v>0.78777019955736372</v>
      </c>
      <c r="H1224" s="3">
        <f t="shared" si="127"/>
        <v>2.0517409321536633</v>
      </c>
      <c r="I1224" s="3">
        <f t="shared" si="128"/>
        <v>67.231818747658778</v>
      </c>
    </row>
    <row r="1225" spans="1:9" ht="15.75" customHeight="1">
      <c r="A1225" s="14">
        <v>26543</v>
      </c>
      <c r="B1225">
        <v>109.4</v>
      </c>
      <c r="C1225" s="3">
        <f t="shared" si="129"/>
        <v>-1.5999999999999943</v>
      </c>
      <c r="D1225" s="3">
        <f t="shared" si="125"/>
        <v>0</v>
      </c>
      <c r="E1225" s="3">
        <f t="shared" si="126"/>
        <v>1.5999999999999943</v>
      </c>
      <c r="F1225" s="3">
        <f t="shared" si="124"/>
        <v>1.5008503375939384</v>
      </c>
      <c r="G1225" s="3">
        <f t="shared" si="124"/>
        <v>0.84578661387469445</v>
      </c>
      <c r="H1225" s="3">
        <f t="shared" si="127"/>
        <v>1.7745023543447727</v>
      </c>
      <c r="I1225" s="3">
        <f t="shared" si="128"/>
        <v>63.957500398799972</v>
      </c>
    </row>
    <row r="1226" spans="1:9" ht="15.75" customHeight="1">
      <c r="A1226" s="14">
        <v>26573</v>
      </c>
      <c r="B1226">
        <v>109.6</v>
      </c>
      <c r="C1226" s="3">
        <f t="shared" si="129"/>
        <v>0.19999999999998863</v>
      </c>
      <c r="D1226" s="3">
        <f t="shared" si="125"/>
        <v>0.19999999999998863</v>
      </c>
      <c r="E1226" s="3">
        <f t="shared" si="126"/>
        <v>0</v>
      </c>
      <c r="F1226" s="3">
        <f t="shared" si="124"/>
        <v>1.4079324563372277</v>
      </c>
      <c r="G1226" s="3">
        <f t="shared" si="124"/>
        <v>0.78537328431221631</v>
      </c>
      <c r="H1226" s="3">
        <f t="shared" si="127"/>
        <v>1.7926920668942949</v>
      </c>
      <c r="I1226" s="3">
        <f t="shared" si="128"/>
        <v>64.192256931782566</v>
      </c>
    </row>
    <row r="1227" spans="1:9" ht="15.75" customHeight="1">
      <c r="A1227" s="14">
        <v>26604</v>
      </c>
      <c r="B1227">
        <v>115.1</v>
      </c>
      <c r="C1227" s="3">
        <f t="shared" si="129"/>
        <v>5.5</v>
      </c>
      <c r="D1227" s="3">
        <f t="shared" si="125"/>
        <v>5.5</v>
      </c>
      <c r="E1227" s="3">
        <f t="shared" si="126"/>
        <v>0</v>
      </c>
      <c r="F1227" s="3">
        <f t="shared" si="124"/>
        <v>1.7002229951702827</v>
      </c>
      <c r="G1227" s="3">
        <f t="shared" si="124"/>
        <v>0.72927519257562945</v>
      </c>
      <c r="H1227" s="3">
        <f t="shared" si="127"/>
        <v>2.3313874000917165</v>
      </c>
      <c r="I1227" s="3">
        <f t="shared" si="128"/>
        <v>69.982476370881727</v>
      </c>
    </row>
    <row r="1228" spans="1:9" ht="15.75" customHeight="1">
      <c r="A1228" s="14">
        <v>26634</v>
      </c>
      <c r="B1228">
        <v>117.5</v>
      </c>
      <c r="C1228" s="3">
        <f t="shared" si="129"/>
        <v>2.4000000000000057</v>
      </c>
      <c r="D1228" s="3">
        <f t="shared" si="125"/>
        <v>2.4000000000000057</v>
      </c>
      <c r="E1228" s="3">
        <f t="shared" si="126"/>
        <v>0</v>
      </c>
      <c r="F1228" s="3">
        <f t="shared" si="124"/>
        <v>1.7502070669438345</v>
      </c>
      <c r="G1228" s="3">
        <f t="shared" si="124"/>
        <v>0.67718410739165591</v>
      </c>
      <c r="H1228" s="3">
        <f t="shared" si="127"/>
        <v>2.5845365356921843</v>
      </c>
      <c r="I1228" s="3">
        <f t="shared" si="128"/>
        <v>72.102390642619099</v>
      </c>
    </row>
    <row r="1229" spans="1:9" ht="15.75" customHeight="1">
      <c r="A1229" s="14">
        <v>26665</v>
      </c>
      <c r="B1229">
        <v>118.4</v>
      </c>
      <c r="C1229" s="3">
        <f t="shared" si="129"/>
        <v>0.90000000000000568</v>
      </c>
      <c r="D1229" s="3">
        <f t="shared" si="125"/>
        <v>0.90000000000000568</v>
      </c>
      <c r="E1229" s="3">
        <f t="shared" si="126"/>
        <v>0</v>
      </c>
      <c r="F1229" s="3">
        <f t="shared" si="124"/>
        <v>1.6894779907335611</v>
      </c>
      <c r="G1229" s="3">
        <f t="shared" si="124"/>
        <v>0.62881381400653769</v>
      </c>
      <c r="H1229" s="3">
        <f t="shared" si="127"/>
        <v>2.6867698404539118</v>
      </c>
      <c r="I1229" s="3">
        <f t="shared" si="128"/>
        <v>72.875985123148325</v>
      </c>
    </row>
    <row r="1230" spans="1:9" ht="15.75" customHeight="1">
      <c r="A1230" s="14">
        <v>26696</v>
      </c>
      <c r="B1230">
        <v>114.2</v>
      </c>
      <c r="C1230" s="3">
        <f t="shared" si="129"/>
        <v>-4.2000000000000028</v>
      </c>
      <c r="D1230" s="3">
        <f t="shared" si="125"/>
        <v>0</v>
      </c>
      <c r="E1230" s="3">
        <f t="shared" si="126"/>
        <v>4.2000000000000028</v>
      </c>
      <c r="F1230" s="3">
        <f t="shared" si="124"/>
        <v>1.5688009913954495</v>
      </c>
      <c r="G1230" s="3">
        <f t="shared" si="124"/>
        <v>0.88389854157749947</v>
      </c>
      <c r="H1230" s="3">
        <f t="shared" si="127"/>
        <v>1.7748654597795808</v>
      </c>
      <c r="I1230" s="3">
        <f t="shared" si="128"/>
        <v>63.962216745476582</v>
      </c>
    </row>
    <row r="1231" spans="1:9" ht="15.75" customHeight="1">
      <c r="A1231" s="14">
        <v>26724</v>
      </c>
      <c r="B1231">
        <v>112.4</v>
      </c>
      <c r="C1231" s="3">
        <f t="shared" si="129"/>
        <v>-1.7999999999999972</v>
      </c>
      <c r="D1231" s="3">
        <f t="shared" si="125"/>
        <v>0</v>
      </c>
      <c r="E1231" s="3">
        <f t="shared" si="126"/>
        <v>1.7999999999999972</v>
      </c>
      <c r="F1231" s="3">
        <f t="shared" si="124"/>
        <v>1.4567437777243459</v>
      </c>
      <c r="G1231" s="3">
        <f t="shared" si="124"/>
        <v>0.94933436003624927</v>
      </c>
      <c r="H1231" s="3">
        <f t="shared" si="127"/>
        <v>1.5344896793461913</v>
      </c>
      <c r="I1231" s="3">
        <f t="shared" si="128"/>
        <v>60.544325425780997</v>
      </c>
    </row>
    <row r="1232" spans="1:9" ht="15.75" customHeight="1">
      <c r="A1232" s="14">
        <v>26755</v>
      </c>
      <c r="B1232">
        <v>110.3</v>
      </c>
      <c r="C1232" s="3">
        <f t="shared" si="129"/>
        <v>-2.1000000000000085</v>
      </c>
      <c r="D1232" s="3">
        <f t="shared" si="125"/>
        <v>0</v>
      </c>
      <c r="E1232" s="3">
        <f t="shared" si="126"/>
        <v>2.1000000000000085</v>
      </c>
      <c r="F1232" s="3">
        <f t="shared" si="124"/>
        <v>1.3526906507440355</v>
      </c>
      <c r="G1232" s="3">
        <f t="shared" si="124"/>
        <v>1.0315247628908035</v>
      </c>
      <c r="H1232" s="3">
        <f t="shared" si="127"/>
        <v>1.311350632972861</v>
      </c>
      <c r="I1232" s="3">
        <f t="shared" si="128"/>
        <v>56.735253157423401</v>
      </c>
    </row>
    <row r="1233" spans="1:9" ht="15.75" customHeight="1">
      <c r="A1233" s="14">
        <v>26785</v>
      </c>
      <c r="B1233">
        <v>107.2</v>
      </c>
      <c r="C1233" s="3">
        <f t="shared" si="129"/>
        <v>-3.0999999999999943</v>
      </c>
      <c r="D1233" s="3">
        <f t="shared" si="125"/>
        <v>0</v>
      </c>
      <c r="E1233" s="3">
        <f t="shared" si="126"/>
        <v>3.0999999999999943</v>
      </c>
      <c r="F1233" s="3">
        <f t="shared" si="124"/>
        <v>1.2560698899766045</v>
      </c>
      <c r="G1233" s="3">
        <f t="shared" si="124"/>
        <v>1.1792729941128886</v>
      </c>
      <c r="H1233" s="3">
        <f t="shared" si="127"/>
        <v>1.0651222373844715</v>
      </c>
      <c r="I1233" s="3">
        <f t="shared" si="128"/>
        <v>51.57671628840118</v>
      </c>
    </row>
    <row r="1234" spans="1:9" ht="15.75" customHeight="1">
      <c r="A1234" s="14">
        <v>26816</v>
      </c>
      <c r="B1234">
        <v>104.8</v>
      </c>
      <c r="C1234" s="3">
        <f t="shared" si="129"/>
        <v>-2.4000000000000057</v>
      </c>
      <c r="D1234" s="3">
        <f t="shared" si="125"/>
        <v>0</v>
      </c>
      <c r="E1234" s="3">
        <f t="shared" si="126"/>
        <v>2.4000000000000057</v>
      </c>
      <c r="F1234" s="3">
        <f t="shared" ref="F1234:G1297" si="130">((F1233*13)+D1234)/14</f>
        <v>1.1663506121211327</v>
      </c>
      <c r="G1234" s="3">
        <f t="shared" si="130"/>
        <v>1.2664677802476827</v>
      </c>
      <c r="H1234" s="3">
        <f t="shared" si="127"/>
        <v>0.92094771798539543</v>
      </c>
      <c r="I1234" s="3">
        <f t="shared" si="128"/>
        <v>47.942362478831257</v>
      </c>
    </row>
    <row r="1235" spans="1:9" ht="15.75" customHeight="1">
      <c r="A1235" s="14">
        <v>26846</v>
      </c>
      <c r="B1235">
        <v>105.8</v>
      </c>
      <c r="C1235" s="3">
        <f t="shared" si="129"/>
        <v>1</v>
      </c>
      <c r="D1235" s="3">
        <f t="shared" si="125"/>
        <v>1</v>
      </c>
      <c r="E1235" s="3">
        <f t="shared" si="126"/>
        <v>0</v>
      </c>
      <c r="F1235" s="3">
        <f t="shared" si="130"/>
        <v>1.154468425541052</v>
      </c>
      <c r="G1235" s="3">
        <f t="shared" si="130"/>
        <v>1.1760057959442769</v>
      </c>
      <c r="H1235" s="3">
        <f t="shared" si="127"/>
        <v>0.98168599978205773</v>
      </c>
      <c r="I1235" s="3">
        <f t="shared" si="128"/>
        <v>49.537918716185196</v>
      </c>
    </row>
    <row r="1236" spans="1:9" ht="15.75" customHeight="1">
      <c r="A1236" s="14">
        <v>26877</v>
      </c>
      <c r="B1236">
        <v>103.8</v>
      </c>
      <c r="C1236" s="3">
        <f t="shared" si="129"/>
        <v>-2</v>
      </c>
      <c r="D1236" s="3">
        <f t="shared" si="125"/>
        <v>0</v>
      </c>
      <c r="E1236" s="3">
        <f t="shared" si="126"/>
        <v>2</v>
      </c>
      <c r="F1236" s="3">
        <f t="shared" si="130"/>
        <v>1.0720063951452625</v>
      </c>
      <c r="G1236" s="3">
        <f t="shared" si="130"/>
        <v>1.2348625248054002</v>
      </c>
      <c r="H1236" s="3">
        <f t="shared" si="127"/>
        <v>0.86811800796546013</v>
      </c>
      <c r="I1236" s="3">
        <f t="shared" si="128"/>
        <v>46.470191083427046</v>
      </c>
    </row>
    <row r="1237" spans="1:9" ht="15.75" customHeight="1">
      <c r="A1237" s="14">
        <v>26908</v>
      </c>
      <c r="B1237">
        <v>105.6</v>
      </c>
      <c r="C1237" s="3">
        <f t="shared" si="129"/>
        <v>1.7999999999999972</v>
      </c>
      <c r="D1237" s="3">
        <f t="shared" si="125"/>
        <v>1.7999999999999972</v>
      </c>
      <c r="E1237" s="3">
        <f t="shared" si="126"/>
        <v>0</v>
      </c>
      <c r="F1237" s="3">
        <f t="shared" si="130"/>
        <v>1.1240059383491723</v>
      </c>
      <c r="G1237" s="3">
        <f t="shared" si="130"/>
        <v>1.1466580587478714</v>
      </c>
      <c r="H1237" s="3">
        <f t="shared" si="127"/>
        <v>0.98024509554013439</v>
      </c>
      <c r="I1237" s="3">
        <f t="shared" si="128"/>
        <v>49.501200520472011</v>
      </c>
    </row>
    <row r="1238" spans="1:9" ht="15.75" customHeight="1">
      <c r="A1238" s="14">
        <v>26938</v>
      </c>
      <c r="B1238">
        <v>109.8</v>
      </c>
      <c r="C1238" s="3">
        <f t="shared" si="129"/>
        <v>4.2000000000000028</v>
      </c>
      <c r="D1238" s="3">
        <f t="shared" si="125"/>
        <v>4.2000000000000028</v>
      </c>
      <c r="E1238" s="3">
        <f t="shared" si="126"/>
        <v>0</v>
      </c>
      <c r="F1238" s="3">
        <f t="shared" si="130"/>
        <v>1.3437197998956603</v>
      </c>
      <c r="G1238" s="3">
        <f t="shared" si="130"/>
        <v>1.064753911694452</v>
      </c>
      <c r="H1238" s="3">
        <f t="shared" si="127"/>
        <v>1.2620003412405982</v>
      </c>
      <c r="I1238" s="3">
        <f t="shared" si="128"/>
        <v>55.791341770905824</v>
      </c>
    </row>
    <row r="1239" spans="1:9" ht="15.75" customHeight="1">
      <c r="A1239" s="14">
        <v>26969</v>
      </c>
      <c r="B1239">
        <v>102</v>
      </c>
      <c r="C1239" s="3">
        <f t="shared" si="129"/>
        <v>-7.7999999999999972</v>
      </c>
      <c r="D1239" s="3">
        <f t="shared" si="125"/>
        <v>0</v>
      </c>
      <c r="E1239" s="3">
        <f t="shared" si="126"/>
        <v>7.7999999999999972</v>
      </c>
      <c r="F1239" s="3">
        <f t="shared" si="130"/>
        <v>1.2477398141888274</v>
      </c>
      <c r="G1239" s="3">
        <f t="shared" si="130"/>
        <v>1.545842918001991</v>
      </c>
      <c r="H1239" s="3">
        <f t="shared" si="127"/>
        <v>0.80715821747369831</v>
      </c>
      <c r="I1239" s="3">
        <f t="shared" si="128"/>
        <v>44.664501960545458</v>
      </c>
    </row>
    <row r="1240" spans="1:9" ht="15.75" customHeight="1">
      <c r="A1240" s="14">
        <v>26999</v>
      </c>
      <c r="B1240">
        <v>94.78</v>
      </c>
      <c r="C1240" s="3">
        <f t="shared" si="129"/>
        <v>-7.2199999999999989</v>
      </c>
      <c r="D1240" s="3">
        <f t="shared" si="125"/>
        <v>0</v>
      </c>
      <c r="E1240" s="3">
        <f t="shared" si="126"/>
        <v>7.2199999999999989</v>
      </c>
      <c r="F1240" s="3">
        <f t="shared" si="130"/>
        <v>1.1586155417467683</v>
      </c>
      <c r="G1240" s="3">
        <f t="shared" si="130"/>
        <v>1.9511398524304202</v>
      </c>
      <c r="H1240" s="3">
        <f t="shared" si="127"/>
        <v>0.59381470800442571</v>
      </c>
      <c r="I1240" s="3">
        <f t="shared" si="128"/>
        <v>37.25744937740761</v>
      </c>
    </row>
    <row r="1241" spans="1:9" ht="15.75" customHeight="1">
      <c r="A1241" s="14">
        <v>27030</v>
      </c>
      <c r="B1241">
        <v>96.11</v>
      </c>
      <c r="C1241" s="3">
        <f t="shared" si="129"/>
        <v>1.3299999999999983</v>
      </c>
      <c r="D1241" s="3">
        <f t="shared" si="125"/>
        <v>1.3299999999999983</v>
      </c>
      <c r="E1241" s="3">
        <f t="shared" si="126"/>
        <v>0</v>
      </c>
      <c r="F1241" s="3">
        <f t="shared" si="130"/>
        <v>1.1708572887648561</v>
      </c>
      <c r="G1241" s="3">
        <f t="shared" si="130"/>
        <v>1.8117727201139615</v>
      </c>
      <c r="H1241" s="3">
        <f t="shared" si="127"/>
        <v>0.64624954099717791</v>
      </c>
      <c r="I1241" s="3">
        <f t="shared" si="128"/>
        <v>39.255867649671565</v>
      </c>
    </row>
    <row r="1242" spans="1:9" ht="15.75" customHeight="1">
      <c r="A1242" s="14">
        <v>27061</v>
      </c>
      <c r="B1242">
        <v>93.45</v>
      </c>
      <c r="C1242" s="3">
        <f t="shared" si="129"/>
        <v>-2.6599999999999966</v>
      </c>
      <c r="D1242" s="3">
        <f t="shared" si="125"/>
        <v>0</v>
      </c>
      <c r="E1242" s="3">
        <f t="shared" si="126"/>
        <v>2.6599999999999966</v>
      </c>
      <c r="F1242" s="3">
        <f t="shared" si="130"/>
        <v>1.087224625281652</v>
      </c>
      <c r="G1242" s="3">
        <f t="shared" si="130"/>
        <v>1.8723603829629638</v>
      </c>
      <c r="H1242" s="3">
        <f t="shared" si="127"/>
        <v>0.58067059908688412</v>
      </c>
      <c r="I1242" s="3">
        <f t="shared" si="128"/>
        <v>36.73571200870844</v>
      </c>
    </row>
    <row r="1243" spans="1:9" ht="15.75" customHeight="1">
      <c r="A1243" s="14">
        <v>27089</v>
      </c>
      <c r="B1243">
        <v>97.44</v>
      </c>
      <c r="C1243" s="3">
        <f t="shared" si="129"/>
        <v>3.9899999999999949</v>
      </c>
      <c r="D1243" s="3">
        <f t="shared" si="125"/>
        <v>3.9899999999999949</v>
      </c>
      <c r="E1243" s="3">
        <f t="shared" si="126"/>
        <v>0</v>
      </c>
      <c r="F1243" s="3">
        <f t="shared" si="130"/>
        <v>1.2945657234758194</v>
      </c>
      <c r="G1243" s="3">
        <f t="shared" si="130"/>
        <v>1.7386203556084663</v>
      </c>
      <c r="H1243" s="3">
        <f t="shared" si="127"/>
        <v>0.74459367699209944</v>
      </c>
      <c r="I1243" s="3">
        <f t="shared" si="128"/>
        <v>42.680062802696455</v>
      </c>
    </row>
    <row r="1244" spans="1:9" ht="15.75" customHeight="1">
      <c r="A1244" s="14">
        <v>27120</v>
      </c>
      <c r="B1244">
        <v>92.46</v>
      </c>
      <c r="C1244" s="3">
        <f t="shared" si="129"/>
        <v>-4.980000000000004</v>
      </c>
      <c r="D1244" s="3">
        <f t="shared" si="125"/>
        <v>0</v>
      </c>
      <c r="E1244" s="3">
        <f t="shared" si="126"/>
        <v>4.980000000000004</v>
      </c>
      <c r="F1244" s="3">
        <f t="shared" si="130"/>
        <v>1.2020967432275467</v>
      </c>
      <c r="G1244" s="3">
        <f t="shared" si="130"/>
        <v>1.9701474730650048</v>
      </c>
      <c r="H1244" s="3">
        <f t="shared" si="127"/>
        <v>0.6101557165958833</v>
      </c>
      <c r="I1244" s="3">
        <f t="shared" si="128"/>
        <v>37.894205529751261</v>
      </c>
    </row>
    <row r="1245" spans="1:9" ht="15.75" customHeight="1">
      <c r="A1245" s="14">
        <v>27150</v>
      </c>
      <c r="B1245">
        <v>89.67</v>
      </c>
      <c r="C1245" s="3">
        <f t="shared" si="129"/>
        <v>-2.789999999999992</v>
      </c>
      <c r="D1245" s="3">
        <f t="shared" si="125"/>
        <v>0</v>
      </c>
      <c r="E1245" s="3">
        <f t="shared" si="126"/>
        <v>2.789999999999992</v>
      </c>
      <c r="F1245" s="3">
        <f t="shared" si="130"/>
        <v>1.1162326901398647</v>
      </c>
      <c r="G1245" s="3">
        <f t="shared" si="130"/>
        <v>2.0287083678460753</v>
      </c>
      <c r="H1245" s="3">
        <f t="shared" si="127"/>
        <v>0.55021840883172068</v>
      </c>
      <c r="I1245" s="3">
        <f t="shared" si="128"/>
        <v>35.492960585236347</v>
      </c>
    </row>
    <row r="1246" spans="1:9" ht="15.75" customHeight="1">
      <c r="A1246" s="14">
        <v>27181</v>
      </c>
      <c r="B1246">
        <v>89.79</v>
      </c>
      <c r="C1246" s="3">
        <f t="shared" si="129"/>
        <v>0.12000000000000455</v>
      </c>
      <c r="D1246" s="3">
        <f t="shared" si="125"/>
        <v>0.12000000000000455</v>
      </c>
      <c r="E1246" s="3">
        <f t="shared" si="126"/>
        <v>0</v>
      </c>
      <c r="F1246" s="3">
        <f t="shared" si="130"/>
        <v>1.0450732122727318</v>
      </c>
      <c r="G1246" s="3">
        <f t="shared" si="130"/>
        <v>1.8838006272856413</v>
      </c>
      <c r="H1246" s="3">
        <f t="shared" si="127"/>
        <v>0.55476848087611708</v>
      </c>
      <c r="I1246" s="3">
        <f t="shared" si="128"/>
        <v>35.68174218218671</v>
      </c>
    </row>
    <row r="1247" spans="1:9" ht="15.75" customHeight="1">
      <c r="A1247" s="14">
        <v>27211</v>
      </c>
      <c r="B1247">
        <v>79.31</v>
      </c>
      <c r="C1247" s="3">
        <f t="shared" si="129"/>
        <v>-10.480000000000004</v>
      </c>
      <c r="D1247" s="3">
        <f t="shared" si="125"/>
        <v>0</v>
      </c>
      <c r="E1247" s="3">
        <f t="shared" si="126"/>
        <v>10.480000000000004</v>
      </c>
      <c r="F1247" s="3">
        <f t="shared" si="130"/>
        <v>0.97042512568182226</v>
      </c>
      <c r="G1247" s="3">
        <f t="shared" si="130"/>
        <v>2.4978148681938102</v>
      </c>
      <c r="H1247" s="3">
        <f t="shared" si="127"/>
        <v>0.38850962817093981</v>
      </c>
      <c r="I1247" s="3">
        <f t="shared" si="128"/>
        <v>27.980333754164661</v>
      </c>
    </row>
    <row r="1248" spans="1:9" ht="15.75" customHeight="1">
      <c r="A1248" s="14">
        <v>27242</v>
      </c>
      <c r="B1248">
        <v>76.03</v>
      </c>
      <c r="C1248" s="3">
        <f t="shared" si="129"/>
        <v>-3.2800000000000011</v>
      </c>
      <c r="D1248" s="3">
        <f t="shared" si="125"/>
        <v>0</v>
      </c>
      <c r="E1248" s="3">
        <f t="shared" si="126"/>
        <v>3.2800000000000011</v>
      </c>
      <c r="F1248" s="3">
        <f t="shared" si="130"/>
        <v>0.90110904527597779</v>
      </c>
      <c r="G1248" s="3">
        <f t="shared" si="130"/>
        <v>2.5536852347513954</v>
      </c>
      <c r="H1248" s="3">
        <f t="shared" si="127"/>
        <v>0.35286613753856078</v>
      </c>
      <c r="I1248" s="3">
        <f t="shared" si="128"/>
        <v>26.082856813947188</v>
      </c>
    </row>
    <row r="1249" spans="1:9" ht="15.75" customHeight="1">
      <c r="A1249" s="14">
        <v>27273</v>
      </c>
      <c r="B1249">
        <v>68.12</v>
      </c>
      <c r="C1249" s="3">
        <f t="shared" si="129"/>
        <v>-7.9099999999999966</v>
      </c>
      <c r="D1249" s="3">
        <f t="shared" si="125"/>
        <v>0</v>
      </c>
      <c r="E1249" s="3">
        <f t="shared" si="126"/>
        <v>7.9099999999999966</v>
      </c>
      <c r="F1249" s="3">
        <f t="shared" si="130"/>
        <v>0.83674411347055078</v>
      </c>
      <c r="G1249" s="3">
        <f t="shared" si="130"/>
        <v>2.9362791465548668</v>
      </c>
      <c r="H1249" s="3">
        <f t="shared" si="127"/>
        <v>0.28496749515532327</v>
      </c>
      <c r="I1249" s="3">
        <f t="shared" si="128"/>
        <v>22.177019747949132</v>
      </c>
    </row>
    <row r="1250" spans="1:9" ht="15.75" customHeight="1">
      <c r="A1250" s="14">
        <v>27303</v>
      </c>
      <c r="B1250">
        <v>69.44</v>
      </c>
      <c r="C1250" s="3">
        <f t="shared" si="129"/>
        <v>1.3199999999999932</v>
      </c>
      <c r="D1250" s="3">
        <f t="shared" si="125"/>
        <v>1.3199999999999932</v>
      </c>
      <c r="E1250" s="3">
        <f t="shared" si="126"/>
        <v>0</v>
      </c>
      <c r="F1250" s="3">
        <f t="shared" si="130"/>
        <v>0.87126239107979664</v>
      </c>
      <c r="G1250" s="3">
        <f t="shared" si="130"/>
        <v>2.7265449218009477</v>
      </c>
      <c r="H1250" s="3">
        <f t="shared" si="127"/>
        <v>0.31954815199021447</v>
      </c>
      <c r="I1250" s="3">
        <f t="shared" si="128"/>
        <v>24.216482855002639</v>
      </c>
    </row>
    <row r="1251" spans="1:9" ht="15.75" customHeight="1">
      <c r="A1251" s="14">
        <v>27334</v>
      </c>
      <c r="B1251">
        <v>71.739999999999995</v>
      </c>
      <c r="C1251" s="3">
        <f t="shared" si="129"/>
        <v>2.2999999999999972</v>
      </c>
      <c r="D1251" s="3">
        <f t="shared" si="125"/>
        <v>2.2999999999999972</v>
      </c>
      <c r="E1251" s="3">
        <f t="shared" si="126"/>
        <v>0</v>
      </c>
      <c r="F1251" s="3">
        <f t="shared" si="130"/>
        <v>0.97331507743123957</v>
      </c>
      <c r="G1251" s="3">
        <f t="shared" si="130"/>
        <v>2.5317917131008798</v>
      </c>
      <c r="H1251" s="3">
        <f t="shared" si="127"/>
        <v>0.38443726330044181</v>
      </c>
      <c r="I1251" s="3">
        <f t="shared" si="128"/>
        <v>27.768485686665144</v>
      </c>
    </row>
    <row r="1252" spans="1:9" ht="15.75" customHeight="1">
      <c r="A1252" s="14">
        <v>27364</v>
      </c>
      <c r="B1252">
        <v>67.069999999999993</v>
      </c>
      <c r="C1252" s="3">
        <f t="shared" si="129"/>
        <v>-4.6700000000000017</v>
      </c>
      <c r="D1252" s="3">
        <f t="shared" si="125"/>
        <v>0</v>
      </c>
      <c r="E1252" s="3">
        <f t="shared" si="126"/>
        <v>4.6700000000000017</v>
      </c>
      <c r="F1252" s="3">
        <f t="shared" si="130"/>
        <v>0.90379257190043671</v>
      </c>
      <c r="G1252" s="3">
        <f t="shared" si="130"/>
        <v>2.6845208764508173</v>
      </c>
      <c r="H1252" s="3">
        <f t="shared" si="127"/>
        <v>0.33666811080841114</v>
      </c>
      <c r="I1252" s="3">
        <f t="shared" si="128"/>
        <v>25.187113247191604</v>
      </c>
    </row>
    <row r="1253" spans="1:9" ht="15.75" customHeight="1">
      <c r="A1253" s="14">
        <v>27395</v>
      </c>
      <c r="B1253">
        <v>72.56</v>
      </c>
      <c r="C1253" s="3">
        <f t="shared" si="129"/>
        <v>5.4900000000000091</v>
      </c>
      <c r="D1253" s="3">
        <f t="shared" si="125"/>
        <v>5.4900000000000091</v>
      </c>
      <c r="E1253" s="3">
        <f t="shared" si="126"/>
        <v>0</v>
      </c>
      <c r="F1253" s="3">
        <f t="shared" si="130"/>
        <v>1.231378816764692</v>
      </c>
      <c r="G1253" s="3">
        <f t="shared" si="130"/>
        <v>2.4927693852757593</v>
      </c>
      <c r="H1253" s="3">
        <f t="shared" si="127"/>
        <v>0.49398023902177873</v>
      </c>
      <c r="I1253" s="3">
        <f t="shared" si="128"/>
        <v>33.064710370280721</v>
      </c>
    </row>
    <row r="1254" spans="1:9" ht="15.75" customHeight="1">
      <c r="A1254" s="14">
        <v>27426</v>
      </c>
      <c r="B1254">
        <v>80.099999999999994</v>
      </c>
      <c r="C1254" s="3">
        <f t="shared" si="129"/>
        <v>7.539999999999992</v>
      </c>
      <c r="D1254" s="3">
        <f t="shared" ref="D1254:D1317" si="131">IF(C1254&gt;0,C1254,0)</f>
        <v>7.539999999999992</v>
      </c>
      <c r="E1254" s="3">
        <f t="shared" ref="E1254:E1317" si="132">IF(C1254&lt;0,-C1254,0)</f>
        <v>0</v>
      </c>
      <c r="F1254" s="3">
        <f t="shared" si="130"/>
        <v>1.6819946155672134</v>
      </c>
      <c r="G1254" s="3">
        <f t="shared" si="130"/>
        <v>2.3147144291846335</v>
      </c>
      <c r="H1254" s="3">
        <f t="shared" ref="H1254:H1317" si="133">F1254/G1254</f>
        <v>0.72665318639746934</v>
      </c>
      <c r="I1254" s="3">
        <f t="shared" ref="I1254:I1317" si="134">IF(G1254=0,100,100-(100/(1+H1254)))</f>
        <v>42.084489932432575</v>
      </c>
    </row>
    <row r="1255" spans="1:9" ht="15.75" customHeight="1">
      <c r="A1255" s="14">
        <v>27454</v>
      </c>
      <c r="B1255">
        <v>83.78</v>
      </c>
      <c r="C1255" s="3">
        <f t="shared" si="129"/>
        <v>3.6800000000000068</v>
      </c>
      <c r="D1255" s="3">
        <f t="shared" si="131"/>
        <v>3.6800000000000068</v>
      </c>
      <c r="E1255" s="3">
        <f t="shared" si="132"/>
        <v>0</v>
      </c>
      <c r="F1255" s="3">
        <f t="shared" si="130"/>
        <v>1.8247092858838414</v>
      </c>
      <c r="G1255" s="3">
        <f t="shared" si="130"/>
        <v>2.1493776842428742</v>
      </c>
      <c r="H1255" s="3">
        <f t="shared" si="133"/>
        <v>0.84894772066390067</v>
      </c>
      <c r="I1255" s="3">
        <f t="shared" si="134"/>
        <v>45.915182521173151</v>
      </c>
    </row>
    <row r="1256" spans="1:9" ht="15.75" customHeight="1">
      <c r="A1256" s="14">
        <v>27485</v>
      </c>
      <c r="B1256">
        <v>84.72</v>
      </c>
      <c r="C1256" s="3">
        <f t="shared" si="129"/>
        <v>0.93999999999999773</v>
      </c>
      <c r="D1256" s="3">
        <f t="shared" si="131"/>
        <v>0.93999999999999773</v>
      </c>
      <c r="E1256" s="3">
        <f t="shared" si="132"/>
        <v>0</v>
      </c>
      <c r="F1256" s="3">
        <f t="shared" si="130"/>
        <v>1.7615157654635669</v>
      </c>
      <c r="G1256" s="3">
        <f t="shared" si="130"/>
        <v>1.9958507067969546</v>
      </c>
      <c r="H1256" s="3">
        <f t="shared" si="133"/>
        <v>0.88258894288267653</v>
      </c>
      <c r="I1256" s="3">
        <f t="shared" si="134"/>
        <v>46.881659760055207</v>
      </c>
    </row>
    <row r="1257" spans="1:9" ht="15.75" customHeight="1">
      <c r="A1257" s="14">
        <v>27515</v>
      </c>
      <c r="B1257">
        <v>90.1</v>
      </c>
      <c r="C1257" s="3">
        <f t="shared" si="129"/>
        <v>5.3799999999999955</v>
      </c>
      <c r="D1257" s="3">
        <f t="shared" si="131"/>
        <v>5.3799999999999955</v>
      </c>
      <c r="E1257" s="3">
        <f t="shared" si="132"/>
        <v>0</v>
      </c>
      <c r="F1257" s="3">
        <f t="shared" si="130"/>
        <v>2.0199789250733118</v>
      </c>
      <c r="G1257" s="3">
        <f t="shared" si="130"/>
        <v>1.8532899420257436</v>
      </c>
      <c r="H1257" s="3">
        <f t="shared" si="133"/>
        <v>1.0899422045453764</v>
      </c>
      <c r="I1257" s="3">
        <f t="shared" si="134"/>
        <v>52.151786885535941</v>
      </c>
    </row>
    <row r="1258" spans="1:9" ht="15.75" customHeight="1">
      <c r="A1258" s="14">
        <v>27546</v>
      </c>
      <c r="B1258">
        <v>92.4</v>
      </c>
      <c r="C1258" s="3">
        <f t="shared" si="129"/>
        <v>2.3000000000000114</v>
      </c>
      <c r="D1258" s="3">
        <f t="shared" si="131"/>
        <v>2.3000000000000114</v>
      </c>
      <c r="E1258" s="3">
        <f t="shared" si="132"/>
        <v>0</v>
      </c>
      <c r="F1258" s="3">
        <f t="shared" si="130"/>
        <v>2.0399804304252189</v>
      </c>
      <c r="G1258" s="3">
        <f t="shared" si="130"/>
        <v>1.7209120890239047</v>
      </c>
      <c r="H1258" s="3">
        <f t="shared" si="133"/>
        <v>1.1854065314761597</v>
      </c>
      <c r="I1258" s="3">
        <f t="shared" si="134"/>
        <v>54.24192315721973</v>
      </c>
    </row>
    <row r="1259" spans="1:9" ht="15.75" customHeight="1">
      <c r="A1259" s="14">
        <v>27576</v>
      </c>
      <c r="B1259">
        <v>92.49</v>
      </c>
      <c r="C1259" s="3">
        <f t="shared" ref="C1259:C1322" si="135">B1259-B1258</f>
        <v>8.99999999999892E-2</v>
      </c>
      <c r="D1259" s="3">
        <f t="shared" si="131"/>
        <v>8.99999999999892E-2</v>
      </c>
      <c r="E1259" s="3">
        <f t="shared" si="132"/>
        <v>0</v>
      </c>
      <c r="F1259" s="3">
        <f t="shared" si="130"/>
        <v>1.9006961139662739</v>
      </c>
      <c r="G1259" s="3">
        <f t="shared" si="130"/>
        <v>1.5979897969507686</v>
      </c>
      <c r="H1259" s="3">
        <f t="shared" si="133"/>
        <v>1.1894294429120382</v>
      </c>
      <c r="I1259" s="3">
        <f t="shared" si="134"/>
        <v>54.326000171535298</v>
      </c>
    </row>
    <row r="1260" spans="1:9" ht="15.75" customHeight="1">
      <c r="A1260" s="14">
        <v>27607</v>
      </c>
      <c r="B1260">
        <v>85.71</v>
      </c>
      <c r="C1260" s="3">
        <f t="shared" si="135"/>
        <v>-6.7800000000000011</v>
      </c>
      <c r="D1260" s="3">
        <f t="shared" si="131"/>
        <v>0</v>
      </c>
      <c r="E1260" s="3">
        <f t="shared" si="132"/>
        <v>6.7800000000000011</v>
      </c>
      <c r="F1260" s="3">
        <f t="shared" si="130"/>
        <v>1.7649321058258258</v>
      </c>
      <c r="G1260" s="3">
        <f t="shared" si="130"/>
        <v>1.9681333828828567</v>
      </c>
      <c r="H1260" s="3">
        <f t="shared" si="133"/>
        <v>0.89675431613309242</v>
      </c>
      <c r="I1260" s="3">
        <f t="shared" si="134"/>
        <v>47.278359063460726</v>
      </c>
    </row>
    <row r="1261" spans="1:9" ht="15.75" customHeight="1">
      <c r="A1261" s="14">
        <v>27638</v>
      </c>
      <c r="B1261">
        <v>84.67</v>
      </c>
      <c r="C1261" s="3">
        <f t="shared" si="135"/>
        <v>-1.039999999999992</v>
      </c>
      <c r="D1261" s="3">
        <f t="shared" si="131"/>
        <v>0</v>
      </c>
      <c r="E1261" s="3">
        <f t="shared" si="132"/>
        <v>1.039999999999992</v>
      </c>
      <c r="F1261" s="3">
        <f t="shared" si="130"/>
        <v>1.6388655268382668</v>
      </c>
      <c r="G1261" s="3">
        <f t="shared" si="130"/>
        <v>1.9018381412483663</v>
      </c>
      <c r="H1261" s="3">
        <f t="shared" si="133"/>
        <v>0.86172713192223382</v>
      </c>
      <c r="I1261" s="3">
        <f t="shared" si="134"/>
        <v>46.286435705134743</v>
      </c>
    </row>
    <row r="1262" spans="1:9" ht="15.75" customHeight="1">
      <c r="A1262" s="14">
        <v>27668</v>
      </c>
      <c r="B1262">
        <v>88.57</v>
      </c>
      <c r="C1262" s="3">
        <f t="shared" si="135"/>
        <v>3.8999999999999915</v>
      </c>
      <c r="D1262" s="3">
        <f t="shared" si="131"/>
        <v>3.8999999999999915</v>
      </c>
      <c r="E1262" s="3">
        <f t="shared" si="132"/>
        <v>0</v>
      </c>
      <c r="F1262" s="3">
        <f t="shared" si="130"/>
        <v>1.8003751320641044</v>
      </c>
      <c r="G1262" s="3">
        <f t="shared" si="130"/>
        <v>1.7659925597306256</v>
      </c>
      <c r="H1262" s="3">
        <f t="shared" si="133"/>
        <v>1.0194692622820127</v>
      </c>
      <c r="I1262" s="3">
        <f t="shared" si="134"/>
        <v>50.482039084368445</v>
      </c>
    </row>
    <row r="1263" spans="1:9" ht="15.75" customHeight="1">
      <c r="A1263" s="14">
        <v>27699</v>
      </c>
      <c r="B1263">
        <v>90.07</v>
      </c>
      <c r="C1263" s="3">
        <f t="shared" si="135"/>
        <v>1.5</v>
      </c>
      <c r="D1263" s="3">
        <f t="shared" si="131"/>
        <v>1.5</v>
      </c>
      <c r="E1263" s="3">
        <f t="shared" si="132"/>
        <v>0</v>
      </c>
      <c r="F1263" s="3">
        <f t="shared" si="130"/>
        <v>1.7789197654880968</v>
      </c>
      <c r="G1263" s="3">
        <f t="shared" si="130"/>
        <v>1.6398502340355809</v>
      </c>
      <c r="H1263" s="3">
        <f t="shared" si="133"/>
        <v>1.0848062393541107</v>
      </c>
      <c r="I1263" s="3">
        <f t="shared" si="134"/>
        <v>52.033911779264059</v>
      </c>
    </row>
    <row r="1264" spans="1:9" ht="15.75" customHeight="1">
      <c r="A1264" s="14">
        <v>27729</v>
      </c>
      <c r="B1264">
        <v>88.7</v>
      </c>
      <c r="C1264" s="3">
        <f t="shared" si="135"/>
        <v>-1.3699999999999903</v>
      </c>
      <c r="D1264" s="3">
        <f t="shared" si="131"/>
        <v>0</v>
      </c>
      <c r="E1264" s="3">
        <f t="shared" si="132"/>
        <v>1.3699999999999903</v>
      </c>
      <c r="F1264" s="3">
        <f t="shared" si="130"/>
        <v>1.6518540679532328</v>
      </c>
      <c r="G1264" s="3">
        <f t="shared" si="130"/>
        <v>1.6205752173187531</v>
      </c>
      <c r="H1264" s="3">
        <f t="shared" si="133"/>
        <v>1.0193010792095356</v>
      </c>
      <c r="I1264" s="3">
        <f t="shared" si="134"/>
        <v>50.477914844107616</v>
      </c>
    </row>
    <row r="1265" spans="1:9" ht="15.75" customHeight="1">
      <c r="A1265" s="14">
        <v>27760</v>
      </c>
      <c r="B1265">
        <v>96.86</v>
      </c>
      <c r="C1265" s="3">
        <f t="shared" si="135"/>
        <v>8.1599999999999966</v>
      </c>
      <c r="D1265" s="3">
        <f t="shared" si="131"/>
        <v>8.1599999999999966</v>
      </c>
      <c r="E1265" s="3">
        <f t="shared" si="132"/>
        <v>0</v>
      </c>
      <c r="F1265" s="3">
        <f t="shared" si="130"/>
        <v>2.1167216345280013</v>
      </c>
      <c r="G1265" s="3">
        <f t="shared" si="130"/>
        <v>1.5048198446531278</v>
      </c>
      <c r="H1265" s="3">
        <f t="shared" si="133"/>
        <v>1.4066279375893807</v>
      </c>
      <c r="I1265" s="3">
        <f t="shared" si="134"/>
        <v>58.448084791965869</v>
      </c>
    </row>
    <row r="1266" spans="1:9" ht="15.75" customHeight="1">
      <c r="A1266" s="14">
        <v>27791</v>
      </c>
      <c r="B1266">
        <v>100.6</v>
      </c>
      <c r="C1266" s="3">
        <f t="shared" si="135"/>
        <v>3.7399999999999949</v>
      </c>
      <c r="D1266" s="3">
        <f t="shared" si="131"/>
        <v>3.7399999999999949</v>
      </c>
      <c r="E1266" s="3">
        <f t="shared" si="132"/>
        <v>0</v>
      </c>
      <c r="F1266" s="3">
        <f t="shared" si="130"/>
        <v>2.2326700892045723</v>
      </c>
      <c r="G1266" s="3">
        <f t="shared" si="130"/>
        <v>1.3973327128921902</v>
      </c>
      <c r="H1266" s="3">
        <f t="shared" si="133"/>
        <v>1.597808502302509</v>
      </c>
      <c r="I1266" s="3">
        <f t="shared" si="134"/>
        <v>61.506015585303054</v>
      </c>
    </row>
    <row r="1267" spans="1:9" ht="15.75" customHeight="1">
      <c r="A1267" s="14">
        <v>27820</v>
      </c>
      <c r="B1267">
        <v>101.1</v>
      </c>
      <c r="C1267" s="3">
        <f t="shared" si="135"/>
        <v>0.5</v>
      </c>
      <c r="D1267" s="3">
        <f t="shared" si="131"/>
        <v>0.5</v>
      </c>
      <c r="E1267" s="3">
        <f t="shared" si="132"/>
        <v>0</v>
      </c>
      <c r="F1267" s="3">
        <f t="shared" si="130"/>
        <v>2.1089079399756741</v>
      </c>
      <c r="G1267" s="3">
        <f t="shared" si="130"/>
        <v>1.297523233399891</v>
      </c>
      <c r="H1267" s="3">
        <f t="shared" si="133"/>
        <v>1.6253334704841604</v>
      </c>
      <c r="I1267" s="3">
        <f t="shared" si="134"/>
        <v>61.909600770999148</v>
      </c>
    </row>
    <row r="1268" spans="1:9" ht="15.75" customHeight="1">
      <c r="A1268" s="14">
        <v>27851</v>
      </c>
      <c r="B1268">
        <v>101.9</v>
      </c>
      <c r="C1268" s="3">
        <f t="shared" si="135"/>
        <v>0.80000000000001137</v>
      </c>
      <c r="D1268" s="3">
        <f t="shared" si="131"/>
        <v>0.80000000000001137</v>
      </c>
      <c r="E1268" s="3">
        <f t="shared" si="132"/>
        <v>0</v>
      </c>
      <c r="F1268" s="3">
        <f t="shared" si="130"/>
        <v>2.015414515691698</v>
      </c>
      <c r="G1268" s="3">
        <f t="shared" si="130"/>
        <v>1.2048430024427559</v>
      </c>
      <c r="H1268" s="3">
        <f t="shared" si="133"/>
        <v>1.6727611079663915</v>
      </c>
      <c r="I1268" s="3">
        <f t="shared" si="134"/>
        <v>62.585507660246364</v>
      </c>
    </row>
    <row r="1269" spans="1:9" ht="15.75" customHeight="1">
      <c r="A1269" s="14">
        <v>27881</v>
      </c>
      <c r="B1269">
        <v>101.2</v>
      </c>
      <c r="C1269" s="3">
        <f t="shared" si="135"/>
        <v>-0.70000000000000284</v>
      </c>
      <c r="D1269" s="3">
        <f t="shared" si="131"/>
        <v>0</v>
      </c>
      <c r="E1269" s="3">
        <f t="shared" si="132"/>
        <v>0.70000000000000284</v>
      </c>
      <c r="F1269" s="3">
        <f t="shared" si="130"/>
        <v>1.8714563359994341</v>
      </c>
      <c r="G1269" s="3">
        <f t="shared" si="130"/>
        <v>1.1687827879825592</v>
      </c>
      <c r="H1269" s="3">
        <f t="shared" si="133"/>
        <v>1.6012011429683719</v>
      </c>
      <c r="I1269" s="3">
        <f t="shared" si="134"/>
        <v>61.556221720752987</v>
      </c>
    </row>
    <row r="1270" spans="1:9" ht="15.75" customHeight="1">
      <c r="A1270" s="14">
        <v>27912</v>
      </c>
      <c r="B1270">
        <v>101.8</v>
      </c>
      <c r="C1270" s="3">
        <f t="shared" si="135"/>
        <v>0.59999999999999432</v>
      </c>
      <c r="D1270" s="3">
        <f t="shared" si="131"/>
        <v>0.59999999999999432</v>
      </c>
      <c r="E1270" s="3">
        <f t="shared" si="132"/>
        <v>0</v>
      </c>
      <c r="F1270" s="3">
        <f t="shared" si="130"/>
        <v>1.7806380262851884</v>
      </c>
      <c r="G1270" s="3">
        <f t="shared" si="130"/>
        <v>1.0852983031266621</v>
      </c>
      <c r="H1270" s="3">
        <f t="shared" si="133"/>
        <v>1.6406899569964362</v>
      </c>
      <c r="I1270" s="3">
        <f t="shared" si="134"/>
        <v>62.131109055399428</v>
      </c>
    </row>
    <row r="1271" spans="1:9" ht="15.75" customHeight="1">
      <c r="A1271" s="14">
        <v>27942</v>
      </c>
      <c r="B1271">
        <v>104.2</v>
      </c>
      <c r="C1271" s="3">
        <f t="shared" si="135"/>
        <v>2.4000000000000057</v>
      </c>
      <c r="D1271" s="3">
        <f t="shared" si="131"/>
        <v>2.4000000000000057</v>
      </c>
      <c r="E1271" s="3">
        <f t="shared" si="132"/>
        <v>0</v>
      </c>
      <c r="F1271" s="3">
        <f t="shared" si="130"/>
        <v>1.8248781672648182</v>
      </c>
      <c r="G1271" s="3">
        <f t="shared" si="130"/>
        <v>1.0077769957604719</v>
      </c>
      <c r="H1271" s="3">
        <f t="shared" si="133"/>
        <v>1.8107956174250228</v>
      </c>
      <c r="I1271" s="3">
        <f t="shared" si="134"/>
        <v>64.422884616701424</v>
      </c>
    </row>
    <row r="1272" spans="1:9" ht="15.75" customHeight="1">
      <c r="A1272" s="14">
        <v>27973</v>
      </c>
      <c r="B1272">
        <v>103.3</v>
      </c>
      <c r="C1272" s="3">
        <f t="shared" si="135"/>
        <v>-0.90000000000000568</v>
      </c>
      <c r="D1272" s="3">
        <f t="shared" si="131"/>
        <v>0</v>
      </c>
      <c r="E1272" s="3">
        <f t="shared" si="132"/>
        <v>0.90000000000000568</v>
      </c>
      <c r="F1272" s="3">
        <f t="shared" si="130"/>
        <v>1.6945297267459025</v>
      </c>
      <c r="G1272" s="3">
        <f t="shared" si="130"/>
        <v>1.0000786389204386</v>
      </c>
      <c r="H1272" s="3">
        <f t="shared" si="133"/>
        <v>1.6943964812358232</v>
      </c>
      <c r="I1272" s="3">
        <f t="shared" si="134"/>
        <v>62.885937278936176</v>
      </c>
    </row>
    <row r="1273" spans="1:9" ht="15.75" customHeight="1">
      <c r="A1273" s="14">
        <v>28004</v>
      </c>
      <c r="B1273">
        <v>105.5</v>
      </c>
      <c r="C1273" s="3">
        <f t="shared" si="135"/>
        <v>2.2000000000000028</v>
      </c>
      <c r="D1273" s="3">
        <f t="shared" si="131"/>
        <v>2.2000000000000028</v>
      </c>
      <c r="E1273" s="3">
        <f t="shared" si="132"/>
        <v>0</v>
      </c>
      <c r="F1273" s="3">
        <f t="shared" si="130"/>
        <v>1.7306347462640523</v>
      </c>
      <c r="G1273" s="3">
        <f t="shared" si="130"/>
        <v>0.92864445042612154</v>
      </c>
      <c r="H1273" s="3">
        <f t="shared" si="133"/>
        <v>1.8636139433880494</v>
      </c>
      <c r="I1273" s="3">
        <f t="shared" si="134"/>
        <v>65.079091673339803</v>
      </c>
    </row>
    <row r="1274" spans="1:9" ht="15.75" customHeight="1">
      <c r="A1274" s="14">
        <v>28034</v>
      </c>
      <c r="B1274">
        <v>101.9</v>
      </c>
      <c r="C1274" s="3">
        <f t="shared" si="135"/>
        <v>-3.5999999999999943</v>
      </c>
      <c r="D1274" s="3">
        <f t="shared" si="131"/>
        <v>0</v>
      </c>
      <c r="E1274" s="3">
        <f t="shared" si="132"/>
        <v>3.5999999999999943</v>
      </c>
      <c r="F1274" s="3">
        <f t="shared" si="130"/>
        <v>1.6070179786737628</v>
      </c>
      <c r="G1274" s="3">
        <f t="shared" si="130"/>
        <v>1.1194555611099697</v>
      </c>
      <c r="H1274" s="3">
        <f t="shared" si="133"/>
        <v>1.4355353035008931</v>
      </c>
      <c r="I1274" s="3">
        <f t="shared" si="134"/>
        <v>58.941264429114305</v>
      </c>
    </row>
    <row r="1275" spans="1:9" ht="15.75" customHeight="1">
      <c r="A1275" s="14">
        <v>28065</v>
      </c>
      <c r="B1275">
        <v>101.2</v>
      </c>
      <c r="C1275" s="3">
        <f t="shared" si="135"/>
        <v>-0.70000000000000284</v>
      </c>
      <c r="D1275" s="3">
        <f t="shared" si="131"/>
        <v>0</v>
      </c>
      <c r="E1275" s="3">
        <f t="shared" si="132"/>
        <v>0.70000000000000284</v>
      </c>
      <c r="F1275" s="3">
        <f t="shared" si="130"/>
        <v>1.4922309801970655</v>
      </c>
      <c r="G1275" s="3">
        <f t="shared" si="130"/>
        <v>1.0894944496021151</v>
      </c>
      <c r="H1275" s="3">
        <f t="shared" si="133"/>
        <v>1.3696545041987414</v>
      </c>
      <c r="I1275" s="3">
        <f t="shared" si="134"/>
        <v>57.799755271153622</v>
      </c>
    </row>
    <row r="1276" spans="1:9" ht="15.75" customHeight="1">
      <c r="A1276" s="14">
        <v>28095</v>
      </c>
      <c r="B1276">
        <v>104.7</v>
      </c>
      <c r="C1276" s="3">
        <f t="shared" si="135"/>
        <v>3.5</v>
      </c>
      <c r="D1276" s="3">
        <f t="shared" si="131"/>
        <v>3.5</v>
      </c>
      <c r="E1276" s="3">
        <f t="shared" si="132"/>
        <v>0</v>
      </c>
      <c r="F1276" s="3">
        <f t="shared" si="130"/>
        <v>1.6356430530401322</v>
      </c>
      <c r="G1276" s="3">
        <f t="shared" si="130"/>
        <v>1.0116734174876783</v>
      </c>
      <c r="H1276" s="3">
        <f t="shared" si="133"/>
        <v>1.6167698239042183</v>
      </c>
      <c r="I1276" s="3">
        <f t="shared" si="134"/>
        <v>61.784946048177794</v>
      </c>
    </row>
    <row r="1277" spans="1:9" ht="15.75" customHeight="1">
      <c r="A1277" s="14">
        <v>28126</v>
      </c>
      <c r="B1277">
        <v>103.8</v>
      </c>
      <c r="C1277" s="3">
        <f t="shared" si="135"/>
        <v>-0.90000000000000568</v>
      </c>
      <c r="D1277" s="3">
        <f t="shared" si="131"/>
        <v>0</v>
      </c>
      <c r="E1277" s="3">
        <f t="shared" si="132"/>
        <v>0.90000000000000568</v>
      </c>
      <c r="F1277" s="3">
        <f t="shared" si="130"/>
        <v>1.5188114063944087</v>
      </c>
      <c r="G1277" s="3">
        <f t="shared" si="130"/>
        <v>1.0036967448099874</v>
      </c>
      <c r="H1277" s="3">
        <f t="shared" si="133"/>
        <v>1.5132174277220947</v>
      </c>
      <c r="I1277" s="3">
        <f t="shared" si="134"/>
        <v>60.210366641203414</v>
      </c>
    </row>
    <row r="1278" spans="1:9" ht="15.75" customHeight="1">
      <c r="A1278" s="14">
        <v>28157</v>
      </c>
      <c r="B1278">
        <v>101</v>
      </c>
      <c r="C1278" s="3">
        <f t="shared" si="135"/>
        <v>-2.7999999999999972</v>
      </c>
      <c r="D1278" s="3">
        <f t="shared" si="131"/>
        <v>0</v>
      </c>
      <c r="E1278" s="3">
        <f t="shared" si="132"/>
        <v>2.7999999999999972</v>
      </c>
      <c r="F1278" s="3">
        <f t="shared" si="130"/>
        <v>1.4103248773662365</v>
      </c>
      <c r="G1278" s="3">
        <f t="shared" si="130"/>
        <v>1.1320041201807023</v>
      </c>
      <c r="H1278" s="3">
        <f t="shared" si="133"/>
        <v>1.2458654983880322</v>
      </c>
      <c r="I1278" s="3">
        <f t="shared" si="134"/>
        <v>55.473736039947674</v>
      </c>
    </row>
    <row r="1279" spans="1:9" ht="15.75" customHeight="1">
      <c r="A1279" s="14">
        <v>28185</v>
      </c>
      <c r="B1279">
        <v>100.6</v>
      </c>
      <c r="C1279" s="3">
        <f t="shared" si="135"/>
        <v>-0.40000000000000568</v>
      </c>
      <c r="D1279" s="3">
        <f t="shared" si="131"/>
        <v>0</v>
      </c>
      <c r="E1279" s="3">
        <f t="shared" si="132"/>
        <v>0.40000000000000568</v>
      </c>
      <c r="F1279" s="3">
        <f t="shared" si="130"/>
        <v>1.309587386125791</v>
      </c>
      <c r="G1279" s="3">
        <f t="shared" si="130"/>
        <v>1.0797181115963668</v>
      </c>
      <c r="H1279" s="3">
        <f t="shared" si="133"/>
        <v>1.2128974887617303</v>
      </c>
      <c r="I1279" s="3">
        <f t="shared" si="134"/>
        <v>54.810378470826983</v>
      </c>
    </row>
    <row r="1280" spans="1:9" ht="15.75" customHeight="1">
      <c r="A1280" s="14">
        <v>28216</v>
      </c>
      <c r="B1280">
        <v>99.05</v>
      </c>
      <c r="C1280" s="3">
        <f t="shared" si="135"/>
        <v>-1.5499999999999972</v>
      </c>
      <c r="D1280" s="3">
        <f t="shared" si="131"/>
        <v>0</v>
      </c>
      <c r="E1280" s="3">
        <f t="shared" si="132"/>
        <v>1.5499999999999972</v>
      </c>
      <c r="F1280" s="3">
        <f t="shared" si="130"/>
        <v>1.2160454299739487</v>
      </c>
      <c r="G1280" s="3">
        <f t="shared" si="130"/>
        <v>1.113309675053769</v>
      </c>
      <c r="H1280" s="3">
        <f t="shared" si="133"/>
        <v>1.0922795851165292</v>
      </c>
      <c r="I1280" s="3">
        <f t="shared" si="134"/>
        <v>52.205240298021394</v>
      </c>
    </row>
    <row r="1281" spans="1:9" ht="15.75" customHeight="1">
      <c r="A1281" s="14">
        <v>28246</v>
      </c>
      <c r="B1281">
        <v>98.76</v>
      </c>
      <c r="C1281" s="3">
        <f t="shared" si="135"/>
        <v>-0.28999999999999204</v>
      </c>
      <c r="D1281" s="3">
        <f t="shared" si="131"/>
        <v>0</v>
      </c>
      <c r="E1281" s="3">
        <f t="shared" si="132"/>
        <v>0.28999999999999204</v>
      </c>
      <c r="F1281" s="3">
        <f t="shared" si="130"/>
        <v>1.1291850421186667</v>
      </c>
      <c r="G1281" s="3">
        <f t="shared" si="130"/>
        <v>1.0545018411213563</v>
      </c>
      <c r="H1281" s="3">
        <f t="shared" si="133"/>
        <v>1.0708232058825922</v>
      </c>
      <c r="I1281" s="3">
        <f t="shared" si="134"/>
        <v>51.71002540635542</v>
      </c>
    </row>
    <row r="1282" spans="1:9" ht="15.75" customHeight="1">
      <c r="A1282" s="14">
        <v>28277</v>
      </c>
      <c r="B1282">
        <v>99.29</v>
      </c>
      <c r="C1282" s="3">
        <f t="shared" si="135"/>
        <v>0.53000000000000114</v>
      </c>
      <c r="D1282" s="3">
        <f t="shared" si="131"/>
        <v>0.53000000000000114</v>
      </c>
      <c r="E1282" s="3">
        <f t="shared" si="132"/>
        <v>0</v>
      </c>
      <c r="F1282" s="3">
        <f t="shared" si="130"/>
        <v>1.086386110538762</v>
      </c>
      <c r="G1282" s="3">
        <f t="shared" si="130"/>
        <v>0.97918028104125931</v>
      </c>
      <c r="H1282" s="3">
        <f t="shared" si="133"/>
        <v>1.1094852823052157</v>
      </c>
      <c r="I1282" s="3">
        <f t="shared" si="134"/>
        <v>52.595071016223727</v>
      </c>
    </row>
    <row r="1283" spans="1:9" ht="15.75" customHeight="1">
      <c r="A1283" s="14">
        <v>28307</v>
      </c>
      <c r="B1283">
        <v>100.2</v>
      </c>
      <c r="C1283" s="3">
        <f t="shared" si="135"/>
        <v>0.90999999999999659</v>
      </c>
      <c r="D1283" s="3">
        <f t="shared" si="131"/>
        <v>0.90999999999999659</v>
      </c>
      <c r="E1283" s="3">
        <f t="shared" si="132"/>
        <v>0</v>
      </c>
      <c r="F1283" s="3">
        <f t="shared" si="130"/>
        <v>1.0737871026431358</v>
      </c>
      <c r="G1283" s="3">
        <f t="shared" si="130"/>
        <v>0.90923883239545511</v>
      </c>
      <c r="H1283" s="3">
        <f t="shared" si="133"/>
        <v>1.1809736500300658</v>
      </c>
      <c r="I1283" s="3">
        <f t="shared" si="134"/>
        <v>54.148918764506192</v>
      </c>
    </row>
    <row r="1284" spans="1:9" ht="15.75" customHeight="1">
      <c r="A1284" s="14">
        <v>28338</v>
      </c>
      <c r="B1284">
        <v>97.75</v>
      </c>
      <c r="C1284" s="3">
        <f t="shared" si="135"/>
        <v>-2.4500000000000028</v>
      </c>
      <c r="D1284" s="3">
        <f t="shared" si="131"/>
        <v>0</v>
      </c>
      <c r="E1284" s="3">
        <f t="shared" si="132"/>
        <v>2.4500000000000028</v>
      </c>
      <c r="F1284" s="3">
        <f t="shared" si="130"/>
        <v>0.99708802388291173</v>
      </c>
      <c r="G1284" s="3">
        <f t="shared" si="130"/>
        <v>1.0192932015100655</v>
      </c>
      <c r="H1284" s="3">
        <f t="shared" si="133"/>
        <v>0.97821512240613673</v>
      </c>
      <c r="I1284" s="3">
        <f t="shared" si="134"/>
        <v>49.449380470629357</v>
      </c>
    </row>
    <row r="1285" spans="1:9" ht="15.75" customHeight="1">
      <c r="A1285" s="14">
        <v>28369</v>
      </c>
      <c r="B1285">
        <v>96.23</v>
      </c>
      <c r="C1285" s="3">
        <f t="shared" si="135"/>
        <v>-1.519999999999996</v>
      </c>
      <c r="D1285" s="3">
        <f t="shared" si="131"/>
        <v>0</v>
      </c>
      <c r="E1285" s="3">
        <f t="shared" si="132"/>
        <v>1.519999999999996</v>
      </c>
      <c r="F1285" s="3">
        <f t="shared" si="130"/>
        <v>0.92586745074841803</v>
      </c>
      <c r="G1285" s="3">
        <f t="shared" si="130"/>
        <v>1.055057972830775</v>
      </c>
      <c r="H1285" s="3">
        <f t="shared" si="133"/>
        <v>0.87755125745769957</v>
      </c>
      <c r="I1285" s="3">
        <f t="shared" si="134"/>
        <v>46.739137159213904</v>
      </c>
    </row>
    <row r="1286" spans="1:9" ht="15.75" customHeight="1">
      <c r="A1286" s="14">
        <v>28399</v>
      </c>
      <c r="B1286">
        <v>93.74</v>
      </c>
      <c r="C1286" s="3">
        <f t="shared" si="135"/>
        <v>-2.4900000000000091</v>
      </c>
      <c r="D1286" s="3">
        <f t="shared" si="131"/>
        <v>0</v>
      </c>
      <c r="E1286" s="3">
        <f t="shared" si="132"/>
        <v>2.4900000000000091</v>
      </c>
      <c r="F1286" s="3">
        <f t="shared" si="130"/>
        <v>0.85973406140924535</v>
      </c>
      <c r="G1286" s="3">
        <f t="shared" si="130"/>
        <v>1.1575538319142917</v>
      </c>
      <c r="H1286" s="3">
        <f t="shared" si="133"/>
        <v>0.74271626744776931</v>
      </c>
      <c r="I1286" s="3">
        <f t="shared" si="134"/>
        <v>42.618312649108795</v>
      </c>
    </row>
    <row r="1287" spans="1:9" ht="15.75" customHeight="1">
      <c r="A1287" s="14">
        <v>28430</v>
      </c>
      <c r="B1287">
        <v>94.28</v>
      </c>
      <c r="C1287" s="3">
        <f t="shared" si="135"/>
        <v>0.54000000000000625</v>
      </c>
      <c r="D1287" s="3">
        <f t="shared" si="131"/>
        <v>0.54000000000000625</v>
      </c>
      <c r="E1287" s="3">
        <f t="shared" si="132"/>
        <v>0</v>
      </c>
      <c r="F1287" s="3">
        <f t="shared" si="130"/>
        <v>0.83689591416572828</v>
      </c>
      <c r="G1287" s="3">
        <f t="shared" si="130"/>
        <v>1.0748714153489851</v>
      </c>
      <c r="H1287" s="3">
        <f t="shared" si="133"/>
        <v>0.77860095841697319</v>
      </c>
      <c r="I1287" s="3">
        <f t="shared" si="134"/>
        <v>43.776033895200392</v>
      </c>
    </row>
    <row r="1288" spans="1:9" ht="15.75" customHeight="1">
      <c r="A1288" s="14">
        <v>28460</v>
      </c>
      <c r="B1288">
        <v>93.82</v>
      </c>
      <c r="C1288" s="3">
        <f t="shared" si="135"/>
        <v>-0.46000000000000796</v>
      </c>
      <c r="D1288" s="3">
        <f t="shared" si="131"/>
        <v>0</v>
      </c>
      <c r="E1288" s="3">
        <f t="shared" si="132"/>
        <v>0.46000000000000796</v>
      </c>
      <c r="F1288" s="3">
        <f t="shared" si="130"/>
        <v>0.77711763458246197</v>
      </c>
      <c r="G1288" s="3">
        <f t="shared" si="130"/>
        <v>1.0309520285383438</v>
      </c>
      <c r="H1288" s="3">
        <f t="shared" si="133"/>
        <v>0.75378641592493745</v>
      </c>
      <c r="I1288" s="3">
        <f t="shared" si="134"/>
        <v>42.980513994196642</v>
      </c>
    </row>
    <row r="1289" spans="1:9" ht="15.75" customHeight="1">
      <c r="A1289" s="14">
        <v>28491</v>
      </c>
      <c r="B1289">
        <v>90.25</v>
      </c>
      <c r="C1289" s="3">
        <f t="shared" si="135"/>
        <v>-3.5699999999999932</v>
      </c>
      <c r="D1289" s="3">
        <f t="shared" si="131"/>
        <v>0</v>
      </c>
      <c r="E1289" s="3">
        <f t="shared" si="132"/>
        <v>3.5699999999999932</v>
      </c>
      <c r="F1289" s="3">
        <f t="shared" si="130"/>
        <v>0.72160923211228611</v>
      </c>
      <c r="G1289" s="3">
        <f t="shared" si="130"/>
        <v>1.2123125979284615</v>
      </c>
      <c r="H1289" s="3">
        <f t="shared" si="133"/>
        <v>0.59523363309540422</v>
      </c>
      <c r="I1289" s="3">
        <f t="shared" si="134"/>
        <v>37.313257490716772</v>
      </c>
    </row>
    <row r="1290" spans="1:9" ht="15.75" customHeight="1">
      <c r="A1290" s="14">
        <v>28522</v>
      </c>
      <c r="B1290">
        <v>88.98</v>
      </c>
      <c r="C1290" s="3">
        <f t="shared" si="135"/>
        <v>-1.269999999999996</v>
      </c>
      <c r="D1290" s="3">
        <f t="shared" si="131"/>
        <v>0</v>
      </c>
      <c r="E1290" s="3">
        <f t="shared" si="132"/>
        <v>1.269999999999996</v>
      </c>
      <c r="F1290" s="3">
        <f t="shared" si="130"/>
        <v>0.670065715532837</v>
      </c>
      <c r="G1290" s="3">
        <f t="shared" si="130"/>
        <v>1.216433126647857</v>
      </c>
      <c r="H1290" s="3">
        <f t="shared" si="133"/>
        <v>0.55084467929556236</v>
      </c>
      <c r="I1290" s="3">
        <f t="shared" si="134"/>
        <v>35.519010165851782</v>
      </c>
    </row>
    <row r="1291" spans="1:9" ht="15.75" customHeight="1">
      <c r="A1291" s="14">
        <v>28550</v>
      </c>
      <c r="B1291">
        <v>88.82</v>
      </c>
      <c r="C1291" s="3">
        <f t="shared" si="135"/>
        <v>-0.1600000000000108</v>
      </c>
      <c r="D1291" s="3">
        <f t="shared" si="131"/>
        <v>0</v>
      </c>
      <c r="E1291" s="3">
        <f t="shared" si="132"/>
        <v>0.1600000000000108</v>
      </c>
      <c r="F1291" s="3">
        <f t="shared" si="130"/>
        <v>0.62220387870906291</v>
      </c>
      <c r="G1291" s="3">
        <f t="shared" si="130"/>
        <v>1.1409736176015823</v>
      </c>
      <c r="H1291" s="3">
        <f t="shared" si="133"/>
        <v>0.5453271391296366</v>
      </c>
      <c r="I1291" s="3">
        <f t="shared" si="134"/>
        <v>35.288782894007625</v>
      </c>
    </row>
    <row r="1292" spans="1:9" ht="15.75" customHeight="1">
      <c r="A1292" s="14">
        <v>28581</v>
      </c>
      <c r="B1292">
        <v>92.71</v>
      </c>
      <c r="C1292" s="3">
        <f t="shared" si="135"/>
        <v>3.8900000000000006</v>
      </c>
      <c r="D1292" s="3">
        <f t="shared" si="131"/>
        <v>3.8900000000000006</v>
      </c>
      <c r="E1292" s="3">
        <f t="shared" si="132"/>
        <v>0</v>
      </c>
      <c r="F1292" s="3">
        <f t="shared" si="130"/>
        <v>0.85561788737270128</v>
      </c>
      <c r="G1292" s="3">
        <f t="shared" si="130"/>
        <v>1.0594755020586122</v>
      </c>
      <c r="H1292" s="3">
        <f t="shared" si="133"/>
        <v>0.80758628746978511</v>
      </c>
      <c r="I1292" s="3">
        <f t="shared" si="134"/>
        <v>44.677606433949251</v>
      </c>
    </row>
    <row r="1293" spans="1:9" ht="15.75" customHeight="1">
      <c r="A1293" s="14">
        <v>28611</v>
      </c>
      <c r="B1293">
        <v>97.41</v>
      </c>
      <c r="C1293" s="3">
        <f t="shared" si="135"/>
        <v>4.7000000000000028</v>
      </c>
      <c r="D1293" s="3">
        <f t="shared" si="131"/>
        <v>4.7000000000000028</v>
      </c>
      <c r="E1293" s="3">
        <f t="shared" si="132"/>
        <v>0</v>
      </c>
      <c r="F1293" s="3">
        <f t="shared" si="130"/>
        <v>1.1302166097032227</v>
      </c>
      <c r="G1293" s="3">
        <f t="shared" si="130"/>
        <v>0.98379868048299701</v>
      </c>
      <c r="H1293" s="3">
        <f t="shared" si="133"/>
        <v>1.1488291579618115</v>
      </c>
      <c r="I1293" s="3">
        <f t="shared" si="134"/>
        <v>53.463029096807723</v>
      </c>
    </row>
    <row r="1294" spans="1:9" ht="15.75" customHeight="1">
      <c r="A1294" s="14">
        <v>28642</v>
      </c>
      <c r="B1294">
        <v>97.66</v>
      </c>
      <c r="C1294" s="3">
        <f t="shared" si="135"/>
        <v>0.25</v>
      </c>
      <c r="D1294" s="3">
        <f t="shared" si="131"/>
        <v>0.25</v>
      </c>
      <c r="E1294" s="3">
        <f t="shared" si="132"/>
        <v>0</v>
      </c>
      <c r="F1294" s="3">
        <f t="shared" si="130"/>
        <v>1.067343994724421</v>
      </c>
      <c r="G1294" s="3">
        <f t="shared" si="130"/>
        <v>0.91352734616278297</v>
      </c>
      <c r="H1294" s="3">
        <f t="shared" si="133"/>
        <v>1.1683766219016165</v>
      </c>
      <c r="I1294" s="3">
        <f t="shared" si="134"/>
        <v>53.882550203708483</v>
      </c>
    </row>
    <row r="1295" spans="1:9" ht="15.75" customHeight="1">
      <c r="A1295" s="14">
        <v>28672</v>
      </c>
      <c r="B1295">
        <v>97.19</v>
      </c>
      <c r="C1295" s="3">
        <f t="shared" si="135"/>
        <v>-0.46999999999999886</v>
      </c>
      <c r="D1295" s="3">
        <f t="shared" si="131"/>
        <v>0</v>
      </c>
      <c r="E1295" s="3">
        <f t="shared" si="132"/>
        <v>0.46999999999999886</v>
      </c>
      <c r="F1295" s="3">
        <f t="shared" si="130"/>
        <v>0.99110513795839084</v>
      </c>
      <c r="G1295" s="3">
        <f t="shared" si="130"/>
        <v>0.88184682143686988</v>
      </c>
      <c r="H1295" s="3">
        <f t="shared" si="133"/>
        <v>1.1238971597623915</v>
      </c>
      <c r="I1295" s="3">
        <f t="shared" si="134"/>
        <v>52.916741029406815</v>
      </c>
    </row>
    <row r="1296" spans="1:9" ht="15.75" customHeight="1">
      <c r="A1296" s="14">
        <v>28703</v>
      </c>
      <c r="B1296">
        <v>103.9</v>
      </c>
      <c r="C1296" s="3">
        <f t="shared" si="135"/>
        <v>6.710000000000008</v>
      </c>
      <c r="D1296" s="3">
        <f t="shared" si="131"/>
        <v>6.710000000000008</v>
      </c>
      <c r="E1296" s="3">
        <f t="shared" si="132"/>
        <v>0</v>
      </c>
      <c r="F1296" s="3">
        <f t="shared" si="130"/>
        <v>1.3995976281042206</v>
      </c>
      <c r="G1296" s="3">
        <f t="shared" si="130"/>
        <v>0.81885776276280775</v>
      </c>
      <c r="H1296" s="3">
        <f t="shared" si="133"/>
        <v>1.7092072539948935</v>
      </c>
      <c r="I1296" s="3">
        <f t="shared" si="134"/>
        <v>63.088833512997645</v>
      </c>
    </row>
    <row r="1297" spans="1:9" ht="15.75" customHeight="1">
      <c r="A1297" s="14">
        <v>28734</v>
      </c>
      <c r="B1297">
        <v>103.9</v>
      </c>
      <c r="C1297" s="3">
        <f t="shared" si="135"/>
        <v>0</v>
      </c>
      <c r="D1297" s="3">
        <f t="shared" si="131"/>
        <v>0</v>
      </c>
      <c r="E1297" s="3">
        <f t="shared" si="132"/>
        <v>0</v>
      </c>
      <c r="F1297" s="3">
        <f t="shared" si="130"/>
        <v>1.2996263689539191</v>
      </c>
      <c r="G1297" s="3">
        <f t="shared" si="130"/>
        <v>0.76036792256546437</v>
      </c>
      <c r="H1297" s="3">
        <f t="shared" si="133"/>
        <v>1.7092072539948935</v>
      </c>
      <c r="I1297" s="3">
        <f t="shared" si="134"/>
        <v>63.088833512997645</v>
      </c>
    </row>
    <row r="1298" spans="1:9" ht="15.75" customHeight="1">
      <c r="A1298" s="14">
        <v>28764</v>
      </c>
      <c r="B1298">
        <v>100.6</v>
      </c>
      <c r="C1298" s="3">
        <f t="shared" si="135"/>
        <v>-3.3000000000000114</v>
      </c>
      <c r="D1298" s="3">
        <f t="shared" si="131"/>
        <v>0</v>
      </c>
      <c r="E1298" s="3">
        <f t="shared" si="132"/>
        <v>3.3000000000000114</v>
      </c>
      <c r="F1298" s="3">
        <f t="shared" ref="F1298:G1361" si="136">((F1297*13)+D1298)/14</f>
        <v>1.2067959140286393</v>
      </c>
      <c r="G1298" s="3">
        <f t="shared" si="136"/>
        <v>0.94177021381078918</v>
      </c>
      <c r="H1298" s="3">
        <f t="shared" si="133"/>
        <v>1.2814122769347813</v>
      </c>
      <c r="I1298" s="3">
        <f t="shared" si="134"/>
        <v>56.167501590569067</v>
      </c>
    </row>
    <row r="1299" spans="1:9" ht="15.75" customHeight="1">
      <c r="A1299" s="14">
        <v>28795</v>
      </c>
      <c r="B1299">
        <v>94.71</v>
      </c>
      <c r="C1299" s="3">
        <f t="shared" si="135"/>
        <v>-5.8900000000000006</v>
      </c>
      <c r="D1299" s="3">
        <f t="shared" si="131"/>
        <v>0</v>
      </c>
      <c r="E1299" s="3">
        <f t="shared" si="132"/>
        <v>5.8900000000000006</v>
      </c>
      <c r="F1299" s="3">
        <f t="shared" si="136"/>
        <v>1.1205962058837364</v>
      </c>
      <c r="G1299" s="3">
        <f t="shared" si="136"/>
        <v>1.29521519853859</v>
      </c>
      <c r="H1299" s="3">
        <f t="shared" si="133"/>
        <v>0.86518148269733186</v>
      </c>
      <c r="I1299" s="3">
        <f t="shared" si="134"/>
        <v>46.385914224612065</v>
      </c>
    </row>
    <row r="1300" spans="1:9" ht="15.75" customHeight="1">
      <c r="A1300" s="14">
        <v>28825</v>
      </c>
      <c r="B1300">
        <v>96.11</v>
      </c>
      <c r="C1300" s="3">
        <f t="shared" si="135"/>
        <v>1.4000000000000057</v>
      </c>
      <c r="D1300" s="3">
        <f t="shared" si="131"/>
        <v>1.4000000000000057</v>
      </c>
      <c r="E1300" s="3">
        <f t="shared" si="132"/>
        <v>0</v>
      </c>
      <c r="F1300" s="3">
        <f t="shared" si="136"/>
        <v>1.1405536197491843</v>
      </c>
      <c r="G1300" s="3">
        <f t="shared" si="136"/>
        <v>1.2026998272144049</v>
      </c>
      <c r="H1300" s="3">
        <f t="shared" si="133"/>
        <v>0.94832774890376548</v>
      </c>
      <c r="I1300" s="3">
        <f t="shared" si="134"/>
        <v>48.673933296764162</v>
      </c>
    </row>
    <row r="1301" spans="1:9" ht="15.75" customHeight="1">
      <c r="A1301" s="14">
        <v>28856</v>
      </c>
      <c r="B1301">
        <v>99.71</v>
      </c>
      <c r="C1301" s="3">
        <f t="shared" si="135"/>
        <v>3.5999999999999943</v>
      </c>
      <c r="D1301" s="3">
        <f t="shared" si="131"/>
        <v>3.5999999999999943</v>
      </c>
      <c r="E1301" s="3">
        <f t="shared" si="132"/>
        <v>0</v>
      </c>
      <c r="F1301" s="3">
        <f t="shared" si="136"/>
        <v>1.3162283611956709</v>
      </c>
      <c r="G1301" s="3">
        <f t="shared" si="136"/>
        <v>1.1167926966990902</v>
      </c>
      <c r="H1301" s="3">
        <f t="shared" si="133"/>
        <v>1.1785789476292723</v>
      </c>
      <c r="I1301" s="3">
        <f t="shared" si="134"/>
        <v>54.09851907876925</v>
      </c>
    </row>
    <row r="1302" spans="1:9" ht="15.75" customHeight="1">
      <c r="A1302" s="14">
        <v>28887</v>
      </c>
      <c r="B1302">
        <v>98.23</v>
      </c>
      <c r="C1302" s="3">
        <f t="shared" si="135"/>
        <v>-1.4799999999999898</v>
      </c>
      <c r="D1302" s="3">
        <f t="shared" si="131"/>
        <v>0</v>
      </c>
      <c r="E1302" s="3">
        <f t="shared" si="132"/>
        <v>1.4799999999999898</v>
      </c>
      <c r="F1302" s="3">
        <f t="shared" si="136"/>
        <v>1.2222120496816944</v>
      </c>
      <c r="G1302" s="3">
        <f t="shared" si="136"/>
        <v>1.1427360755062972</v>
      </c>
      <c r="H1302" s="3">
        <f t="shared" si="133"/>
        <v>1.0695488449860873</v>
      </c>
      <c r="I1302" s="3">
        <f t="shared" si="134"/>
        <v>51.680290009935838</v>
      </c>
    </row>
    <row r="1303" spans="1:9" ht="15.75" customHeight="1">
      <c r="A1303" s="14">
        <v>28915</v>
      </c>
      <c r="B1303">
        <v>100.1</v>
      </c>
      <c r="C1303" s="3">
        <f t="shared" si="135"/>
        <v>1.8699999999999903</v>
      </c>
      <c r="D1303" s="3">
        <f t="shared" si="131"/>
        <v>1.8699999999999903</v>
      </c>
      <c r="E1303" s="3">
        <f t="shared" si="132"/>
        <v>0</v>
      </c>
      <c r="F1303" s="3">
        <f t="shared" si="136"/>
        <v>1.2684826175615727</v>
      </c>
      <c r="G1303" s="3">
        <f t="shared" si="136"/>
        <v>1.0611120701129901</v>
      </c>
      <c r="H1303" s="3">
        <f t="shared" si="133"/>
        <v>1.1954275644291759</v>
      </c>
      <c r="I1303" s="3">
        <f t="shared" si="134"/>
        <v>54.450785978903113</v>
      </c>
    </row>
    <row r="1304" spans="1:9" ht="15.75" customHeight="1">
      <c r="A1304" s="14">
        <v>28946</v>
      </c>
      <c r="B1304">
        <v>102.1</v>
      </c>
      <c r="C1304" s="3">
        <f t="shared" si="135"/>
        <v>2</v>
      </c>
      <c r="D1304" s="3">
        <f t="shared" si="131"/>
        <v>2</v>
      </c>
      <c r="E1304" s="3">
        <f t="shared" si="132"/>
        <v>0</v>
      </c>
      <c r="F1304" s="3">
        <f t="shared" si="136"/>
        <v>1.3207338591643174</v>
      </c>
      <c r="G1304" s="3">
        <f t="shared" si="136"/>
        <v>0.98531835081920516</v>
      </c>
      <c r="H1304" s="3">
        <f t="shared" si="133"/>
        <v>1.3404133375433878</v>
      </c>
      <c r="I1304" s="3">
        <f t="shared" si="134"/>
        <v>57.272504648702402</v>
      </c>
    </row>
    <row r="1305" spans="1:9" ht="15.75" customHeight="1">
      <c r="A1305" s="14">
        <v>28976</v>
      </c>
      <c r="B1305">
        <v>99.73</v>
      </c>
      <c r="C1305" s="3">
        <f t="shared" si="135"/>
        <v>-2.3699999999999903</v>
      </c>
      <c r="D1305" s="3">
        <f t="shared" si="131"/>
        <v>0</v>
      </c>
      <c r="E1305" s="3">
        <f t="shared" si="132"/>
        <v>2.3699999999999903</v>
      </c>
      <c r="F1305" s="3">
        <f t="shared" si="136"/>
        <v>1.2263957263668661</v>
      </c>
      <c r="G1305" s="3">
        <f t="shared" si="136"/>
        <v>1.0842241829035471</v>
      </c>
      <c r="H1305" s="3">
        <f t="shared" si="133"/>
        <v>1.131127441819813</v>
      </c>
      <c r="I1305" s="3">
        <f t="shared" si="134"/>
        <v>53.076480534356044</v>
      </c>
    </row>
    <row r="1306" spans="1:9" ht="15.75" customHeight="1">
      <c r="A1306" s="14">
        <v>29007</v>
      </c>
      <c r="B1306">
        <v>101.7</v>
      </c>
      <c r="C1306" s="3">
        <f t="shared" si="135"/>
        <v>1.9699999999999989</v>
      </c>
      <c r="D1306" s="3">
        <f t="shared" si="131"/>
        <v>1.9699999999999989</v>
      </c>
      <c r="E1306" s="3">
        <f t="shared" si="132"/>
        <v>0</v>
      </c>
      <c r="F1306" s="3">
        <f t="shared" si="136"/>
        <v>1.2795103173406612</v>
      </c>
      <c r="G1306" s="3">
        <f t="shared" si="136"/>
        <v>1.0067795984104364</v>
      </c>
      <c r="H1306" s="3">
        <f t="shared" si="133"/>
        <v>1.2708941652779102</v>
      </c>
      <c r="I1306" s="3">
        <f t="shared" si="134"/>
        <v>55.964482392440303</v>
      </c>
    </row>
    <row r="1307" spans="1:9" ht="15.75" customHeight="1">
      <c r="A1307" s="14">
        <v>29037</v>
      </c>
      <c r="B1307">
        <v>102.7</v>
      </c>
      <c r="C1307" s="3">
        <f t="shared" si="135"/>
        <v>1</v>
      </c>
      <c r="D1307" s="3">
        <f t="shared" si="131"/>
        <v>1</v>
      </c>
      <c r="E1307" s="3">
        <f t="shared" si="132"/>
        <v>0</v>
      </c>
      <c r="F1307" s="3">
        <f t="shared" si="136"/>
        <v>1.2595452946734711</v>
      </c>
      <c r="G1307" s="3">
        <f t="shared" si="136"/>
        <v>0.93486676995254814</v>
      </c>
      <c r="H1307" s="3">
        <f t="shared" si="133"/>
        <v>1.3472992464342304</v>
      </c>
      <c r="I1307" s="3">
        <f t="shared" si="134"/>
        <v>57.397847695853244</v>
      </c>
    </row>
    <row r="1308" spans="1:9" ht="15.75" customHeight="1">
      <c r="A1308" s="14">
        <v>29068</v>
      </c>
      <c r="B1308">
        <v>107.4</v>
      </c>
      <c r="C1308" s="3">
        <f t="shared" si="135"/>
        <v>4.7000000000000028</v>
      </c>
      <c r="D1308" s="3">
        <f t="shared" si="131"/>
        <v>4.7000000000000028</v>
      </c>
      <c r="E1308" s="3">
        <f t="shared" si="132"/>
        <v>0</v>
      </c>
      <c r="F1308" s="3">
        <f t="shared" si="136"/>
        <v>1.5052920593396519</v>
      </c>
      <c r="G1308" s="3">
        <f t="shared" si="136"/>
        <v>0.8680905720987947</v>
      </c>
      <c r="H1308" s="3">
        <f t="shared" si="133"/>
        <v>1.7340265033639131</v>
      </c>
      <c r="I1308" s="3">
        <f t="shared" si="134"/>
        <v>63.423909798620748</v>
      </c>
    </row>
    <row r="1309" spans="1:9" ht="15.75" customHeight="1">
      <c r="A1309" s="14">
        <v>29099</v>
      </c>
      <c r="B1309">
        <v>108.6</v>
      </c>
      <c r="C1309" s="3">
        <f t="shared" si="135"/>
        <v>1.1999999999999886</v>
      </c>
      <c r="D1309" s="3">
        <f t="shared" si="131"/>
        <v>1.1999999999999886</v>
      </c>
      <c r="E1309" s="3">
        <f t="shared" si="132"/>
        <v>0</v>
      </c>
      <c r="F1309" s="3">
        <f t="shared" si="136"/>
        <v>1.4834854836725331</v>
      </c>
      <c r="G1309" s="3">
        <f t="shared" si="136"/>
        <v>0.80608410266316644</v>
      </c>
      <c r="H1309" s="3">
        <f t="shared" si="133"/>
        <v>1.8403606754820574</v>
      </c>
      <c r="I1309" s="3">
        <f t="shared" si="134"/>
        <v>64.793203601500963</v>
      </c>
    </row>
    <row r="1310" spans="1:9" ht="15.75" customHeight="1">
      <c r="A1310" s="14">
        <v>29129</v>
      </c>
      <c r="B1310">
        <v>104.5</v>
      </c>
      <c r="C1310" s="3">
        <f t="shared" si="135"/>
        <v>-4.0999999999999943</v>
      </c>
      <c r="D1310" s="3">
        <f t="shared" si="131"/>
        <v>0</v>
      </c>
      <c r="E1310" s="3">
        <f t="shared" si="132"/>
        <v>4.0999999999999943</v>
      </c>
      <c r="F1310" s="3">
        <f t="shared" si="136"/>
        <v>1.3775222348387806</v>
      </c>
      <c r="G1310" s="3">
        <f t="shared" si="136"/>
        <v>1.0413638096157969</v>
      </c>
      <c r="H1310" s="3">
        <f t="shared" si="133"/>
        <v>1.3228059417073528</v>
      </c>
      <c r="I1310" s="3">
        <f t="shared" si="134"/>
        <v>56.94862054361024</v>
      </c>
    </row>
    <row r="1311" spans="1:9" ht="15.75" customHeight="1">
      <c r="A1311" s="14">
        <v>29160</v>
      </c>
      <c r="B1311">
        <v>103.7</v>
      </c>
      <c r="C1311" s="3">
        <f t="shared" si="135"/>
        <v>-0.79999999999999716</v>
      </c>
      <c r="D1311" s="3">
        <f t="shared" si="131"/>
        <v>0</v>
      </c>
      <c r="E1311" s="3">
        <f t="shared" si="132"/>
        <v>0.79999999999999716</v>
      </c>
      <c r="F1311" s="3">
        <f t="shared" si="136"/>
        <v>1.2791277894931532</v>
      </c>
      <c r="G1311" s="3">
        <f t="shared" si="136"/>
        <v>1.0241235375003825</v>
      </c>
      <c r="H1311" s="3">
        <f t="shared" si="133"/>
        <v>1.2489975502517687</v>
      </c>
      <c r="I1311" s="3">
        <f t="shared" si="134"/>
        <v>55.535745252899325</v>
      </c>
    </row>
    <row r="1312" spans="1:9" ht="15.75" customHeight="1">
      <c r="A1312" s="14">
        <v>29190</v>
      </c>
      <c r="B1312">
        <v>107.8</v>
      </c>
      <c r="C1312" s="3">
        <f t="shared" si="135"/>
        <v>4.0999999999999943</v>
      </c>
      <c r="D1312" s="3">
        <f t="shared" si="131"/>
        <v>4.0999999999999943</v>
      </c>
      <c r="E1312" s="3">
        <f t="shared" si="132"/>
        <v>0</v>
      </c>
      <c r="F1312" s="3">
        <f t="shared" si="136"/>
        <v>1.4806186616722132</v>
      </c>
      <c r="G1312" s="3">
        <f t="shared" si="136"/>
        <v>0.95097185625035519</v>
      </c>
      <c r="H1312" s="3">
        <f t="shared" si="133"/>
        <v>1.5569531863016794</v>
      </c>
      <c r="I1312" s="3">
        <f t="shared" si="134"/>
        <v>60.890953915101676</v>
      </c>
    </row>
    <row r="1313" spans="1:9" ht="15.75" customHeight="1">
      <c r="A1313" s="14">
        <v>29221</v>
      </c>
      <c r="B1313">
        <v>110.9</v>
      </c>
      <c r="C1313" s="3">
        <f t="shared" si="135"/>
        <v>3.1000000000000085</v>
      </c>
      <c r="D1313" s="3">
        <f t="shared" si="131"/>
        <v>3.1000000000000085</v>
      </c>
      <c r="E1313" s="3">
        <f t="shared" si="132"/>
        <v>0</v>
      </c>
      <c r="F1313" s="3">
        <f t="shared" si="136"/>
        <v>1.5962887572670557</v>
      </c>
      <c r="G1313" s="3">
        <f t="shared" si="136"/>
        <v>0.8830452950896156</v>
      </c>
      <c r="H1313" s="3">
        <f t="shared" si="133"/>
        <v>1.8077088074004819</v>
      </c>
      <c r="I1313" s="3">
        <f t="shared" si="134"/>
        <v>64.383770946466115</v>
      </c>
    </row>
    <row r="1314" spans="1:9" ht="15.75" customHeight="1">
      <c r="A1314" s="14">
        <v>29252</v>
      </c>
      <c r="B1314">
        <v>115.3</v>
      </c>
      <c r="C1314" s="3">
        <f t="shared" si="135"/>
        <v>4.3999999999999915</v>
      </c>
      <c r="D1314" s="3">
        <f t="shared" si="131"/>
        <v>4.3999999999999915</v>
      </c>
      <c r="E1314" s="3">
        <f t="shared" si="132"/>
        <v>0</v>
      </c>
      <c r="F1314" s="3">
        <f t="shared" si="136"/>
        <v>1.7965538460336938</v>
      </c>
      <c r="G1314" s="3">
        <f t="shared" si="136"/>
        <v>0.81997063115464308</v>
      </c>
      <c r="H1314" s="3">
        <f t="shared" si="133"/>
        <v>2.1909977964745804</v>
      </c>
      <c r="I1314" s="3">
        <f t="shared" si="134"/>
        <v>68.661839845054061</v>
      </c>
    </row>
    <row r="1315" spans="1:9" ht="15.75" customHeight="1">
      <c r="A1315" s="14">
        <v>29281</v>
      </c>
      <c r="B1315">
        <v>104.7</v>
      </c>
      <c r="C1315" s="3">
        <f t="shared" si="135"/>
        <v>-10.599999999999994</v>
      </c>
      <c r="D1315" s="3">
        <f t="shared" si="131"/>
        <v>0</v>
      </c>
      <c r="E1315" s="3">
        <f t="shared" si="132"/>
        <v>10.599999999999994</v>
      </c>
      <c r="F1315" s="3">
        <f t="shared" si="136"/>
        <v>1.6682285713170015</v>
      </c>
      <c r="G1315" s="3">
        <f t="shared" si="136"/>
        <v>1.5185441575007397</v>
      </c>
      <c r="H1315" s="3">
        <f t="shared" si="133"/>
        <v>1.098570998463829</v>
      </c>
      <c r="I1315" s="3">
        <f t="shared" si="134"/>
        <v>52.348526653041134</v>
      </c>
    </row>
    <row r="1316" spans="1:9" ht="15.75" customHeight="1">
      <c r="A1316" s="14">
        <v>29312</v>
      </c>
      <c r="B1316">
        <v>103</v>
      </c>
      <c r="C1316" s="3">
        <f t="shared" si="135"/>
        <v>-1.7000000000000028</v>
      </c>
      <c r="D1316" s="3">
        <f t="shared" si="131"/>
        <v>0</v>
      </c>
      <c r="E1316" s="3">
        <f t="shared" si="132"/>
        <v>1.7000000000000028</v>
      </c>
      <c r="F1316" s="3">
        <f t="shared" si="136"/>
        <v>1.5490693876515014</v>
      </c>
      <c r="G1316" s="3">
        <f t="shared" si="136"/>
        <v>1.53150528910783</v>
      </c>
      <c r="H1316" s="3">
        <f t="shared" si="133"/>
        <v>1.011468519677071</v>
      </c>
      <c r="I1316" s="3">
        <f t="shared" si="134"/>
        <v>50.285078279000665</v>
      </c>
    </row>
    <row r="1317" spans="1:9" ht="15.75" customHeight="1">
      <c r="A1317" s="14">
        <v>29342</v>
      </c>
      <c r="B1317">
        <v>107.7</v>
      </c>
      <c r="C1317" s="3">
        <f t="shared" si="135"/>
        <v>4.7000000000000028</v>
      </c>
      <c r="D1317" s="3">
        <f t="shared" si="131"/>
        <v>4.7000000000000028</v>
      </c>
      <c r="E1317" s="3">
        <f t="shared" si="132"/>
        <v>0</v>
      </c>
      <c r="F1317" s="3">
        <f t="shared" si="136"/>
        <v>1.7741358599621084</v>
      </c>
      <c r="G1317" s="3">
        <f t="shared" si="136"/>
        <v>1.4221120541715564</v>
      </c>
      <c r="H1317" s="3">
        <f t="shared" si="133"/>
        <v>1.2475359130512551</v>
      </c>
      <c r="I1317" s="3">
        <f t="shared" si="134"/>
        <v>55.506828870093564</v>
      </c>
    </row>
    <row r="1318" spans="1:9" ht="15.75" customHeight="1">
      <c r="A1318" s="14">
        <v>29373</v>
      </c>
      <c r="B1318">
        <v>114.6</v>
      </c>
      <c r="C1318" s="3">
        <f t="shared" si="135"/>
        <v>6.8999999999999915</v>
      </c>
      <c r="D1318" s="3">
        <f t="shared" ref="D1318:D1381" si="137">IF(C1318&gt;0,C1318,0)</f>
        <v>6.8999999999999915</v>
      </c>
      <c r="E1318" s="3">
        <f t="shared" ref="E1318:E1381" si="138">IF(C1318&lt;0,-C1318,0)</f>
        <v>0</v>
      </c>
      <c r="F1318" s="3">
        <f t="shared" si="136"/>
        <v>2.1402690128219573</v>
      </c>
      <c r="G1318" s="3">
        <f t="shared" si="136"/>
        <v>1.3205326217307309</v>
      </c>
      <c r="H1318" s="3">
        <f t="shared" ref="H1318:H1381" si="139">F1318/G1318</f>
        <v>1.620761939236953</v>
      </c>
      <c r="I1318" s="3">
        <f t="shared" ref="I1318:I1381" si="140">IF(G1318=0,100,100-(100/(1+H1318)))</f>
        <v>61.843157708129922</v>
      </c>
    </row>
    <row r="1319" spans="1:9" ht="15.75" customHeight="1">
      <c r="A1319" s="14">
        <v>29403</v>
      </c>
      <c r="B1319">
        <v>119.8</v>
      </c>
      <c r="C1319" s="3">
        <f t="shared" si="135"/>
        <v>5.2000000000000028</v>
      </c>
      <c r="D1319" s="3">
        <f t="shared" si="137"/>
        <v>5.2000000000000028</v>
      </c>
      <c r="E1319" s="3">
        <f t="shared" si="138"/>
        <v>0</v>
      </c>
      <c r="F1319" s="3">
        <f t="shared" si="136"/>
        <v>2.3588212261918176</v>
      </c>
      <c r="G1319" s="3">
        <f t="shared" si="136"/>
        <v>1.2262088630356787</v>
      </c>
      <c r="H1319" s="3">
        <f t="shared" si="139"/>
        <v>1.9236700184601287</v>
      </c>
      <c r="I1319" s="3">
        <f t="shared" si="140"/>
        <v>65.79641362787271</v>
      </c>
    </row>
    <row r="1320" spans="1:9" ht="15.75" customHeight="1">
      <c r="A1320" s="14">
        <v>29434</v>
      </c>
      <c r="B1320">
        <v>123.5</v>
      </c>
      <c r="C1320" s="3">
        <f t="shared" si="135"/>
        <v>3.7000000000000028</v>
      </c>
      <c r="D1320" s="3">
        <f t="shared" si="137"/>
        <v>3.7000000000000028</v>
      </c>
      <c r="E1320" s="3">
        <f t="shared" si="138"/>
        <v>0</v>
      </c>
      <c r="F1320" s="3">
        <f t="shared" si="136"/>
        <v>2.4546197100352591</v>
      </c>
      <c r="G1320" s="3">
        <f t="shared" si="136"/>
        <v>1.1386225156759873</v>
      </c>
      <c r="H1320" s="3">
        <f t="shared" si="139"/>
        <v>2.1557800554980062</v>
      </c>
      <c r="I1320" s="3">
        <f t="shared" si="140"/>
        <v>68.312113568947936</v>
      </c>
    </row>
    <row r="1321" spans="1:9" ht="15.75" customHeight="1">
      <c r="A1321" s="14">
        <v>29465</v>
      </c>
      <c r="B1321">
        <v>126.5</v>
      </c>
      <c r="C1321" s="3">
        <f t="shared" si="135"/>
        <v>3</v>
      </c>
      <c r="D1321" s="3">
        <f t="shared" si="137"/>
        <v>3</v>
      </c>
      <c r="E1321" s="3">
        <f t="shared" si="138"/>
        <v>0</v>
      </c>
      <c r="F1321" s="3">
        <f t="shared" si="136"/>
        <v>2.4935754450327403</v>
      </c>
      <c r="G1321" s="3">
        <f t="shared" si="136"/>
        <v>1.0572923359848454</v>
      </c>
      <c r="H1321" s="3">
        <f t="shared" si="139"/>
        <v>2.3584541003127839</v>
      </c>
      <c r="I1321" s="3">
        <f t="shared" si="140"/>
        <v>70.224395804400999</v>
      </c>
    </row>
    <row r="1322" spans="1:9" ht="15.75" customHeight="1">
      <c r="A1322" s="14">
        <v>29495</v>
      </c>
      <c r="B1322">
        <v>130.19999999999999</v>
      </c>
      <c r="C1322" s="3">
        <f t="shared" si="135"/>
        <v>3.6999999999999886</v>
      </c>
      <c r="D1322" s="3">
        <f t="shared" si="137"/>
        <v>3.6999999999999886</v>
      </c>
      <c r="E1322" s="3">
        <f t="shared" si="138"/>
        <v>0</v>
      </c>
      <c r="F1322" s="3">
        <f t="shared" si="136"/>
        <v>2.5797486275304009</v>
      </c>
      <c r="G1322" s="3">
        <f t="shared" si="136"/>
        <v>0.98177145484307071</v>
      </c>
      <c r="H1322" s="3">
        <f t="shared" si="139"/>
        <v>2.6276468059898477</v>
      </c>
      <c r="I1322" s="3">
        <f t="shared" si="140"/>
        <v>72.433920569421645</v>
      </c>
    </row>
    <row r="1323" spans="1:9" ht="15.75" customHeight="1">
      <c r="A1323" s="14">
        <v>29526</v>
      </c>
      <c r="B1323">
        <v>135.69999999999999</v>
      </c>
      <c r="C1323" s="3">
        <f t="shared" ref="C1323:C1386" si="141">B1323-B1322</f>
        <v>5.5</v>
      </c>
      <c r="D1323" s="3">
        <f t="shared" si="137"/>
        <v>5.5</v>
      </c>
      <c r="E1323" s="3">
        <f t="shared" si="138"/>
        <v>0</v>
      </c>
      <c r="F1323" s="3">
        <f t="shared" si="136"/>
        <v>2.788338011278229</v>
      </c>
      <c r="G1323" s="3">
        <f t="shared" si="136"/>
        <v>0.91164492235427996</v>
      </c>
      <c r="H1323" s="3">
        <f t="shared" si="139"/>
        <v>3.0585789959510525</v>
      </c>
      <c r="I1323" s="3">
        <f t="shared" si="140"/>
        <v>75.360834395545169</v>
      </c>
    </row>
    <row r="1324" spans="1:9" ht="15.75" customHeight="1">
      <c r="A1324" s="14">
        <v>29556</v>
      </c>
      <c r="B1324">
        <v>133.5</v>
      </c>
      <c r="C1324" s="3">
        <f t="shared" si="141"/>
        <v>-2.1999999999999886</v>
      </c>
      <c r="D1324" s="3">
        <f t="shared" si="137"/>
        <v>0</v>
      </c>
      <c r="E1324" s="3">
        <f t="shared" si="138"/>
        <v>2.1999999999999886</v>
      </c>
      <c r="F1324" s="3">
        <f t="shared" si="136"/>
        <v>2.5891710104726409</v>
      </c>
      <c r="G1324" s="3">
        <f t="shared" si="136"/>
        <v>1.0036702850432593</v>
      </c>
      <c r="H1324" s="3">
        <f t="shared" si="139"/>
        <v>2.5797027659945564</v>
      </c>
      <c r="I1324" s="3">
        <f t="shared" si="140"/>
        <v>72.064719744345368</v>
      </c>
    </row>
    <row r="1325" spans="1:9" ht="15.75" customHeight="1">
      <c r="A1325" s="14">
        <v>29587</v>
      </c>
      <c r="B1325">
        <v>133</v>
      </c>
      <c r="C1325" s="3">
        <f t="shared" si="141"/>
        <v>-0.5</v>
      </c>
      <c r="D1325" s="3">
        <f t="shared" si="137"/>
        <v>0</v>
      </c>
      <c r="E1325" s="3">
        <f t="shared" si="138"/>
        <v>0.5</v>
      </c>
      <c r="F1325" s="3">
        <f t="shared" si="136"/>
        <v>2.4042302240103095</v>
      </c>
      <c r="G1325" s="3">
        <f t="shared" si="136"/>
        <v>0.96769383611159798</v>
      </c>
      <c r="H1325" s="3">
        <f t="shared" si="139"/>
        <v>2.4844947175348597</v>
      </c>
      <c r="I1325" s="3">
        <f t="shared" si="140"/>
        <v>71.301434467162579</v>
      </c>
    </row>
    <row r="1326" spans="1:9" ht="15.75" customHeight="1">
      <c r="A1326" s="14">
        <v>29618</v>
      </c>
      <c r="B1326">
        <v>128.4</v>
      </c>
      <c r="C1326" s="3">
        <f t="shared" si="141"/>
        <v>-4.5999999999999943</v>
      </c>
      <c r="D1326" s="3">
        <f t="shared" si="137"/>
        <v>0</v>
      </c>
      <c r="E1326" s="3">
        <f t="shared" si="138"/>
        <v>4.5999999999999943</v>
      </c>
      <c r="F1326" s="3">
        <f t="shared" si="136"/>
        <v>2.2324994937238589</v>
      </c>
      <c r="G1326" s="3">
        <f t="shared" si="136"/>
        <v>1.2271442763893405</v>
      </c>
      <c r="H1326" s="3">
        <f t="shared" si="139"/>
        <v>1.8192640724305067</v>
      </c>
      <c r="I1326" s="3">
        <f t="shared" si="140"/>
        <v>64.529750519684626</v>
      </c>
    </row>
    <row r="1327" spans="1:9" ht="15.75" customHeight="1">
      <c r="A1327" s="14">
        <v>29646</v>
      </c>
      <c r="B1327">
        <v>133.19999999999999</v>
      </c>
      <c r="C1327" s="3">
        <f t="shared" si="141"/>
        <v>4.7999999999999829</v>
      </c>
      <c r="D1327" s="3">
        <f t="shared" si="137"/>
        <v>4.7999999999999829</v>
      </c>
      <c r="E1327" s="3">
        <f t="shared" si="138"/>
        <v>0</v>
      </c>
      <c r="F1327" s="3">
        <f t="shared" si="136"/>
        <v>2.4158923870292961</v>
      </c>
      <c r="G1327" s="3">
        <f t="shared" si="136"/>
        <v>1.1394911137901018</v>
      </c>
      <c r="H1327" s="3">
        <f t="shared" si="139"/>
        <v>2.120150265142227</v>
      </c>
      <c r="I1327" s="3">
        <f t="shared" si="140"/>
        <v>67.95026152516354</v>
      </c>
    </row>
    <row r="1328" spans="1:9" ht="15.75" customHeight="1">
      <c r="A1328" s="14">
        <v>29677</v>
      </c>
      <c r="B1328">
        <v>134.4</v>
      </c>
      <c r="C1328" s="3">
        <f t="shared" si="141"/>
        <v>1.2000000000000171</v>
      </c>
      <c r="D1328" s="3">
        <f t="shared" si="137"/>
        <v>1.2000000000000171</v>
      </c>
      <c r="E1328" s="3">
        <f t="shared" si="138"/>
        <v>0</v>
      </c>
      <c r="F1328" s="3">
        <f t="shared" si="136"/>
        <v>2.3290429308129186</v>
      </c>
      <c r="G1328" s="3">
        <f t="shared" si="136"/>
        <v>1.0580988913765232</v>
      </c>
      <c r="H1328" s="3">
        <f t="shared" si="139"/>
        <v>2.201158086256922</v>
      </c>
      <c r="I1328" s="3">
        <f t="shared" si="140"/>
        <v>68.761305344676416</v>
      </c>
    </row>
    <row r="1329" spans="1:9" ht="15.75" customHeight="1">
      <c r="A1329" s="14">
        <v>29707</v>
      </c>
      <c r="B1329">
        <v>131.69999999999999</v>
      </c>
      <c r="C1329" s="3">
        <f t="shared" si="141"/>
        <v>-2.7000000000000171</v>
      </c>
      <c r="D1329" s="3">
        <f t="shared" si="137"/>
        <v>0</v>
      </c>
      <c r="E1329" s="3">
        <f t="shared" si="138"/>
        <v>2.7000000000000171</v>
      </c>
      <c r="F1329" s="3">
        <f t="shared" si="136"/>
        <v>2.1626827214691384</v>
      </c>
      <c r="G1329" s="3">
        <f t="shared" si="136"/>
        <v>1.1753775419924872</v>
      </c>
      <c r="H1329" s="3">
        <f t="shared" si="139"/>
        <v>1.8399898281219345</v>
      </c>
      <c r="I1329" s="3">
        <f t="shared" si="140"/>
        <v>64.788606279576257</v>
      </c>
    </row>
    <row r="1330" spans="1:9" ht="15.75" customHeight="1">
      <c r="A1330" s="14">
        <v>29738</v>
      </c>
      <c r="B1330">
        <v>132.30000000000001</v>
      </c>
      <c r="C1330" s="3">
        <f t="shared" si="141"/>
        <v>0.60000000000002274</v>
      </c>
      <c r="D1330" s="3">
        <f t="shared" si="137"/>
        <v>0.60000000000002274</v>
      </c>
      <c r="E1330" s="3">
        <f t="shared" si="138"/>
        <v>0</v>
      </c>
      <c r="F1330" s="3">
        <f t="shared" si="136"/>
        <v>2.051062527078487</v>
      </c>
      <c r="G1330" s="3">
        <f t="shared" si="136"/>
        <v>1.0914220032787381</v>
      </c>
      <c r="H1330" s="3">
        <f t="shared" si="139"/>
        <v>1.8792570801366431</v>
      </c>
      <c r="I1330" s="3">
        <f t="shared" si="140"/>
        <v>65.268818581752271</v>
      </c>
    </row>
    <row r="1331" spans="1:9" ht="15.75" customHeight="1">
      <c r="A1331" s="14">
        <v>29768</v>
      </c>
      <c r="B1331">
        <v>129.1</v>
      </c>
      <c r="C1331" s="3">
        <f t="shared" si="141"/>
        <v>-3.2000000000000171</v>
      </c>
      <c r="D1331" s="3">
        <f t="shared" si="137"/>
        <v>0</v>
      </c>
      <c r="E1331" s="3">
        <f t="shared" si="138"/>
        <v>3.2000000000000171</v>
      </c>
      <c r="F1331" s="3">
        <f t="shared" si="136"/>
        <v>1.904558060858595</v>
      </c>
      <c r="G1331" s="3">
        <f t="shared" si="136"/>
        <v>1.2420347173302579</v>
      </c>
      <c r="H1331" s="3">
        <f t="shared" si="139"/>
        <v>1.5334177332437413</v>
      </c>
      <c r="I1331" s="3">
        <f t="shared" si="140"/>
        <v>60.527630841218652</v>
      </c>
    </row>
    <row r="1332" spans="1:9" ht="15.75" customHeight="1">
      <c r="A1332" s="14">
        <v>29799</v>
      </c>
      <c r="B1332">
        <v>129.6</v>
      </c>
      <c r="C1332" s="3">
        <f t="shared" si="141"/>
        <v>0.5</v>
      </c>
      <c r="D1332" s="3">
        <f t="shared" si="137"/>
        <v>0.5</v>
      </c>
      <c r="E1332" s="3">
        <f t="shared" si="138"/>
        <v>0</v>
      </c>
      <c r="F1332" s="3">
        <f t="shared" si="136"/>
        <v>1.804232485082981</v>
      </c>
      <c r="G1332" s="3">
        <f t="shared" si="136"/>
        <v>1.1533179518066681</v>
      </c>
      <c r="H1332" s="3">
        <f t="shared" si="139"/>
        <v>1.5643842899147262</v>
      </c>
      <c r="I1332" s="3">
        <f t="shared" si="140"/>
        <v>61.004284578843169</v>
      </c>
    </row>
    <row r="1333" spans="1:9" ht="15.75" customHeight="1">
      <c r="A1333" s="14">
        <v>29830</v>
      </c>
      <c r="B1333">
        <v>118.3</v>
      </c>
      <c r="C1333" s="3">
        <f t="shared" si="141"/>
        <v>-11.299999999999997</v>
      </c>
      <c r="D1333" s="3">
        <f t="shared" si="137"/>
        <v>0</v>
      </c>
      <c r="E1333" s="3">
        <f t="shared" si="138"/>
        <v>11.299999999999997</v>
      </c>
      <c r="F1333" s="3">
        <f t="shared" si="136"/>
        <v>1.6753587361484823</v>
      </c>
      <c r="G1333" s="3">
        <f t="shared" si="136"/>
        <v>1.8780809552490487</v>
      </c>
      <c r="H1333" s="3">
        <f t="shared" si="139"/>
        <v>0.89205884946866743</v>
      </c>
      <c r="I1333" s="3">
        <f t="shared" si="140"/>
        <v>47.14752132150528</v>
      </c>
    </row>
    <row r="1334" spans="1:9" ht="15.75" customHeight="1">
      <c r="A1334" s="14">
        <v>29860</v>
      </c>
      <c r="B1334">
        <v>119.8</v>
      </c>
      <c r="C1334" s="3">
        <f t="shared" si="141"/>
        <v>1.5</v>
      </c>
      <c r="D1334" s="3">
        <f t="shared" si="137"/>
        <v>1.5</v>
      </c>
      <c r="E1334" s="3">
        <f t="shared" si="138"/>
        <v>0</v>
      </c>
      <c r="F1334" s="3">
        <f t="shared" si="136"/>
        <v>1.6628331121378765</v>
      </c>
      <c r="G1334" s="3">
        <f t="shared" si="136"/>
        <v>1.7439323155884023</v>
      </c>
      <c r="H1334" s="3">
        <f t="shared" si="139"/>
        <v>0.95349635835886037</v>
      </c>
      <c r="I1334" s="3">
        <f t="shared" si="140"/>
        <v>48.809733085957539</v>
      </c>
    </row>
    <row r="1335" spans="1:9" ht="15.75" customHeight="1">
      <c r="A1335" s="14">
        <v>29891</v>
      </c>
      <c r="B1335">
        <v>122.9</v>
      </c>
      <c r="C1335" s="3">
        <f t="shared" si="141"/>
        <v>3.1000000000000085</v>
      </c>
      <c r="D1335" s="3">
        <f t="shared" si="137"/>
        <v>3.1000000000000085</v>
      </c>
      <c r="E1335" s="3">
        <f t="shared" si="138"/>
        <v>0</v>
      </c>
      <c r="F1335" s="3">
        <f t="shared" si="136"/>
        <v>1.7654878898423145</v>
      </c>
      <c r="G1335" s="3">
        <f t="shared" si="136"/>
        <v>1.6193657216178021</v>
      </c>
      <c r="H1335" s="3">
        <f t="shared" si="139"/>
        <v>1.0902341986580593</v>
      </c>
      <c r="I1335" s="3">
        <f t="shared" si="140"/>
        <v>52.158471015257291</v>
      </c>
    </row>
    <row r="1336" spans="1:9" ht="15.75" customHeight="1">
      <c r="A1336" s="14">
        <v>29921</v>
      </c>
      <c r="B1336">
        <v>123.8</v>
      </c>
      <c r="C1336" s="3">
        <f t="shared" si="141"/>
        <v>0.89999999999999147</v>
      </c>
      <c r="D1336" s="3">
        <f t="shared" si="137"/>
        <v>0.89999999999999147</v>
      </c>
      <c r="E1336" s="3">
        <f t="shared" si="138"/>
        <v>0</v>
      </c>
      <c r="F1336" s="3">
        <f t="shared" si="136"/>
        <v>1.7036673262821487</v>
      </c>
      <c r="G1336" s="3">
        <f t="shared" si="136"/>
        <v>1.5036967415022449</v>
      </c>
      <c r="H1336" s="3">
        <f t="shared" si="139"/>
        <v>1.1329859799922997</v>
      </c>
      <c r="I1336" s="3">
        <f t="shared" si="140"/>
        <v>53.117366481536358</v>
      </c>
    </row>
    <row r="1337" spans="1:9" ht="15.75" customHeight="1">
      <c r="A1337" s="14">
        <v>29952</v>
      </c>
      <c r="B1337">
        <v>117.3</v>
      </c>
      <c r="C1337" s="3">
        <f t="shared" si="141"/>
        <v>-6.5</v>
      </c>
      <c r="D1337" s="3">
        <f t="shared" si="137"/>
        <v>0</v>
      </c>
      <c r="E1337" s="3">
        <f t="shared" si="138"/>
        <v>6.5</v>
      </c>
      <c r="F1337" s="3">
        <f t="shared" si="136"/>
        <v>1.5819768029762808</v>
      </c>
      <c r="G1337" s="3">
        <f t="shared" si="136"/>
        <v>1.8605755456806559</v>
      </c>
      <c r="H1337" s="3">
        <f t="shared" si="139"/>
        <v>0.85026206361190515</v>
      </c>
      <c r="I1337" s="3">
        <f t="shared" si="140"/>
        <v>45.953601942856928</v>
      </c>
    </row>
    <row r="1338" spans="1:9" ht="15.75" customHeight="1">
      <c r="A1338" s="14">
        <v>29983</v>
      </c>
      <c r="B1338">
        <v>114.5</v>
      </c>
      <c r="C1338" s="3">
        <f t="shared" si="141"/>
        <v>-2.7999999999999972</v>
      </c>
      <c r="D1338" s="3">
        <f t="shared" si="137"/>
        <v>0</v>
      </c>
      <c r="E1338" s="3">
        <f t="shared" si="138"/>
        <v>2.7999999999999972</v>
      </c>
      <c r="F1338" s="3">
        <f t="shared" si="136"/>
        <v>1.4689784599065465</v>
      </c>
      <c r="G1338" s="3">
        <f t="shared" si="136"/>
        <v>1.9276772924177517</v>
      </c>
      <c r="H1338" s="3">
        <f t="shared" si="139"/>
        <v>0.76204583914774915</v>
      </c>
      <c r="I1338" s="3">
        <f t="shared" si="140"/>
        <v>43.24778744214332</v>
      </c>
    </row>
    <row r="1339" spans="1:9" ht="15.75" customHeight="1">
      <c r="A1339" s="14">
        <v>30011</v>
      </c>
      <c r="B1339">
        <v>110.8</v>
      </c>
      <c r="C1339" s="3">
        <f t="shared" si="141"/>
        <v>-3.7000000000000028</v>
      </c>
      <c r="D1339" s="3">
        <f t="shared" si="137"/>
        <v>0</v>
      </c>
      <c r="E1339" s="3">
        <f t="shared" si="138"/>
        <v>3.7000000000000028</v>
      </c>
      <c r="F1339" s="3">
        <f t="shared" si="136"/>
        <v>1.3640514270560788</v>
      </c>
      <c r="G1339" s="3">
        <f t="shared" si="136"/>
        <v>2.0542717715307695</v>
      </c>
      <c r="H1339" s="3">
        <f t="shared" si="139"/>
        <v>0.66400728762369976</v>
      </c>
      <c r="I1339" s="3">
        <f t="shared" si="140"/>
        <v>39.904109348700104</v>
      </c>
    </row>
    <row r="1340" spans="1:9" ht="15.75" customHeight="1">
      <c r="A1340" s="14">
        <v>30042</v>
      </c>
      <c r="B1340">
        <v>116.3</v>
      </c>
      <c r="C1340" s="3">
        <f t="shared" si="141"/>
        <v>5.5</v>
      </c>
      <c r="D1340" s="3">
        <f t="shared" si="137"/>
        <v>5.5</v>
      </c>
      <c r="E1340" s="3">
        <f t="shared" si="138"/>
        <v>0</v>
      </c>
      <c r="F1340" s="3">
        <f t="shared" si="136"/>
        <v>1.6594763251235016</v>
      </c>
      <c r="G1340" s="3">
        <f t="shared" si="136"/>
        <v>1.907538073564286</v>
      </c>
      <c r="H1340" s="3">
        <f t="shared" si="139"/>
        <v>0.86995711808924769</v>
      </c>
      <c r="I1340" s="3">
        <f t="shared" si="140"/>
        <v>46.522837859414864</v>
      </c>
    </row>
    <row r="1341" spans="1:9" ht="15.75" customHeight="1">
      <c r="A1341" s="14">
        <v>30072</v>
      </c>
      <c r="B1341">
        <v>116.4</v>
      </c>
      <c r="C1341" s="3">
        <f t="shared" si="141"/>
        <v>0.10000000000000853</v>
      </c>
      <c r="D1341" s="3">
        <f t="shared" si="137"/>
        <v>0.10000000000000853</v>
      </c>
      <c r="E1341" s="3">
        <f t="shared" si="138"/>
        <v>0</v>
      </c>
      <c r="F1341" s="3">
        <f t="shared" si="136"/>
        <v>1.5480851590432521</v>
      </c>
      <c r="G1341" s="3">
        <f t="shared" si="136"/>
        <v>1.7712853540239799</v>
      </c>
      <c r="H1341" s="3">
        <f t="shared" si="139"/>
        <v>0.87398970218227967</v>
      </c>
      <c r="I1341" s="3">
        <f t="shared" si="140"/>
        <v>46.637913813747751</v>
      </c>
    </row>
    <row r="1342" spans="1:9" ht="15.75" customHeight="1">
      <c r="A1342" s="14">
        <v>30103</v>
      </c>
      <c r="B1342">
        <v>109.7</v>
      </c>
      <c r="C1342" s="3">
        <f t="shared" si="141"/>
        <v>-6.7000000000000028</v>
      </c>
      <c r="D1342" s="3">
        <f t="shared" si="137"/>
        <v>0</v>
      </c>
      <c r="E1342" s="3">
        <f t="shared" si="138"/>
        <v>6.7000000000000028</v>
      </c>
      <c r="F1342" s="3">
        <f t="shared" si="136"/>
        <v>1.4375076476830198</v>
      </c>
      <c r="G1342" s="3">
        <f t="shared" si="136"/>
        <v>2.1233364001651247</v>
      </c>
      <c r="H1342" s="3">
        <f t="shared" si="139"/>
        <v>0.67700419376375298</v>
      </c>
      <c r="I1342" s="3">
        <f t="shared" si="140"/>
        <v>40.369856931862003</v>
      </c>
    </row>
    <row r="1343" spans="1:9" ht="15.75" customHeight="1">
      <c r="A1343" s="14">
        <v>30133</v>
      </c>
      <c r="B1343">
        <v>109.4</v>
      </c>
      <c r="C1343" s="3">
        <f t="shared" si="141"/>
        <v>-0.29999999999999716</v>
      </c>
      <c r="D1343" s="3">
        <f t="shared" si="137"/>
        <v>0</v>
      </c>
      <c r="E1343" s="3">
        <f t="shared" si="138"/>
        <v>0.29999999999999716</v>
      </c>
      <c r="F1343" s="3">
        <f t="shared" si="136"/>
        <v>1.3348285299913754</v>
      </c>
      <c r="G1343" s="3">
        <f t="shared" si="136"/>
        <v>1.9930980858676155</v>
      </c>
      <c r="H1343" s="3">
        <f t="shared" si="139"/>
        <v>0.66972545880014289</v>
      </c>
      <c r="I1343" s="3">
        <f t="shared" si="140"/>
        <v>40.109914792902813</v>
      </c>
    </row>
    <row r="1344" spans="1:9" ht="15.75" customHeight="1">
      <c r="A1344" s="14">
        <v>30164</v>
      </c>
      <c r="B1344">
        <v>109.7</v>
      </c>
      <c r="C1344" s="3">
        <f t="shared" si="141"/>
        <v>0.29999999999999716</v>
      </c>
      <c r="D1344" s="3">
        <f t="shared" si="137"/>
        <v>0.29999999999999716</v>
      </c>
      <c r="E1344" s="3">
        <f t="shared" si="138"/>
        <v>0</v>
      </c>
      <c r="F1344" s="3">
        <f t="shared" si="136"/>
        <v>1.2609122064205625</v>
      </c>
      <c r="G1344" s="3">
        <f t="shared" si="136"/>
        <v>1.8507339368770717</v>
      </c>
      <c r="H1344" s="3">
        <f t="shared" si="139"/>
        <v>0.6813038769625771</v>
      </c>
      <c r="I1344" s="3">
        <f t="shared" si="140"/>
        <v>40.522352104095084</v>
      </c>
    </row>
    <row r="1345" spans="1:9" ht="15.75" customHeight="1">
      <c r="A1345" s="14">
        <v>30195</v>
      </c>
      <c r="B1345">
        <v>122.4</v>
      </c>
      <c r="C1345" s="3">
        <f t="shared" si="141"/>
        <v>12.700000000000003</v>
      </c>
      <c r="D1345" s="3">
        <f t="shared" si="137"/>
        <v>12.700000000000003</v>
      </c>
      <c r="E1345" s="3">
        <f t="shared" si="138"/>
        <v>0</v>
      </c>
      <c r="F1345" s="3">
        <f t="shared" si="136"/>
        <v>2.0779899059619509</v>
      </c>
      <c r="G1345" s="3">
        <f t="shared" si="136"/>
        <v>1.7185386556715667</v>
      </c>
      <c r="H1345" s="3">
        <f t="shared" si="139"/>
        <v>1.209160992162797</v>
      </c>
      <c r="I1345" s="3">
        <f t="shared" si="140"/>
        <v>54.733946346708436</v>
      </c>
    </row>
    <row r="1346" spans="1:9" ht="15.75" customHeight="1">
      <c r="A1346" s="14">
        <v>30225</v>
      </c>
      <c r="B1346">
        <v>132.69999999999999</v>
      </c>
      <c r="C1346" s="3">
        <f t="shared" si="141"/>
        <v>10.299999999999983</v>
      </c>
      <c r="D1346" s="3">
        <f t="shared" si="137"/>
        <v>10.299999999999983</v>
      </c>
      <c r="E1346" s="3">
        <f t="shared" si="138"/>
        <v>0</v>
      </c>
      <c r="F1346" s="3">
        <f t="shared" si="136"/>
        <v>2.6652763412503822</v>
      </c>
      <c r="G1346" s="3">
        <f t="shared" si="136"/>
        <v>1.595785894552169</v>
      </c>
      <c r="H1346" s="3">
        <f t="shared" si="139"/>
        <v>1.6701967039245875</v>
      </c>
      <c r="I1346" s="3">
        <f t="shared" si="140"/>
        <v>62.549575522648752</v>
      </c>
    </row>
    <row r="1347" spans="1:9" ht="15.75" customHeight="1">
      <c r="A1347" s="14">
        <v>30256</v>
      </c>
      <c r="B1347">
        <v>138.1</v>
      </c>
      <c r="C1347" s="3">
        <f t="shared" si="141"/>
        <v>5.4000000000000057</v>
      </c>
      <c r="D1347" s="3">
        <f t="shared" si="137"/>
        <v>5.4000000000000057</v>
      </c>
      <c r="E1347" s="3">
        <f t="shared" si="138"/>
        <v>0</v>
      </c>
      <c r="F1347" s="3">
        <f t="shared" si="136"/>
        <v>2.8606137454467837</v>
      </c>
      <c r="G1347" s="3">
        <f t="shared" si="136"/>
        <v>1.4818011877984427</v>
      </c>
      <c r="H1347" s="3">
        <f t="shared" si="139"/>
        <v>1.9304976733733659</v>
      </c>
      <c r="I1347" s="3">
        <f t="shared" si="140"/>
        <v>65.876103261024738</v>
      </c>
    </row>
    <row r="1348" spans="1:9" ht="15.75" customHeight="1">
      <c r="A1348" s="14">
        <v>30286</v>
      </c>
      <c r="B1348">
        <v>139.4</v>
      </c>
      <c r="C1348" s="3">
        <f t="shared" si="141"/>
        <v>1.3000000000000114</v>
      </c>
      <c r="D1348" s="3">
        <f t="shared" si="137"/>
        <v>1.3000000000000114</v>
      </c>
      <c r="E1348" s="3">
        <f t="shared" si="138"/>
        <v>0</v>
      </c>
      <c r="F1348" s="3">
        <f t="shared" si="136"/>
        <v>2.7491413350577285</v>
      </c>
      <c r="G1348" s="3">
        <f t="shared" si="136"/>
        <v>1.3759582458128397</v>
      </c>
      <c r="H1348" s="3">
        <f t="shared" si="139"/>
        <v>1.9979831098971239</v>
      </c>
      <c r="I1348" s="3">
        <f t="shared" si="140"/>
        <v>66.644241700403882</v>
      </c>
    </row>
    <row r="1349" spans="1:9" ht="15.75" customHeight="1">
      <c r="A1349" s="14">
        <v>30317</v>
      </c>
      <c r="B1349">
        <v>144.30000000000001</v>
      </c>
      <c r="C1349" s="3">
        <f t="shared" si="141"/>
        <v>4.9000000000000057</v>
      </c>
      <c r="D1349" s="3">
        <f t="shared" si="137"/>
        <v>4.9000000000000057</v>
      </c>
      <c r="E1349" s="3">
        <f t="shared" si="138"/>
        <v>0</v>
      </c>
      <c r="F1349" s="3">
        <f t="shared" si="136"/>
        <v>2.9027740968393196</v>
      </c>
      <c r="G1349" s="3">
        <f t="shared" si="136"/>
        <v>1.2776755139690654</v>
      </c>
      <c r="H1349" s="3">
        <f t="shared" si="139"/>
        <v>2.2719180770882335</v>
      </c>
      <c r="I1349" s="3">
        <f t="shared" si="140"/>
        <v>69.436887585830803</v>
      </c>
    </row>
    <row r="1350" spans="1:9" ht="15.75" customHeight="1">
      <c r="A1350" s="14">
        <v>30348</v>
      </c>
      <c r="B1350">
        <v>146.80000000000001</v>
      </c>
      <c r="C1350" s="3">
        <f t="shared" si="141"/>
        <v>2.5</v>
      </c>
      <c r="D1350" s="3">
        <f t="shared" si="137"/>
        <v>2.5</v>
      </c>
      <c r="E1350" s="3">
        <f t="shared" si="138"/>
        <v>0</v>
      </c>
      <c r="F1350" s="3">
        <f t="shared" si="136"/>
        <v>2.874004518493654</v>
      </c>
      <c r="G1350" s="3">
        <f t="shared" si="136"/>
        <v>1.1864129772569894</v>
      </c>
      <c r="H1350" s="3">
        <f t="shared" si="139"/>
        <v>2.4224317953251071</v>
      </c>
      <c r="I1350" s="3">
        <f t="shared" si="140"/>
        <v>70.781010117836203</v>
      </c>
    </row>
    <row r="1351" spans="1:9" ht="15.75" customHeight="1">
      <c r="A1351" s="14">
        <v>30376</v>
      </c>
      <c r="B1351">
        <v>151.9</v>
      </c>
      <c r="C1351" s="3">
        <f t="shared" si="141"/>
        <v>5.0999999999999943</v>
      </c>
      <c r="D1351" s="3">
        <f t="shared" si="137"/>
        <v>5.0999999999999943</v>
      </c>
      <c r="E1351" s="3">
        <f t="shared" si="138"/>
        <v>0</v>
      </c>
      <c r="F1351" s="3">
        <f t="shared" si="136"/>
        <v>3.0330041957441067</v>
      </c>
      <c r="G1351" s="3">
        <f t="shared" si="136"/>
        <v>1.1016691931672045</v>
      </c>
      <c r="H1351" s="3">
        <f t="shared" si="139"/>
        <v>2.7530988563131911</v>
      </c>
      <c r="I1351" s="3">
        <f t="shared" si="140"/>
        <v>73.355351449965866</v>
      </c>
    </row>
    <row r="1352" spans="1:9" ht="15.75" customHeight="1">
      <c r="A1352" s="14">
        <v>30407</v>
      </c>
      <c r="B1352">
        <v>157.69999999999999</v>
      </c>
      <c r="C1352" s="3">
        <f t="shared" si="141"/>
        <v>5.7999999999999829</v>
      </c>
      <c r="D1352" s="3">
        <f t="shared" si="137"/>
        <v>5.7999999999999829</v>
      </c>
      <c r="E1352" s="3">
        <f t="shared" si="138"/>
        <v>0</v>
      </c>
      <c r="F1352" s="3">
        <f t="shared" si="136"/>
        <v>3.2306467531909546</v>
      </c>
      <c r="G1352" s="3">
        <f t="shared" si="136"/>
        <v>1.0229785365124042</v>
      </c>
      <c r="H1352" s="3">
        <f t="shared" si="139"/>
        <v>3.1580787258792902</v>
      </c>
      <c r="I1352" s="3">
        <f t="shared" si="140"/>
        <v>75.950431294719309</v>
      </c>
    </row>
    <row r="1353" spans="1:9" ht="15.75" customHeight="1">
      <c r="A1353" s="14">
        <v>30437</v>
      </c>
      <c r="B1353">
        <v>164.1</v>
      </c>
      <c r="C1353" s="3">
        <f t="shared" si="141"/>
        <v>6.4000000000000057</v>
      </c>
      <c r="D1353" s="3">
        <f t="shared" si="137"/>
        <v>6.4000000000000057</v>
      </c>
      <c r="E1353" s="3">
        <f t="shared" si="138"/>
        <v>0</v>
      </c>
      <c r="F1353" s="3">
        <f t="shared" si="136"/>
        <v>3.4570291279630294</v>
      </c>
      <c r="G1353" s="3">
        <f t="shared" si="136"/>
        <v>0.94990864104723249</v>
      </c>
      <c r="H1353" s="3">
        <f t="shared" si="139"/>
        <v>3.6393280138517392</v>
      </c>
      <c r="I1353" s="3">
        <f t="shared" si="140"/>
        <v>78.445154190126701</v>
      </c>
    </row>
    <row r="1354" spans="1:9" ht="15.75" customHeight="1">
      <c r="A1354" s="14">
        <v>30468</v>
      </c>
      <c r="B1354">
        <v>166.4</v>
      </c>
      <c r="C1354" s="3">
        <f t="shared" si="141"/>
        <v>2.3000000000000114</v>
      </c>
      <c r="D1354" s="3">
        <f t="shared" si="137"/>
        <v>2.3000000000000114</v>
      </c>
      <c r="E1354" s="3">
        <f t="shared" si="138"/>
        <v>0</v>
      </c>
      <c r="F1354" s="3">
        <f t="shared" si="136"/>
        <v>3.3743841902513849</v>
      </c>
      <c r="G1354" s="3">
        <f t="shared" si="136"/>
        <v>0.88205802382957299</v>
      </c>
      <c r="H1354" s="3">
        <f t="shared" si="139"/>
        <v>3.8255807430910771</v>
      </c>
      <c r="I1354" s="3">
        <f t="shared" si="140"/>
        <v>79.27710563269035</v>
      </c>
    </row>
    <row r="1355" spans="1:9" ht="15.75" customHeight="1">
      <c r="A1355" s="14">
        <v>30498</v>
      </c>
      <c r="B1355">
        <v>167</v>
      </c>
      <c r="C1355" s="3">
        <f t="shared" si="141"/>
        <v>0.59999999999999432</v>
      </c>
      <c r="D1355" s="3">
        <f t="shared" si="137"/>
        <v>0.59999999999999432</v>
      </c>
      <c r="E1355" s="3">
        <f t="shared" si="138"/>
        <v>0</v>
      </c>
      <c r="F1355" s="3">
        <f t="shared" si="136"/>
        <v>3.176213890947714</v>
      </c>
      <c r="G1355" s="3">
        <f t="shared" si="136"/>
        <v>0.81905387927031781</v>
      </c>
      <c r="H1355" s="3">
        <f t="shared" si="139"/>
        <v>3.8779059245496192</v>
      </c>
      <c r="I1355" s="3">
        <f t="shared" si="140"/>
        <v>79.499399630337678</v>
      </c>
    </row>
    <row r="1356" spans="1:9" ht="15.75" customHeight="1">
      <c r="A1356" s="14">
        <v>30529</v>
      </c>
      <c r="B1356">
        <v>162.4</v>
      </c>
      <c r="C1356" s="3">
        <f t="shared" si="141"/>
        <v>-4.5999999999999943</v>
      </c>
      <c r="D1356" s="3">
        <f t="shared" si="137"/>
        <v>0</v>
      </c>
      <c r="E1356" s="3">
        <f t="shared" si="138"/>
        <v>4.5999999999999943</v>
      </c>
      <c r="F1356" s="3">
        <f t="shared" si="136"/>
        <v>2.9493414701657343</v>
      </c>
      <c r="G1356" s="3">
        <f t="shared" si="136"/>
        <v>1.0891214593224376</v>
      </c>
      <c r="H1356" s="3">
        <f t="shared" si="139"/>
        <v>2.7080005126338924</v>
      </c>
      <c r="I1356" s="3">
        <f t="shared" si="140"/>
        <v>73.031287439340915</v>
      </c>
    </row>
    <row r="1357" spans="1:9" ht="15.75" customHeight="1">
      <c r="A1357" s="14">
        <v>30560</v>
      </c>
      <c r="B1357">
        <v>167.2</v>
      </c>
      <c r="C1357" s="3">
        <f t="shared" si="141"/>
        <v>4.7999999999999829</v>
      </c>
      <c r="D1357" s="3">
        <f t="shared" si="137"/>
        <v>4.7999999999999829</v>
      </c>
      <c r="E1357" s="3">
        <f t="shared" si="138"/>
        <v>0</v>
      </c>
      <c r="F1357" s="3">
        <f t="shared" si="136"/>
        <v>3.0815313651538951</v>
      </c>
      <c r="G1357" s="3">
        <f t="shared" si="136"/>
        <v>1.0113270693708349</v>
      </c>
      <c r="H1357" s="3">
        <f t="shared" si="139"/>
        <v>3.0470175855877883</v>
      </c>
      <c r="I1357" s="3">
        <f t="shared" si="140"/>
        <v>75.290445893756598</v>
      </c>
    </row>
    <row r="1358" spans="1:9" ht="15.75" customHeight="1">
      <c r="A1358" s="14">
        <v>30590</v>
      </c>
      <c r="B1358">
        <v>167.7</v>
      </c>
      <c r="C1358" s="3">
        <f t="shared" si="141"/>
        <v>0.5</v>
      </c>
      <c r="D1358" s="3">
        <f t="shared" si="137"/>
        <v>0.5</v>
      </c>
      <c r="E1358" s="3">
        <f t="shared" si="138"/>
        <v>0</v>
      </c>
      <c r="F1358" s="3">
        <f t="shared" si="136"/>
        <v>2.8971362676429027</v>
      </c>
      <c r="G1358" s="3">
        <f t="shared" si="136"/>
        <v>0.93908942155863251</v>
      </c>
      <c r="H1358" s="3">
        <f t="shared" si="139"/>
        <v>3.0850483469768468</v>
      </c>
      <c r="I1358" s="3">
        <f t="shared" si="140"/>
        <v>75.520485559490297</v>
      </c>
    </row>
    <row r="1359" spans="1:9" ht="15.75" customHeight="1">
      <c r="A1359" s="14">
        <v>30621</v>
      </c>
      <c r="B1359">
        <v>165.2</v>
      </c>
      <c r="C1359" s="3">
        <f t="shared" si="141"/>
        <v>-2.5</v>
      </c>
      <c r="D1359" s="3">
        <f t="shared" si="137"/>
        <v>0</v>
      </c>
      <c r="E1359" s="3">
        <f t="shared" si="138"/>
        <v>2.5</v>
      </c>
      <c r="F1359" s="3">
        <f t="shared" si="136"/>
        <v>2.6901979628112671</v>
      </c>
      <c r="G1359" s="3">
        <f t="shared" si="136"/>
        <v>1.0505830343044444</v>
      </c>
      <c r="H1359" s="3">
        <f t="shared" si="139"/>
        <v>2.5606714319276596</v>
      </c>
      <c r="I1359" s="3">
        <f t="shared" si="140"/>
        <v>71.915409239020278</v>
      </c>
    </row>
    <row r="1360" spans="1:9" ht="15.75" customHeight="1">
      <c r="A1360" s="14">
        <v>30651</v>
      </c>
      <c r="B1360">
        <v>164.4</v>
      </c>
      <c r="C1360" s="3">
        <f t="shared" si="141"/>
        <v>-0.79999999999998295</v>
      </c>
      <c r="D1360" s="3">
        <f t="shared" si="137"/>
        <v>0</v>
      </c>
      <c r="E1360" s="3">
        <f t="shared" si="138"/>
        <v>0.79999999999998295</v>
      </c>
      <c r="F1360" s="3">
        <f t="shared" si="136"/>
        <v>2.4980409654676055</v>
      </c>
      <c r="G1360" s="3">
        <f t="shared" si="136"/>
        <v>1.03268424613984</v>
      </c>
      <c r="H1360" s="3">
        <f t="shared" si="139"/>
        <v>2.4189784775019563</v>
      </c>
      <c r="I1360" s="3">
        <f t="shared" si="140"/>
        <v>70.751497659890504</v>
      </c>
    </row>
    <row r="1361" spans="1:9" ht="15.75" customHeight="1">
      <c r="A1361" s="14">
        <v>30682</v>
      </c>
      <c r="B1361">
        <v>166.4</v>
      </c>
      <c r="C1361" s="3">
        <f t="shared" si="141"/>
        <v>2</v>
      </c>
      <c r="D1361" s="3">
        <f t="shared" si="137"/>
        <v>2</v>
      </c>
      <c r="E1361" s="3">
        <f t="shared" si="138"/>
        <v>0</v>
      </c>
      <c r="F1361" s="3">
        <f t="shared" si="136"/>
        <v>2.4624666107913482</v>
      </c>
      <c r="G1361" s="3">
        <f t="shared" si="136"/>
        <v>0.95892108570127998</v>
      </c>
      <c r="H1361" s="3">
        <f t="shared" si="139"/>
        <v>2.5679554319013564</v>
      </c>
      <c r="I1361" s="3">
        <f t="shared" si="140"/>
        <v>71.972744080295257</v>
      </c>
    </row>
    <row r="1362" spans="1:9" ht="15.75" customHeight="1">
      <c r="A1362" s="14">
        <v>30713</v>
      </c>
      <c r="B1362">
        <v>157.30000000000001</v>
      </c>
      <c r="C1362" s="3">
        <f t="shared" si="141"/>
        <v>-9.0999999999999943</v>
      </c>
      <c r="D1362" s="3">
        <f t="shared" si="137"/>
        <v>0</v>
      </c>
      <c r="E1362" s="3">
        <f t="shared" si="138"/>
        <v>9.0999999999999943</v>
      </c>
      <c r="F1362" s="3">
        <f t="shared" ref="F1362:G1425" si="142">((F1361*13)+D1362)/14</f>
        <v>2.2865761385919661</v>
      </c>
      <c r="G1362" s="3">
        <f t="shared" si="142"/>
        <v>1.5404267224369026</v>
      </c>
      <c r="H1362" s="3">
        <f t="shared" si="139"/>
        <v>1.4843783902779097</v>
      </c>
      <c r="I1362" s="3">
        <f t="shared" si="140"/>
        <v>59.74848260179332</v>
      </c>
    </row>
    <row r="1363" spans="1:9" ht="15.75" customHeight="1">
      <c r="A1363" s="14">
        <v>30742</v>
      </c>
      <c r="B1363">
        <v>157.4</v>
      </c>
      <c r="C1363" s="3">
        <f t="shared" si="141"/>
        <v>9.9999999999994316E-2</v>
      </c>
      <c r="D1363" s="3">
        <f t="shared" si="137"/>
        <v>9.9999999999994316E-2</v>
      </c>
      <c r="E1363" s="3">
        <f t="shared" si="138"/>
        <v>0</v>
      </c>
      <c r="F1363" s="3">
        <f t="shared" si="142"/>
        <v>2.1303921286925394</v>
      </c>
      <c r="G1363" s="3">
        <f t="shared" si="142"/>
        <v>1.430396242262838</v>
      </c>
      <c r="H1363" s="3">
        <f t="shared" si="139"/>
        <v>1.489372011577947</v>
      </c>
      <c r="I1363" s="3">
        <f t="shared" si="140"/>
        <v>59.829226192427285</v>
      </c>
    </row>
    <row r="1364" spans="1:9" ht="15.75" customHeight="1">
      <c r="A1364" s="14">
        <v>30773</v>
      </c>
      <c r="B1364">
        <v>157.6</v>
      </c>
      <c r="C1364" s="3">
        <f t="shared" si="141"/>
        <v>0.19999999999998863</v>
      </c>
      <c r="D1364" s="3">
        <f t="shared" si="137"/>
        <v>0.19999999999998863</v>
      </c>
      <c r="E1364" s="3">
        <f t="shared" si="138"/>
        <v>0</v>
      </c>
      <c r="F1364" s="3">
        <f t="shared" si="142"/>
        <v>1.9925069766430714</v>
      </c>
      <c r="G1364" s="3">
        <f t="shared" si="142"/>
        <v>1.3282250821012067</v>
      </c>
      <c r="H1364" s="3">
        <f t="shared" si="139"/>
        <v>1.500127503608796</v>
      </c>
      <c r="I1364" s="3">
        <f t="shared" si="140"/>
        <v>60.002039953700155</v>
      </c>
    </row>
    <row r="1365" spans="1:9" ht="15.75" customHeight="1">
      <c r="A1365" s="14">
        <v>30803</v>
      </c>
      <c r="B1365">
        <v>156.6</v>
      </c>
      <c r="C1365" s="3">
        <f t="shared" si="141"/>
        <v>-1</v>
      </c>
      <c r="D1365" s="3">
        <f t="shared" si="137"/>
        <v>0</v>
      </c>
      <c r="E1365" s="3">
        <f t="shared" si="138"/>
        <v>1</v>
      </c>
      <c r="F1365" s="3">
        <f t="shared" si="142"/>
        <v>1.850185049739995</v>
      </c>
      <c r="G1365" s="3">
        <f t="shared" si="142"/>
        <v>1.304780433379692</v>
      </c>
      <c r="H1365" s="3">
        <f t="shared" si="139"/>
        <v>1.4180049013668723</v>
      </c>
      <c r="I1365" s="3">
        <f t="shared" si="140"/>
        <v>58.643590861428336</v>
      </c>
    </row>
    <row r="1366" spans="1:9" ht="15.75" customHeight="1">
      <c r="A1366" s="14">
        <v>30834</v>
      </c>
      <c r="B1366">
        <v>153.1</v>
      </c>
      <c r="C1366" s="3">
        <f t="shared" si="141"/>
        <v>-3.5</v>
      </c>
      <c r="D1366" s="3">
        <f t="shared" si="137"/>
        <v>0</v>
      </c>
      <c r="E1366" s="3">
        <f t="shared" si="138"/>
        <v>3.5</v>
      </c>
      <c r="F1366" s="3">
        <f t="shared" si="142"/>
        <v>1.7180289747585669</v>
      </c>
      <c r="G1366" s="3">
        <f t="shared" si="142"/>
        <v>1.4615818309954283</v>
      </c>
      <c r="H1366" s="3">
        <f t="shared" si="139"/>
        <v>1.1754586286752635</v>
      </c>
      <c r="I1366" s="3">
        <f t="shared" si="140"/>
        <v>54.032681347337515</v>
      </c>
    </row>
    <row r="1367" spans="1:9" ht="15.75" customHeight="1">
      <c r="A1367" s="14">
        <v>30864</v>
      </c>
      <c r="B1367">
        <v>151.1</v>
      </c>
      <c r="C1367" s="3">
        <f t="shared" si="141"/>
        <v>-2</v>
      </c>
      <c r="D1367" s="3">
        <f t="shared" si="137"/>
        <v>0</v>
      </c>
      <c r="E1367" s="3">
        <f t="shared" si="138"/>
        <v>2</v>
      </c>
      <c r="F1367" s="3">
        <f t="shared" si="142"/>
        <v>1.5953126194186693</v>
      </c>
      <c r="G1367" s="3">
        <f t="shared" si="142"/>
        <v>1.5000402716386121</v>
      </c>
      <c r="H1367" s="3">
        <f t="shared" si="139"/>
        <v>1.0635131933331254</v>
      </c>
      <c r="I1367" s="3">
        <f t="shared" si="140"/>
        <v>51.538957772073523</v>
      </c>
    </row>
    <row r="1368" spans="1:9" ht="15.75" customHeight="1">
      <c r="A1368" s="14">
        <v>30895</v>
      </c>
      <c r="B1368">
        <v>164.4</v>
      </c>
      <c r="C1368" s="3">
        <f t="shared" si="141"/>
        <v>13.300000000000011</v>
      </c>
      <c r="D1368" s="3">
        <f t="shared" si="137"/>
        <v>13.300000000000011</v>
      </c>
      <c r="E1368" s="3">
        <f t="shared" si="138"/>
        <v>0</v>
      </c>
      <c r="F1368" s="3">
        <f t="shared" si="142"/>
        <v>2.431361718031622</v>
      </c>
      <c r="G1368" s="3">
        <f t="shared" si="142"/>
        <v>1.3928945379501398</v>
      </c>
      <c r="H1368" s="3">
        <f t="shared" si="139"/>
        <v>1.7455461643275216</v>
      </c>
      <c r="I1368" s="3">
        <f t="shared" si="140"/>
        <v>63.577374403939977</v>
      </c>
    </row>
    <row r="1369" spans="1:9" ht="15.75" customHeight="1">
      <c r="A1369" s="14">
        <v>30926</v>
      </c>
      <c r="B1369">
        <v>166.1</v>
      </c>
      <c r="C1369" s="3">
        <f t="shared" si="141"/>
        <v>1.6999999999999886</v>
      </c>
      <c r="D1369" s="3">
        <f t="shared" si="137"/>
        <v>1.6999999999999886</v>
      </c>
      <c r="E1369" s="3">
        <f t="shared" si="138"/>
        <v>0</v>
      </c>
      <c r="F1369" s="3">
        <f t="shared" si="142"/>
        <v>2.3791215953150768</v>
      </c>
      <c r="G1369" s="3">
        <f t="shared" si="142"/>
        <v>1.2934020709537013</v>
      </c>
      <c r="H1369" s="3">
        <f t="shared" si="139"/>
        <v>1.8394292453550896</v>
      </c>
      <c r="I1369" s="3">
        <f t="shared" si="140"/>
        <v>64.78165456540745</v>
      </c>
    </row>
    <row r="1370" spans="1:9" ht="15.75" customHeight="1">
      <c r="A1370" s="14">
        <v>30956</v>
      </c>
      <c r="B1370">
        <v>164.8</v>
      </c>
      <c r="C1370" s="3">
        <f t="shared" si="141"/>
        <v>-1.2999999999999829</v>
      </c>
      <c r="D1370" s="3">
        <f t="shared" si="137"/>
        <v>0</v>
      </c>
      <c r="E1370" s="3">
        <f t="shared" si="138"/>
        <v>1.2999999999999829</v>
      </c>
      <c r="F1370" s="3">
        <f t="shared" si="142"/>
        <v>2.2091843385068572</v>
      </c>
      <c r="G1370" s="3">
        <f t="shared" si="142"/>
        <v>1.2938733515998642</v>
      </c>
      <c r="H1370" s="3">
        <f t="shared" si="139"/>
        <v>1.7074193048146624</v>
      </c>
      <c r="I1370" s="3">
        <f t="shared" si="140"/>
        <v>63.064457794857326</v>
      </c>
    </row>
    <row r="1371" spans="1:9" ht="15.75" customHeight="1">
      <c r="A1371" s="14">
        <v>30987</v>
      </c>
      <c r="B1371">
        <v>166.3</v>
      </c>
      <c r="C1371" s="3">
        <f t="shared" si="141"/>
        <v>1.5</v>
      </c>
      <c r="D1371" s="3">
        <f t="shared" si="137"/>
        <v>1.5</v>
      </c>
      <c r="E1371" s="3">
        <f t="shared" si="138"/>
        <v>0</v>
      </c>
      <c r="F1371" s="3">
        <f t="shared" si="142"/>
        <v>2.1585283143277958</v>
      </c>
      <c r="G1371" s="3">
        <f t="shared" si="142"/>
        <v>1.2014538264855881</v>
      </c>
      <c r="H1371" s="3">
        <f t="shared" si="139"/>
        <v>1.7965969783805822</v>
      </c>
      <c r="I1371" s="3">
        <f t="shared" si="140"/>
        <v>64.242255579526969</v>
      </c>
    </row>
    <row r="1372" spans="1:9" ht="15.75" customHeight="1">
      <c r="A1372" s="14">
        <v>31017</v>
      </c>
      <c r="B1372">
        <v>164.5</v>
      </c>
      <c r="C1372" s="3">
        <f t="shared" si="141"/>
        <v>-1.8000000000000114</v>
      </c>
      <c r="D1372" s="3">
        <f t="shared" si="137"/>
        <v>0</v>
      </c>
      <c r="E1372" s="3">
        <f t="shared" si="138"/>
        <v>1.8000000000000114</v>
      </c>
      <c r="F1372" s="3">
        <f t="shared" si="142"/>
        <v>2.0043477204472389</v>
      </c>
      <c r="G1372" s="3">
        <f t="shared" si="142"/>
        <v>1.2442071245937609</v>
      </c>
      <c r="H1372" s="3">
        <f t="shared" si="139"/>
        <v>1.610943773611381</v>
      </c>
      <c r="I1372" s="3">
        <f t="shared" si="140"/>
        <v>61.699673117938147</v>
      </c>
    </row>
    <row r="1373" spans="1:9" ht="15.75" customHeight="1">
      <c r="A1373" s="14">
        <v>31048</v>
      </c>
      <c r="B1373">
        <v>171.6</v>
      </c>
      <c r="C1373" s="3">
        <f t="shared" si="141"/>
        <v>7.0999999999999943</v>
      </c>
      <c r="D1373" s="3">
        <f t="shared" si="137"/>
        <v>7.0999999999999943</v>
      </c>
      <c r="E1373" s="3">
        <f t="shared" si="138"/>
        <v>0</v>
      </c>
      <c r="F1373" s="3">
        <f t="shared" si="142"/>
        <v>2.3683228832724361</v>
      </c>
      <c r="G1373" s="3">
        <f t="shared" si="142"/>
        <v>1.1553351871227782</v>
      </c>
      <c r="H1373" s="3">
        <f t="shared" si="139"/>
        <v>2.0499011106642189</v>
      </c>
      <c r="I1373" s="3">
        <f t="shared" si="140"/>
        <v>67.212051679202929</v>
      </c>
    </row>
    <row r="1374" spans="1:9" ht="15.75" customHeight="1">
      <c r="A1374" s="14">
        <v>31079</v>
      </c>
      <c r="B1374">
        <v>180.9</v>
      </c>
      <c r="C1374" s="3">
        <f t="shared" si="141"/>
        <v>9.3000000000000114</v>
      </c>
      <c r="D1374" s="3">
        <f t="shared" si="137"/>
        <v>9.3000000000000114</v>
      </c>
      <c r="E1374" s="3">
        <f t="shared" si="138"/>
        <v>0</v>
      </c>
      <c r="F1374" s="3">
        <f t="shared" si="142"/>
        <v>2.8634426773244059</v>
      </c>
      <c r="G1374" s="3">
        <f t="shared" si="142"/>
        <v>1.0728112451854368</v>
      </c>
      <c r="H1374" s="3">
        <f t="shared" si="139"/>
        <v>2.6691020346542471</v>
      </c>
      <c r="I1374" s="3">
        <f t="shared" si="140"/>
        <v>72.745375011239403</v>
      </c>
    </row>
    <row r="1375" spans="1:9" ht="15.75" customHeight="1">
      <c r="A1375" s="14">
        <v>31107</v>
      </c>
      <c r="B1375">
        <v>179.4</v>
      </c>
      <c r="C1375" s="3">
        <f t="shared" si="141"/>
        <v>-1.5</v>
      </c>
      <c r="D1375" s="3">
        <f t="shared" si="137"/>
        <v>0</v>
      </c>
      <c r="E1375" s="3">
        <f t="shared" si="138"/>
        <v>1.5</v>
      </c>
      <c r="F1375" s="3">
        <f t="shared" si="142"/>
        <v>2.6589110575155201</v>
      </c>
      <c r="G1375" s="3">
        <f t="shared" si="142"/>
        <v>1.1033247276721914</v>
      </c>
      <c r="H1375" s="3">
        <f t="shared" si="139"/>
        <v>2.4099079725379897</v>
      </c>
      <c r="I1375" s="3">
        <f t="shared" si="140"/>
        <v>70.673695359124267</v>
      </c>
    </row>
    <row r="1376" spans="1:9" ht="15.75" customHeight="1">
      <c r="A1376" s="14">
        <v>31138</v>
      </c>
      <c r="B1376">
        <v>180.6</v>
      </c>
      <c r="C1376" s="3">
        <f t="shared" si="141"/>
        <v>1.1999999999999886</v>
      </c>
      <c r="D1376" s="3">
        <f t="shared" si="137"/>
        <v>1.1999999999999886</v>
      </c>
      <c r="E1376" s="3">
        <f t="shared" si="138"/>
        <v>0</v>
      </c>
      <c r="F1376" s="3">
        <f t="shared" si="142"/>
        <v>2.5547031248358394</v>
      </c>
      <c r="G1376" s="3">
        <f t="shared" si="142"/>
        <v>1.024515818552749</v>
      </c>
      <c r="H1376" s="3">
        <f t="shared" si="139"/>
        <v>2.4935711860893108</v>
      </c>
      <c r="I1376" s="3">
        <f t="shared" si="140"/>
        <v>71.375994741947835</v>
      </c>
    </row>
    <row r="1377" spans="1:9" ht="15.75" customHeight="1">
      <c r="A1377" s="14">
        <v>31168</v>
      </c>
      <c r="B1377">
        <v>184.9</v>
      </c>
      <c r="C1377" s="3">
        <f t="shared" si="141"/>
        <v>4.3000000000000114</v>
      </c>
      <c r="D1377" s="3">
        <f t="shared" si="137"/>
        <v>4.3000000000000114</v>
      </c>
      <c r="E1377" s="3">
        <f t="shared" si="138"/>
        <v>0</v>
      </c>
      <c r="F1377" s="3">
        <f t="shared" si="142"/>
        <v>2.679367187347566</v>
      </c>
      <c r="G1377" s="3">
        <f t="shared" si="142"/>
        <v>0.95133611722755262</v>
      </c>
      <c r="H1377" s="3">
        <f t="shared" si="139"/>
        <v>2.8164253819732581</v>
      </c>
      <c r="I1377" s="3">
        <f t="shared" si="140"/>
        <v>73.797470147760194</v>
      </c>
    </row>
    <row r="1378" spans="1:9" ht="15.75" customHeight="1">
      <c r="A1378" s="14">
        <v>31199</v>
      </c>
      <c r="B1378">
        <v>188.9</v>
      </c>
      <c r="C1378" s="3">
        <f t="shared" si="141"/>
        <v>4</v>
      </c>
      <c r="D1378" s="3">
        <f t="shared" si="137"/>
        <v>4</v>
      </c>
      <c r="E1378" s="3">
        <f t="shared" si="138"/>
        <v>0</v>
      </c>
      <c r="F1378" s="3">
        <f t="shared" si="142"/>
        <v>2.7736981025370255</v>
      </c>
      <c r="G1378" s="3">
        <f t="shared" si="142"/>
        <v>0.88338353742558451</v>
      </c>
      <c r="H1378" s="3">
        <f t="shared" si="139"/>
        <v>3.1398571345582491</v>
      </c>
      <c r="I1378" s="3">
        <f t="shared" si="140"/>
        <v>75.84457705913789</v>
      </c>
    </row>
    <row r="1379" spans="1:9" ht="15.75" customHeight="1">
      <c r="A1379" s="14">
        <v>31229</v>
      </c>
      <c r="B1379">
        <v>192.5</v>
      </c>
      <c r="C1379" s="3">
        <f t="shared" si="141"/>
        <v>3.5999999999999943</v>
      </c>
      <c r="D1379" s="3">
        <f t="shared" si="137"/>
        <v>3.5999999999999943</v>
      </c>
      <c r="E1379" s="3">
        <f t="shared" si="138"/>
        <v>0</v>
      </c>
      <c r="F1379" s="3">
        <f t="shared" si="142"/>
        <v>2.8327196666415233</v>
      </c>
      <c r="G1379" s="3">
        <f t="shared" si="142"/>
        <v>0.82028471332375708</v>
      </c>
      <c r="H1379" s="3">
        <f t="shared" si="139"/>
        <v>3.4533371409098552</v>
      </c>
      <c r="I1379" s="3">
        <f t="shared" si="140"/>
        <v>77.544929378607719</v>
      </c>
    </row>
    <row r="1380" spans="1:9" ht="15.75" customHeight="1">
      <c r="A1380" s="14">
        <v>31260</v>
      </c>
      <c r="B1380">
        <v>188.3</v>
      </c>
      <c r="C1380" s="3">
        <f t="shared" si="141"/>
        <v>-4.1999999999999886</v>
      </c>
      <c r="D1380" s="3">
        <f t="shared" si="137"/>
        <v>0</v>
      </c>
      <c r="E1380" s="3">
        <f t="shared" si="138"/>
        <v>4.1999999999999886</v>
      </c>
      <c r="F1380" s="3">
        <f t="shared" si="142"/>
        <v>2.6303825475957003</v>
      </c>
      <c r="G1380" s="3">
        <f t="shared" si="142"/>
        <v>1.0616929480863451</v>
      </c>
      <c r="H1380" s="3">
        <f t="shared" si="139"/>
        <v>2.4775360449900785</v>
      </c>
      <c r="I1380" s="3">
        <f t="shared" si="140"/>
        <v>71.244007623137293</v>
      </c>
    </row>
    <row r="1381" spans="1:9" ht="15.75" customHeight="1">
      <c r="A1381" s="14">
        <v>31291</v>
      </c>
      <c r="B1381">
        <v>184.1</v>
      </c>
      <c r="C1381" s="3">
        <f t="shared" si="141"/>
        <v>-4.2000000000000171</v>
      </c>
      <c r="D1381" s="3">
        <f t="shared" si="137"/>
        <v>0</v>
      </c>
      <c r="E1381" s="3">
        <f t="shared" si="138"/>
        <v>4.2000000000000171</v>
      </c>
      <c r="F1381" s="3">
        <f t="shared" si="142"/>
        <v>2.4424980799102931</v>
      </c>
      <c r="G1381" s="3">
        <f t="shared" si="142"/>
        <v>1.2858577375087503</v>
      </c>
      <c r="H1381" s="3">
        <f t="shared" si="139"/>
        <v>1.8995087937507331</v>
      </c>
      <c r="I1381" s="3">
        <f t="shared" si="140"/>
        <v>65.511399649648084</v>
      </c>
    </row>
    <row r="1382" spans="1:9" ht="15.75" customHeight="1">
      <c r="A1382" s="14">
        <v>31321</v>
      </c>
      <c r="B1382">
        <v>186.2</v>
      </c>
      <c r="C1382" s="3">
        <f t="shared" si="141"/>
        <v>2.0999999999999943</v>
      </c>
      <c r="D1382" s="3">
        <f t="shared" ref="D1382:D1445" si="143">IF(C1382&gt;0,C1382,0)</f>
        <v>2.0999999999999943</v>
      </c>
      <c r="E1382" s="3">
        <f t="shared" ref="E1382:E1445" si="144">IF(C1382&lt;0,-C1382,0)</f>
        <v>0</v>
      </c>
      <c r="F1382" s="3">
        <f t="shared" si="142"/>
        <v>2.4180339313452714</v>
      </c>
      <c r="G1382" s="3">
        <f t="shared" si="142"/>
        <v>1.1940107562581252</v>
      </c>
      <c r="H1382" s="3">
        <f t="shared" ref="H1382:H1445" si="145">F1382/G1382</f>
        <v>2.025135802731858</v>
      </c>
      <c r="I1382" s="3">
        <f t="shared" ref="I1382:I1445" si="146">IF(G1382=0,100,100-(100/(1+H1382)))</f>
        <v>66.943632775198154</v>
      </c>
    </row>
    <row r="1383" spans="1:9" ht="15.75" customHeight="1">
      <c r="A1383" s="14">
        <v>31352</v>
      </c>
      <c r="B1383">
        <v>197.5</v>
      </c>
      <c r="C1383" s="3">
        <f t="shared" si="141"/>
        <v>11.300000000000011</v>
      </c>
      <c r="D1383" s="3">
        <f t="shared" si="143"/>
        <v>11.300000000000011</v>
      </c>
      <c r="E1383" s="3">
        <f t="shared" si="144"/>
        <v>0</v>
      </c>
      <c r="F1383" s="3">
        <f t="shared" si="142"/>
        <v>3.0524600791063241</v>
      </c>
      <c r="G1383" s="3">
        <f t="shared" si="142"/>
        <v>1.1087242736682592</v>
      </c>
      <c r="H1383" s="3">
        <f t="shared" si="145"/>
        <v>2.7531282137506885</v>
      </c>
      <c r="I1383" s="3">
        <f t="shared" si="146"/>
        <v>73.355559867733632</v>
      </c>
    </row>
    <row r="1384" spans="1:9" ht="15.75" customHeight="1">
      <c r="A1384" s="14">
        <v>31382</v>
      </c>
      <c r="B1384">
        <v>207.3</v>
      </c>
      <c r="C1384" s="3">
        <f t="shared" si="141"/>
        <v>9.8000000000000114</v>
      </c>
      <c r="D1384" s="3">
        <f t="shared" si="143"/>
        <v>9.8000000000000114</v>
      </c>
      <c r="E1384" s="3">
        <f t="shared" si="144"/>
        <v>0</v>
      </c>
      <c r="F1384" s="3">
        <f t="shared" si="142"/>
        <v>3.5344272163130159</v>
      </c>
      <c r="G1384" s="3">
        <f t="shared" si="142"/>
        <v>1.0295296826919549</v>
      </c>
      <c r="H1384" s="3">
        <f t="shared" si="145"/>
        <v>3.4330503294197396</v>
      </c>
      <c r="I1384" s="3">
        <f t="shared" si="146"/>
        <v>77.442169032831742</v>
      </c>
    </row>
    <row r="1385" spans="1:9" ht="15.75" customHeight="1">
      <c r="A1385" s="14">
        <v>31413</v>
      </c>
      <c r="B1385">
        <v>208.2</v>
      </c>
      <c r="C1385" s="3">
        <f t="shared" si="141"/>
        <v>0.89999999999997726</v>
      </c>
      <c r="D1385" s="3">
        <f t="shared" si="143"/>
        <v>0.89999999999997726</v>
      </c>
      <c r="E1385" s="3">
        <f t="shared" si="144"/>
        <v>0</v>
      </c>
      <c r="F1385" s="3">
        <f t="shared" si="142"/>
        <v>3.3462538437192277</v>
      </c>
      <c r="G1385" s="3">
        <f t="shared" si="142"/>
        <v>0.95599184821395811</v>
      </c>
      <c r="H1385" s="3">
        <f t="shared" si="145"/>
        <v>3.5002953738265674</v>
      </c>
      <c r="I1385" s="3">
        <f t="shared" si="146"/>
        <v>77.779236318221763</v>
      </c>
    </row>
    <row r="1386" spans="1:9" ht="15.75" customHeight="1">
      <c r="A1386" s="14">
        <v>31444</v>
      </c>
      <c r="B1386">
        <v>219.4</v>
      </c>
      <c r="C1386" s="3">
        <f t="shared" si="141"/>
        <v>11.200000000000017</v>
      </c>
      <c r="D1386" s="3">
        <f t="shared" si="143"/>
        <v>11.200000000000017</v>
      </c>
      <c r="E1386" s="3">
        <f t="shared" si="144"/>
        <v>0</v>
      </c>
      <c r="F1386" s="3">
        <f t="shared" si="142"/>
        <v>3.9072357120249985</v>
      </c>
      <c r="G1386" s="3">
        <f t="shared" si="142"/>
        <v>0.88770671619867536</v>
      </c>
      <c r="H1386" s="3">
        <f t="shared" si="145"/>
        <v>4.4014939176719379</v>
      </c>
      <c r="I1386" s="3">
        <f t="shared" si="146"/>
        <v>81.48660323899793</v>
      </c>
    </row>
    <row r="1387" spans="1:9" ht="15.75" customHeight="1">
      <c r="A1387" s="14">
        <v>31472</v>
      </c>
      <c r="B1387">
        <v>232.3</v>
      </c>
      <c r="C1387" s="3">
        <f t="shared" ref="C1387:C1450" si="147">B1387-B1386</f>
        <v>12.900000000000006</v>
      </c>
      <c r="D1387" s="3">
        <f t="shared" si="143"/>
        <v>12.900000000000006</v>
      </c>
      <c r="E1387" s="3">
        <f t="shared" si="144"/>
        <v>0</v>
      </c>
      <c r="F1387" s="3">
        <f t="shared" si="142"/>
        <v>4.5495760183089278</v>
      </c>
      <c r="G1387" s="3">
        <f t="shared" si="142"/>
        <v>0.82429909361305576</v>
      </c>
      <c r="H1387" s="3">
        <f t="shared" si="145"/>
        <v>5.519326726864751</v>
      </c>
      <c r="I1387" s="3">
        <f t="shared" si="146"/>
        <v>84.660992739032181</v>
      </c>
    </row>
    <row r="1388" spans="1:9" ht="15.75" customHeight="1">
      <c r="A1388" s="14">
        <v>31503</v>
      </c>
      <c r="B1388">
        <v>238</v>
      </c>
      <c r="C1388" s="3">
        <f t="shared" si="147"/>
        <v>5.6999999999999886</v>
      </c>
      <c r="D1388" s="3">
        <f t="shared" si="143"/>
        <v>5.6999999999999886</v>
      </c>
      <c r="E1388" s="3">
        <f t="shared" si="144"/>
        <v>0</v>
      </c>
      <c r="F1388" s="3">
        <f t="shared" si="142"/>
        <v>4.6317491598582894</v>
      </c>
      <c r="G1388" s="3">
        <f t="shared" si="142"/>
        <v>0.76542058692640891</v>
      </c>
      <c r="H1388" s="3">
        <f t="shared" si="145"/>
        <v>6.0512471691640135</v>
      </c>
      <c r="I1388" s="3">
        <f t="shared" si="146"/>
        <v>85.818111661535212</v>
      </c>
    </row>
    <row r="1389" spans="1:9" ht="15.75" customHeight="1">
      <c r="A1389" s="14">
        <v>31533</v>
      </c>
      <c r="B1389">
        <v>238.5</v>
      </c>
      <c r="C1389" s="3">
        <f t="shared" si="147"/>
        <v>0.5</v>
      </c>
      <c r="D1389" s="3">
        <f t="shared" si="143"/>
        <v>0.5</v>
      </c>
      <c r="E1389" s="3">
        <f t="shared" si="144"/>
        <v>0</v>
      </c>
      <c r="F1389" s="3">
        <f t="shared" si="142"/>
        <v>4.3366242198684111</v>
      </c>
      <c r="G1389" s="3">
        <f t="shared" si="142"/>
        <v>0.71074768786023679</v>
      </c>
      <c r="H1389" s="3">
        <f t="shared" si="145"/>
        <v>6.1014960638481535</v>
      </c>
      <c r="I1389" s="3">
        <f t="shared" si="146"/>
        <v>85.918460124328774</v>
      </c>
    </row>
    <row r="1390" spans="1:9" ht="15.75" customHeight="1">
      <c r="A1390" s="14">
        <v>31564</v>
      </c>
      <c r="B1390">
        <v>245.3</v>
      </c>
      <c r="C1390" s="3">
        <f t="shared" si="147"/>
        <v>6.8000000000000114</v>
      </c>
      <c r="D1390" s="3">
        <f t="shared" si="143"/>
        <v>6.8000000000000114</v>
      </c>
      <c r="E1390" s="3">
        <f t="shared" si="144"/>
        <v>0</v>
      </c>
      <c r="F1390" s="3">
        <f t="shared" si="142"/>
        <v>4.5125796327349539</v>
      </c>
      <c r="G1390" s="3">
        <f t="shared" si="142"/>
        <v>0.65997999587021994</v>
      </c>
      <c r="H1390" s="3">
        <f t="shared" si="145"/>
        <v>6.837449105991265</v>
      </c>
      <c r="I1390" s="3">
        <f t="shared" si="146"/>
        <v>87.240746491922238</v>
      </c>
    </row>
    <row r="1391" spans="1:9" ht="15.75" customHeight="1">
      <c r="A1391" s="14">
        <v>31594</v>
      </c>
      <c r="B1391">
        <v>240.2</v>
      </c>
      <c r="C1391" s="3">
        <f t="shared" si="147"/>
        <v>-5.1000000000000227</v>
      </c>
      <c r="D1391" s="3">
        <f t="shared" si="143"/>
        <v>0</v>
      </c>
      <c r="E1391" s="3">
        <f t="shared" si="144"/>
        <v>5.1000000000000227</v>
      </c>
      <c r="F1391" s="3">
        <f t="shared" si="142"/>
        <v>4.1902525161110287</v>
      </c>
      <c r="G1391" s="3">
        <f t="shared" si="142"/>
        <v>0.97712428187949152</v>
      </c>
      <c r="H1391" s="3">
        <f t="shared" si="145"/>
        <v>4.2883516394159278</v>
      </c>
      <c r="I1391" s="3">
        <f t="shared" si="146"/>
        <v>81.090516134618369</v>
      </c>
    </row>
    <row r="1392" spans="1:9" ht="15.75" customHeight="1">
      <c r="A1392" s="14">
        <v>31625</v>
      </c>
      <c r="B1392">
        <v>245</v>
      </c>
      <c r="C1392" s="3">
        <f t="shared" si="147"/>
        <v>4.8000000000000114</v>
      </c>
      <c r="D1392" s="3">
        <f t="shared" si="143"/>
        <v>4.8000000000000114</v>
      </c>
      <c r="E1392" s="3">
        <f t="shared" si="144"/>
        <v>0</v>
      </c>
      <c r="F1392" s="3">
        <f t="shared" si="142"/>
        <v>4.2338059078173851</v>
      </c>
      <c r="G1392" s="3">
        <f t="shared" si="142"/>
        <v>0.90732969031667066</v>
      </c>
      <c r="H1392" s="3">
        <f t="shared" si="145"/>
        <v>4.6662265690211546</v>
      </c>
      <c r="I1392" s="3">
        <f t="shared" si="146"/>
        <v>82.35157052371892</v>
      </c>
    </row>
    <row r="1393" spans="1:9" ht="15.75" customHeight="1">
      <c r="A1393" s="14">
        <v>31656</v>
      </c>
      <c r="B1393">
        <v>238.3</v>
      </c>
      <c r="C1393" s="3">
        <f t="shared" si="147"/>
        <v>-6.6999999999999886</v>
      </c>
      <c r="D1393" s="3">
        <f t="shared" si="143"/>
        <v>0</v>
      </c>
      <c r="E1393" s="3">
        <f t="shared" si="144"/>
        <v>6.6999999999999886</v>
      </c>
      <c r="F1393" s="3">
        <f t="shared" si="142"/>
        <v>3.9313912001161433</v>
      </c>
      <c r="G1393" s="3">
        <f t="shared" si="142"/>
        <v>1.3210918552940503</v>
      </c>
      <c r="H1393" s="3">
        <f t="shared" si="145"/>
        <v>2.9758651409148906</v>
      </c>
      <c r="I1393" s="3">
        <f t="shared" si="146"/>
        <v>74.848241462991652</v>
      </c>
    </row>
    <row r="1394" spans="1:9" ht="15.75" customHeight="1">
      <c r="A1394" s="14">
        <v>31686</v>
      </c>
      <c r="B1394">
        <v>237.4</v>
      </c>
      <c r="C1394" s="3">
        <f t="shared" si="147"/>
        <v>-0.90000000000000568</v>
      </c>
      <c r="D1394" s="3">
        <f t="shared" si="143"/>
        <v>0</v>
      </c>
      <c r="E1394" s="3">
        <f t="shared" si="144"/>
        <v>0.90000000000000568</v>
      </c>
      <c r="F1394" s="3">
        <f t="shared" si="142"/>
        <v>3.65057754296499</v>
      </c>
      <c r="G1394" s="3">
        <f t="shared" si="142"/>
        <v>1.2910138656301899</v>
      </c>
      <c r="H1394" s="3">
        <f t="shared" si="145"/>
        <v>2.827682676500932</v>
      </c>
      <c r="I1394" s="3">
        <f t="shared" si="146"/>
        <v>73.87453233416548</v>
      </c>
    </row>
    <row r="1395" spans="1:9" ht="15.75" customHeight="1">
      <c r="A1395" s="14">
        <v>31717</v>
      </c>
      <c r="B1395">
        <v>245.1</v>
      </c>
      <c r="C1395" s="3">
        <f t="shared" si="147"/>
        <v>7.6999999999999886</v>
      </c>
      <c r="D1395" s="3">
        <f t="shared" si="143"/>
        <v>7.6999999999999886</v>
      </c>
      <c r="E1395" s="3">
        <f t="shared" si="144"/>
        <v>0</v>
      </c>
      <c r="F1395" s="3">
        <f t="shared" si="142"/>
        <v>3.9398220041817753</v>
      </c>
      <c r="G1395" s="3">
        <f t="shared" si="142"/>
        <v>1.1987985895137478</v>
      </c>
      <c r="H1395" s="3">
        <f t="shared" si="145"/>
        <v>3.2864753417668191</v>
      </c>
      <c r="I1395" s="3">
        <f t="shared" si="146"/>
        <v>76.670809458387893</v>
      </c>
    </row>
    <row r="1396" spans="1:9" ht="15.75" customHeight="1">
      <c r="A1396" s="14">
        <v>31747</v>
      </c>
      <c r="B1396">
        <v>248.6</v>
      </c>
      <c r="C1396" s="3">
        <f t="shared" si="147"/>
        <v>3.5</v>
      </c>
      <c r="D1396" s="3">
        <f t="shared" si="143"/>
        <v>3.5</v>
      </c>
      <c r="E1396" s="3">
        <f t="shared" si="144"/>
        <v>0</v>
      </c>
      <c r="F1396" s="3">
        <f t="shared" si="142"/>
        <v>3.9084061467402198</v>
      </c>
      <c r="G1396" s="3">
        <f t="shared" si="142"/>
        <v>1.1131701188341945</v>
      </c>
      <c r="H1396" s="3">
        <f t="shared" si="145"/>
        <v>3.511059163924946</v>
      </c>
      <c r="I1396" s="3">
        <f t="shared" si="146"/>
        <v>77.832257045151948</v>
      </c>
    </row>
    <row r="1397" spans="1:9" ht="15.75" customHeight="1">
      <c r="A1397" s="14">
        <v>31778</v>
      </c>
      <c r="B1397">
        <v>264.5</v>
      </c>
      <c r="C1397" s="3">
        <f t="shared" si="147"/>
        <v>15.900000000000006</v>
      </c>
      <c r="D1397" s="3">
        <f t="shared" si="143"/>
        <v>15.900000000000006</v>
      </c>
      <c r="E1397" s="3">
        <f t="shared" si="144"/>
        <v>0</v>
      </c>
      <c r="F1397" s="3">
        <f t="shared" si="142"/>
        <v>4.7649485648302043</v>
      </c>
      <c r="G1397" s="3">
        <f t="shared" si="142"/>
        <v>1.0336579674888948</v>
      </c>
      <c r="H1397" s="3">
        <f t="shared" si="145"/>
        <v>4.6097923246370147</v>
      </c>
      <c r="I1397" s="3">
        <f t="shared" si="146"/>
        <v>82.17402816128839</v>
      </c>
    </row>
    <row r="1398" spans="1:9" ht="15.75" customHeight="1">
      <c r="A1398" s="14">
        <v>31809</v>
      </c>
      <c r="B1398">
        <v>280.89999999999998</v>
      </c>
      <c r="C1398" s="3">
        <f t="shared" si="147"/>
        <v>16.399999999999977</v>
      </c>
      <c r="D1398" s="3">
        <f t="shared" si="143"/>
        <v>16.399999999999977</v>
      </c>
      <c r="E1398" s="3">
        <f t="shared" si="144"/>
        <v>0</v>
      </c>
      <c r="F1398" s="3">
        <f t="shared" si="142"/>
        <v>5.5960236673423305</v>
      </c>
      <c r="G1398" s="3">
        <f t="shared" si="142"/>
        <v>0.95982525552540232</v>
      </c>
      <c r="H1398" s="3">
        <f t="shared" si="145"/>
        <v>5.8302525747554981</v>
      </c>
      <c r="I1398" s="3">
        <f t="shared" si="146"/>
        <v>85.359252984348132</v>
      </c>
    </row>
    <row r="1399" spans="1:9" ht="15.75" customHeight="1">
      <c r="A1399" s="14">
        <v>31837</v>
      </c>
      <c r="B1399">
        <v>292.5</v>
      </c>
      <c r="C1399" s="3">
        <f t="shared" si="147"/>
        <v>11.600000000000023</v>
      </c>
      <c r="D1399" s="3">
        <f t="shared" si="143"/>
        <v>11.600000000000023</v>
      </c>
      <c r="E1399" s="3">
        <f t="shared" si="144"/>
        <v>0</v>
      </c>
      <c r="F1399" s="3">
        <f t="shared" si="142"/>
        <v>6.0248791196750222</v>
      </c>
      <c r="G1399" s="3">
        <f t="shared" si="142"/>
        <v>0.89126630870215939</v>
      </c>
      <c r="H1399" s="3">
        <f t="shared" si="145"/>
        <v>6.759908975408603</v>
      </c>
      <c r="I1399" s="3">
        <f t="shared" si="146"/>
        <v>87.113250900635151</v>
      </c>
    </row>
    <row r="1400" spans="1:9" ht="15.75" customHeight="1">
      <c r="A1400" s="14">
        <v>31868</v>
      </c>
      <c r="B1400">
        <v>289.3</v>
      </c>
      <c r="C1400" s="3">
        <f t="shared" si="147"/>
        <v>-3.1999999999999886</v>
      </c>
      <c r="D1400" s="3">
        <f t="shared" si="143"/>
        <v>0</v>
      </c>
      <c r="E1400" s="3">
        <f t="shared" si="144"/>
        <v>3.1999999999999886</v>
      </c>
      <c r="F1400" s="3">
        <f t="shared" si="142"/>
        <v>5.5945306111268067</v>
      </c>
      <c r="G1400" s="3">
        <f t="shared" si="142"/>
        <v>1.0561758580805758</v>
      </c>
      <c r="H1400" s="3">
        <f t="shared" si="145"/>
        <v>5.29696884124386</v>
      </c>
      <c r="I1400" s="3">
        <f t="shared" si="146"/>
        <v>84.119343366443161</v>
      </c>
    </row>
    <row r="1401" spans="1:9" ht="15.75" customHeight="1">
      <c r="A1401" s="14">
        <v>31898</v>
      </c>
      <c r="B1401">
        <v>289.10000000000002</v>
      </c>
      <c r="C1401" s="3">
        <f t="shared" si="147"/>
        <v>-0.19999999999998863</v>
      </c>
      <c r="D1401" s="3">
        <f t="shared" si="143"/>
        <v>0</v>
      </c>
      <c r="E1401" s="3">
        <f t="shared" si="144"/>
        <v>0.19999999999998863</v>
      </c>
      <c r="F1401" s="3">
        <f t="shared" si="142"/>
        <v>5.1949212817606059</v>
      </c>
      <c r="G1401" s="3">
        <f t="shared" si="142"/>
        <v>0.9950204396462482</v>
      </c>
      <c r="H1401" s="3">
        <f t="shared" si="145"/>
        <v>5.2209191638390013</v>
      </c>
      <c r="I1401" s="3">
        <f t="shared" si="146"/>
        <v>83.925205043447491</v>
      </c>
    </row>
    <row r="1402" spans="1:9" ht="15.75" customHeight="1">
      <c r="A1402" s="14">
        <v>31929</v>
      </c>
      <c r="B1402">
        <v>301.39999999999998</v>
      </c>
      <c r="C1402" s="3">
        <f t="shared" si="147"/>
        <v>12.299999999999955</v>
      </c>
      <c r="D1402" s="3">
        <f t="shared" si="143"/>
        <v>12.299999999999955</v>
      </c>
      <c r="E1402" s="3">
        <f t="shared" si="144"/>
        <v>0</v>
      </c>
      <c r="F1402" s="3">
        <f t="shared" si="142"/>
        <v>5.702426904491988</v>
      </c>
      <c r="G1402" s="3">
        <f t="shared" si="142"/>
        <v>0.92394755110008764</v>
      </c>
      <c r="H1402" s="3">
        <f t="shared" si="145"/>
        <v>6.1718080184340103</v>
      </c>
      <c r="I1402" s="3">
        <f t="shared" si="146"/>
        <v>86.056514655305094</v>
      </c>
    </row>
    <row r="1403" spans="1:9" ht="15.75" customHeight="1">
      <c r="A1403" s="14">
        <v>31959</v>
      </c>
      <c r="B1403">
        <v>310.10000000000002</v>
      </c>
      <c r="C1403" s="3">
        <f t="shared" si="147"/>
        <v>8.7000000000000455</v>
      </c>
      <c r="D1403" s="3">
        <f t="shared" si="143"/>
        <v>8.7000000000000455</v>
      </c>
      <c r="E1403" s="3">
        <f t="shared" si="144"/>
        <v>0</v>
      </c>
      <c r="F1403" s="3">
        <f t="shared" si="142"/>
        <v>5.9165392684568499</v>
      </c>
      <c r="G1403" s="3">
        <f t="shared" si="142"/>
        <v>0.85795129745008136</v>
      </c>
      <c r="H1403" s="3">
        <f t="shared" si="145"/>
        <v>6.8961248570185827</v>
      </c>
      <c r="I1403" s="3">
        <f t="shared" si="146"/>
        <v>87.335559934679409</v>
      </c>
    </row>
    <row r="1404" spans="1:9" ht="15.75" customHeight="1">
      <c r="A1404" s="14">
        <v>31990</v>
      </c>
      <c r="B1404">
        <v>329.4</v>
      </c>
      <c r="C1404" s="3">
        <f t="shared" si="147"/>
        <v>19.299999999999955</v>
      </c>
      <c r="D1404" s="3">
        <f t="shared" si="143"/>
        <v>19.299999999999955</v>
      </c>
      <c r="E1404" s="3">
        <f t="shared" si="144"/>
        <v>0</v>
      </c>
      <c r="F1404" s="3">
        <f t="shared" si="142"/>
        <v>6.8725007492813575</v>
      </c>
      <c r="G1404" s="3">
        <f t="shared" si="142"/>
        <v>0.79666906191793274</v>
      </c>
      <c r="H1404" s="3">
        <f t="shared" si="145"/>
        <v>8.6265440416830366</v>
      </c>
      <c r="I1404" s="3">
        <f t="shared" si="146"/>
        <v>89.612056043477395</v>
      </c>
    </row>
    <row r="1405" spans="1:9" ht="15.75" customHeight="1">
      <c r="A1405" s="14">
        <v>32021</v>
      </c>
      <c r="B1405">
        <v>318.7</v>
      </c>
      <c r="C1405" s="3">
        <f t="shared" si="147"/>
        <v>-10.699999999999989</v>
      </c>
      <c r="D1405" s="3">
        <f t="shared" si="143"/>
        <v>0</v>
      </c>
      <c r="E1405" s="3">
        <f t="shared" si="144"/>
        <v>10.699999999999989</v>
      </c>
      <c r="F1405" s="3">
        <f t="shared" si="142"/>
        <v>6.381607838618403</v>
      </c>
      <c r="G1405" s="3">
        <f t="shared" si="142"/>
        <v>1.5040498432095082</v>
      </c>
      <c r="H1405" s="3">
        <f t="shared" si="145"/>
        <v>4.2429497050447615</v>
      </c>
      <c r="I1405" s="3">
        <f t="shared" si="146"/>
        <v>80.926767253979165</v>
      </c>
    </row>
    <row r="1406" spans="1:9" ht="15.75" customHeight="1">
      <c r="A1406" s="14">
        <v>32051</v>
      </c>
      <c r="B1406">
        <v>280.2</v>
      </c>
      <c r="C1406" s="3">
        <f t="shared" si="147"/>
        <v>-38.5</v>
      </c>
      <c r="D1406" s="3">
        <f t="shared" si="143"/>
        <v>0</v>
      </c>
      <c r="E1406" s="3">
        <f t="shared" si="144"/>
        <v>38.5</v>
      </c>
      <c r="F1406" s="3">
        <f t="shared" si="142"/>
        <v>5.9257787072885169</v>
      </c>
      <c r="G1406" s="3">
        <f t="shared" si="142"/>
        <v>4.146617711551686</v>
      </c>
      <c r="H1406" s="3">
        <f t="shared" si="145"/>
        <v>1.4290631834182417</v>
      </c>
      <c r="I1406" s="3">
        <f t="shared" si="146"/>
        <v>58.831865435761387</v>
      </c>
    </row>
    <row r="1407" spans="1:9" ht="15.75" customHeight="1">
      <c r="A1407" s="14">
        <v>32082</v>
      </c>
      <c r="B1407">
        <v>245</v>
      </c>
      <c r="C1407" s="3">
        <f t="shared" si="147"/>
        <v>-35.199999999999989</v>
      </c>
      <c r="D1407" s="3">
        <f t="shared" si="143"/>
        <v>0</v>
      </c>
      <c r="E1407" s="3">
        <f t="shared" si="144"/>
        <v>35.199999999999989</v>
      </c>
      <c r="F1407" s="3">
        <f t="shared" si="142"/>
        <v>5.5025087996250521</v>
      </c>
      <c r="G1407" s="3">
        <f t="shared" si="142"/>
        <v>6.3647164464408501</v>
      </c>
      <c r="H1407" s="3">
        <f t="shared" si="145"/>
        <v>0.86453321933957572</v>
      </c>
      <c r="I1407" s="3">
        <f t="shared" si="146"/>
        <v>46.367273608876566</v>
      </c>
    </row>
    <row r="1408" spans="1:9" ht="15.75" customHeight="1">
      <c r="A1408" s="14">
        <v>32112</v>
      </c>
      <c r="B1408">
        <v>241</v>
      </c>
      <c r="C1408" s="3">
        <f t="shared" si="147"/>
        <v>-4</v>
      </c>
      <c r="D1408" s="3">
        <f t="shared" si="143"/>
        <v>0</v>
      </c>
      <c r="E1408" s="3">
        <f t="shared" si="144"/>
        <v>4</v>
      </c>
      <c r="F1408" s="3">
        <f t="shared" si="142"/>
        <v>5.1094724567946912</v>
      </c>
      <c r="G1408" s="3">
        <f t="shared" si="142"/>
        <v>6.1958081288379319</v>
      </c>
      <c r="H1408" s="3">
        <f t="shared" si="145"/>
        <v>0.82466602427745117</v>
      </c>
      <c r="I1408" s="3">
        <f t="shared" si="146"/>
        <v>45.195450197742922</v>
      </c>
    </row>
    <row r="1409" spans="1:9" ht="15.75" customHeight="1">
      <c r="A1409" s="14">
        <v>32143</v>
      </c>
      <c r="B1409">
        <v>250.5</v>
      </c>
      <c r="C1409" s="3">
        <f t="shared" si="147"/>
        <v>9.5</v>
      </c>
      <c r="D1409" s="3">
        <f t="shared" si="143"/>
        <v>9.5</v>
      </c>
      <c r="E1409" s="3">
        <f t="shared" si="144"/>
        <v>0</v>
      </c>
      <c r="F1409" s="3">
        <f t="shared" si="142"/>
        <v>5.4230815670236421</v>
      </c>
      <c r="G1409" s="3">
        <f t="shared" si="142"/>
        <v>5.753250405349509</v>
      </c>
      <c r="H1409" s="3">
        <f t="shared" si="145"/>
        <v>0.94261177333444968</v>
      </c>
      <c r="I1409" s="3">
        <f t="shared" si="146"/>
        <v>48.522910561613536</v>
      </c>
    </row>
    <row r="1410" spans="1:9" ht="15.75" customHeight="1">
      <c r="A1410" s="14">
        <v>32174</v>
      </c>
      <c r="B1410">
        <v>258.10000000000002</v>
      </c>
      <c r="C1410" s="3">
        <f t="shared" si="147"/>
        <v>7.6000000000000227</v>
      </c>
      <c r="D1410" s="3">
        <f t="shared" si="143"/>
        <v>7.6000000000000227</v>
      </c>
      <c r="E1410" s="3">
        <f t="shared" si="144"/>
        <v>0</v>
      </c>
      <c r="F1410" s="3">
        <f t="shared" si="142"/>
        <v>5.5785757408076693</v>
      </c>
      <c r="G1410" s="3">
        <f t="shared" si="142"/>
        <v>5.3423039478245444</v>
      </c>
      <c r="H1410" s="3">
        <f t="shared" si="145"/>
        <v>1.0442265725220179</v>
      </c>
      <c r="I1410" s="3">
        <f t="shared" si="146"/>
        <v>51.081743411334642</v>
      </c>
    </row>
    <row r="1411" spans="1:9" ht="15.75" customHeight="1">
      <c r="A1411" s="14">
        <v>32203</v>
      </c>
      <c r="B1411">
        <v>265.7</v>
      </c>
      <c r="C1411" s="3">
        <f t="shared" si="147"/>
        <v>7.5999999999999659</v>
      </c>
      <c r="D1411" s="3">
        <f t="shared" si="143"/>
        <v>7.5999999999999659</v>
      </c>
      <c r="E1411" s="3">
        <f t="shared" si="144"/>
        <v>0</v>
      </c>
      <c r="F1411" s="3">
        <f t="shared" si="142"/>
        <v>5.7229631878928329</v>
      </c>
      <c r="G1411" s="3">
        <f t="shared" si="142"/>
        <v>4.9607108086942207</v>
      </c>
      <c r="H1411" s="3">
        <f t="shared" si="145"/>
        <v>1.1536578947240135</v>
      </c>
      <c r="I1411" s="3">
        <f t="shared" si="146"/>
        <v>53.567370080002988</v>
      </c>
    </row>
    <row r="1412" spans="1:9" ht="15.75" customHeight="1">
      <c r="A1412" s="14">
        <v>32234</v>
      </c>
      <c r="B1412">
        <v>262.60000000000002</v>
      </c>
      <c r="C1412" s="3">
        <f t="shared" si="147"/>
        <v>-3.0999999999999659</v>
      </c>
      <c r="D1412" s="3">
        <f t="shared" si="143"/>
        <v>0</v>
      </c>
      <c r="E1412" s="3">
        <f t="shared" si="144"/>
        <v>3.0999999999999659</v>
      </c>
      <c r="F1412" s="3">
        <f t="shared" si="142"/>
        <v>5.314180103043344</v>
      </c>
      <c r="G1412" s="3">
        <f t="shared" si="142"/>
        <v>4.8278028937874877</v>
      </c>
      <c r="H1412" s="3">
        <f t="shared" si="145"/>
        <v>1.1007450428189054</v>
      </c>
      <c r="I1412" s="3">
        <f t="shared" si="146"/>
        <v>52.397840784232436</v>
      </c>
    </row>
    <row r="1413" spans="1:9" ht="15.75" customHeight="1">
      <c r="A1413" s="14">
        <v>32264</v>
      </c>
      <c r="B1413">
        <v>256.10000000000002</v>
      </c>
      <c r="C1413" s="3">
        <f t="shared" si="147"/>
        <v>-6.5</v>
      </c>
      <c r="D1413" s="3">
        <f t="shared" si="143"/>
        <v>0</v>
      </c>
      <c r="E1413" s="3">
        <f t="shared" si="144"/>
        <v>6.5</v>
      </c>
      <c r="F1413" s="3">
        <f t="shared" si="142"/>
        <v>4.934595809968819</v>
      </c>
      <c r="G1413" s="3">
        <f t="shared" si="142"/>
        <v>4.9472455442312384</v>
      </c>
      <c r="H1413" s="3">
        <f t="shared" si="145"/>
        <v>0.9974430753134601</v>
      </c>
      <c r="I1413" s="3">
        <f t="shared" si="146"/>
        <v>49.93599505492444</v>
      </c>
    </row>
    <row r="1414" spans="1:9" ht="15.75" customHeight="1">
      <c r="A1414" s="14">
        <v>32295</v>
      </c>
      <c r="B1414">
        <v>270.7</v>
      </c>
      <c r="C1414" s="3">
        <f t="shared" si="147"/>
        <v>14.599999999999966</v>
      </c>
      <c r="D1414" s="3">
        <f t="shared" si="143"/>
        <v>14.599999999999966</v>
      </c>
      <c r="E1414" s="3">
        <f t="shared" si="144"/>
        <v>0</v>
      </c>
      <c r="F1414" s="3">
        <f t="shared" si="142"/>
        <v>5.6249818235424716</v>
      </c>
      <c r="G1414" s="3">
        <f t="shared" si="142"/>
        <v>4.5938708625004363</v>
      </c>
      <c r="H1414" s="3">
        <f t="shared" si="145"/>
        <v>1.2244536235136578</v>
      </c>
      <c r="I1414" s="3">
        <f t="shared" si="146"/>
        <v>55.045140549145728</v>
      </c>
    </row>
    <row r="1415" spans="1:9" ht="15.75" customHeight="1">
      <c r="A1415" s="14">
        <v>32325</v>
      </c>
      <c r="B1415">
        <v>269.10000000000002</v>
      </c>
      <c r="C1415" s="3">
        <f t="shared" si="147"/>
        <v>-1.5999999999999659</v>
      </c>
      <c r="D1415" s="3">
        <f t="shared" si="143"/>
        <v>0</v>
      </c>
      <c r="E1415" s="3">
        <f t="shared" si="144"/>
        <v>1.5999999999999659</v>
      </c>
      <c r="F1415" s="3">
        <f t="shared" si="142"/>
        <v>5.2231974075751522</v>
      </c>
      <c r="G1415" s="3">
        <f t="shared" si="142"/>
        <v>4.3800229437504026</v>
      </c>
      <c r="H1415" s="3">
        <f t="shared" si="145"/>
        <v>1.192504576951549</v>
      </c>
      <c r="I1415" s="3">
        <f t="shared" si="146"/>
        <v>54.39006100546451</v>
      </c>
    </row>
    <row r="1416" spans="1:9" ht="15.75" customHeight="1">
      <c r="A1416" s="14">
        <v>32356</v>
      </c>
      <c r="B1416">
        <v>263.7</v>
      </c>
      <c r="C1416" s="3">
        <f t="shared" si="147"/>
        <v>-5.4000000000000341</v>
      </c>
      <c r="D1416" s="3">
        <f t="shared" si="143"/>
        <v>0</v>
      </c>
      <c r="E1416" s="3">
        <f t="shared" si="144"/>
        <v>5.4000000000000341</v>
      </c>
      <c r="F1416" s="3">
        <f t="shared" si="142"/>
        <v>4.8501118784626414</v>
      </c>
      <c r="G1416" s="3">
        <f t="shared" si="142"/>
        <v>4.4528784477682333</v>
      </c>
      <c r="H1416" s="3">
        <f t="shared" si="145"/>
        <v>1.0892082358308028</v>
      </c>
      <c r="I1416" s="3">
        <f t="shared" si="146"/>
        <v>52.134977124368078</v>
      </c>
    </row>
    <row r="1417" spans="1:9" ht="15.75" customHeight="1">
      <c r="A1417" s="14">
        <v>32387</v>
      </c>
      <c r="B1417">
        <v>268</v>
      </c>
      <c r="C1417" s="3">
        <f t="shared" si="147"/>
        <v>4.3000000000000114</v>
      </c>
      <c r="D1417" s="3">
        <f t="shared" si="143"/>
        <v>4.3000000000000114</v>
      </c>
      <c r="E1417" s="3">
        <f t="shared" si="144"/>
        <v>0</v>
      </c>
      <c r="F1417" s="3">
        <f t="shared" si="142"/>
        <v>4.810818172858168</v>
      </c>
      <c r="G1417" s="3">
        <f t="shared" si="142"/>
        <v>4.1348157014990736</v>
      </c>
      <c r="H1417" s="3">
        <f t="shared" si="145"/>
        <v>1.1634903512420181</v>
      </c>
      <c r="I1417" s="3">
        <f t="shared" si="146"/>
        <v>53.778393352855986</v>
      </c>
    </row>
    <row r="1418" spans="1:9" ht="15.75" customHeight="1">
      <c r="A1418" s="14">
        <v>32417</v>
      </c>
      <c r="B1418">
        <v>277.39999999999998</v>
      </c>
      <c r="C1418" s="3">
        <f t="shared" si="147"/>
        <v>9.3999999999999773</v>
      </c>
      <c r="D1418" s="3">
        <f t="shared" si="143"/>
        <v>9.3999999999999773</v>
      </c>
      <c r="E1418" s="3">
        <f t="shared" si="144"/>
        <v>0</v>
      </c>
      <c r="F1418" s="3">
        <f t="shared" si="142"/>
        <v>5.1386168747968686</v>
      </c>
      <c r="G1418" s="3">
        <f t="shared" si="142"/>
        <v>3.8394717228205684</v>
      </c>
      <c r="H1418" s="3">
        <f t="shared" si="145"/>
        <v>1.3383655996877395</v>
      </c>
      <c r="I1418" s="3">
        <f t="shared" si="146"/>
        <v>57.235087612752345</v>
      </c>
    </row>
    <row r="1419" spans="1:9" ht="15.75" customHeight="1">
      <c r="A1419" s="14">
        <v>32448</v>
      </c>
      <c r="B1419">
        <v>271</v>
      </c>
      <c r="C1419" s="3">
        <f t="shared" si="147"/>
        <v>-6.3999999999999773</v>
      </c>
      <c r="D1419" s="3">
        <f t="shared" si="143"/>
        <v>0</v>
      </c>
      <c r="E1419" s="3">
        <f t="shared" si="144"/>
        <v>6.3999999999999773</v>
      </c>
      <c r="F1419" s="3">
        <f t="shared" si="142"/>
        <v>4.7715728123113781</v>
      </c>
      <c r="G1419" s="3">
        <f t="shared" si="142"/>
        <v>4.0223665997619547</v>
      </c>
      <c r="H1419" s="3">
        <f t="shared" si="145"/>
        <v>1.1862600521279592</v>
      </c>
      <c r="I1419" s="3">
        <f t="shared" si="146"/>
        <v>54.259787209363914</v>
      </c>
    </row>
    <row r="1420" spans="1:9" ht="15.75" customHeight="1">
      <c r="A1420" s="14">
        <v>32478</v>
      </c>
      <c r="B1420">
        <v>276.5</v>
      </c>
      <c r="C1420" s="3">
        <f t="shared" si="147"/>
        <v>5.5</v>
      </c>
      <c r="D1420" s="3">
        <f t="shared" si="143"/>
        <v>5.5</v>
      </c>
      <c r="E1420" s="3">
        <f t="shared" si="144"/>
        <v>0</v>
      </c>
      <c r="F1420" s="3">
        <f t="shared" si="142"/>
        <v>4.8236033257177082</v>
      </c>
      <c r="G1420" s="3">
        <f t="shared" si="142"/>
        <v>3.7350546997789578</v>
      </c>
      <c r="H1420" s="3">
        <f t="shared" si="145"/>
        <v>1.2914411470341174</v>
      </c>
      <c r="I1420" s="3">
        <f t="shared" si="146"/>
        <v>56.35934174899797</v>
      </c>
    </row>
    <row r="1421" spans="1:9" ht="15.75" customHeight="1">
      <c r="A1421" s="14">
        <v>32509</v>
      </c>
      <c r="B1421">
        <v>285.39999999999998</v>
      </c>
      <c r="C1421" s="3">
        <f t="shared" si="147"/>
        <v>8.8999999999999773</v>
      </c>
      <c r="D1421" s="3">
        <f t="shared" si="143"/>
        <v>8.8999999999999773</v>
      </c>
      <c r="E1421" s="3">
        <f t="shared" si="144"/>
        <v>0</v>
      </c>
      <c r="F1421" s="3">
        <f t="shared" si="142"/>
        <v>5.11477451673787</v>
      </c>
      <c r="G1421" s="3">
        <f t="shared" si="142"/>
        <v>3.468265078366175</v>
      </c>
      <c r="H1421" s="3">
        <f t="shared" si="145"/>
        <v>1.4747357543810724</v>
      </c>
      <c r="I1421" s="3">
        <f t="shared" si="146"/>
        <v>59.591645361340866</v>
      </c>
    </row>
    <row r="1422" spans="1:9" ht="15.75" customHeight="1">
      <c r="A1422" s="14">
        <v>32540</v>
      </c>
      <c r="B1422">
        <v>294</v>
      </c>
      <c r="C1422" s="3">
        <f t="shared" si="147"/>
        <v>8.6000000000000227</v>
      </c>
      <c r="D1422" s="3">
        <f t="shared" si="143"/>
        <v>8.6000000000000227</v>
      </c>
      <c r="E1422" s="3">
        <f t="shared" si="144"/>
        <v>0</v>
      </c>
      <c r="F1422" s="3">
        <f t="shared" si="142"/>
        <v>5.3637191941137372</v>
      </c>
      <c r="G1422" s="3">
        <f t="shared" si="142"/>
        <v>3.2205318584828766</v>
      </c>
      <c r="H1422" s="3">
        <f t="shared" si="145"/>
        <v>1.6654762100817937</v>
      </c>
      <c r="I1422" s="3">
        <f t="shared" si="146"/>
        <v>62.483251727490988</v>
      </c>
    </row>
    <row r="1423" spans="1:9" ht="15.75" customHeight="1">
      <c r="A1423" s="14">
        <v>32568</v>
      </c>
      <c r="B1423">
        <v>292.7</v>
      </c>
      <c r="C1423" s="3">
        <f t="shared" si="147"/>
        <v>-1.3000000000000114</v>
      </c>
      <c r="D1423" s="3">
        <f t="shared" si="143"/>
        <v>0</v>
      </c>
      <c r="E1423" s="3">
        <f t="shared" si="144"/>
        <v>1.3000000000000114</v>
      </c>
      <c r="F1423" s="3">
        <f t="shared" si="142"/>
        <v>4.9805963945341842</v>
      </c>
      <c r="G1423" s="3">
        <f t="shared" si="142"/>
        <v>3.0833510114483862</v>
      </c>
      <c r="H1423" s="3">
        <f t="shared" si="145"/>
        <v>1.6153192990487899</v>
      </c>
      <c r="I1423" s="3">
        <f t="shared" si="146"/>
        <v>61.763750974356853</v>
      </c>
    </row>
    <row r="1424" spans="1:9" ht="15.75" customHeight="1">
      <c r="A1424" s="14">
        <v>32599</v>
      </c>
      <c r="B1424">
        <v>302.3</v>
      </c>
      <c r="C1424" s="3">
        <f t="shared" si="147"/>
        <v>9.6000000000000227</v>
      </c>
      <c r="D1424" s="3">
        <f t="shared" si="143"/>
        <v>9.6000000000000227</v>
      </c>
      <c r="E1424" s="3">
        <f t="shared" si="144"/>
        <v>0</v>
      </c>
      <c r="F1424" s="3">
        <f t="shared" si="142"/>
        <v>5.3105537949246013</v>
      </c>
      <c r="G1424" s="3">
        <f t="shared" si="142"/>
        <v>2.8631116534877874</v>
      </c>
      <c r="H1424" s="3">
        <f t="shared" si="145"/>
        <v>1.8548189653922114</v>
      </c>
      <c r="I1424" s="3">
        <f t="shared" si="146"/>
        <v>64.97150915267882</v>
      </c>
    </row>
    <row r="1425" spans="1:9" ht="15.75" customHeight="1">
      <c r="A1425" s="14">
        <v>32629</v>
      </c>
      <c r="B1425">
        <v>313.89999999999998</v>
      </c>
      <c r="C1425" s="3">
        <f t="shared" si="147"/>
        <v>11.599999999999966</v>
      </c>
      <c r="D1425" s="3">
        <f t="shared" si="143"/>
        <v>11.599999999999966</v>
      </c>
      <c r="E1425" s="3">
        <f t="shared" si="144"/>
        <v>0</v>
      </c>
      <c r="F1425" s="3">
        <f t="shared" si="142"/>
        <v>5.7597999524299848</v>
      </c>
      <c r="G1425" s="3">
        <f t="shared" si="142"/>
        <v>2.6586036782386597</v>
      </c>
      <c r="H1425" s="3">
        <f t="shared" si="145"/>
        <v>2.1664755824929443</v>
      </c>
      <c r="I1425" s="3">
        <f t="shared" si="146"/>
        <v>68.419146968039882</v>
      </c>
    </row>
    <row r="1426" spans="1:9" ht="15.75" customHeight="1">
      <c r="A1426" s="14">
        <v>32660</v>
      </c>
      <c r="B1426">
        <v>323.7</v>
      </c>
      <c r="C1426" s="3">
        <f t="shared" si="147"/>
        <v>9.8000000000000114</v>
      </c>
      <c r="D1426" s="3">
        <f t="shared" si="143"/>
        <v>9.8000000000000114</v>
      </c>
      <c r="E1426" s="3">
        <f t="shared" si="144"/>
        <v>0</v>
      </c>
      <c r="F1426" s="3">
        <f t="shared" ref="F1426:G1489" si="148">((F1425*13)+D1426)/14</f>
        <v>6.0483856701135581</v>
      </c>
      <c r="G1426" s="3">
        <f t="shared" si="148"/>
        <v>2.4687034155073269</v>
      </c>
      <c r="H1426" s="3">
        <f t="shared" si="145"/>
        <v>2.4500252367782278</v>
      </c>
      <c r="I1426" s="3">
        <f t="shared" si="146"/>
        <v>71.014704781294867</v>
      </c>
    </row>
    <row r="1427" spans="1:9" ht="15.75" customHeight="1">
      <c r="A1427" s="14">
        <v>32690</v>
      </c>
      <c r="B1427">
        <v>331.9</v>
      </c>
      <c r="C1427" s="3">
        <f t="shared" si="147"/>
        <v>8.1999999999999886</v>
      </c>
      <c r="D1427" s="3">
        <f t="shared" si="143"/>
        <v>8.1999999999999886</v>
      </c>
      <c r="E1427" s="3">
        <f t="shared" si="144"/>
        <v>0</v>
      </c>
      <c r="F1427" s="3">
        <f t="shared" si="148"/>
        <v>6.2020724079625893</v>
      </c>
      <c r="G1427" s="3">
        <f t="shared" si="148"/>
        <v>2.2923674572568031</v>
      </c>
      <c r="H1427" s="3">
        <f t="shared" si="145"/>
        <v>2.7055315186616697</v>
      </c>
      <c r="I1427" s="3">
        <f t="shared" si="146"/>
        <v>73.013318198378983</v>
      </c>
    </row>
    <row r="1428" spans="1:9" ht="15.75" customHeight="1">
      <c r="A1428" s="14">
        <v>32721</v>
      </c>
      <c r="B1428">
        <v>346.6</v>
      </c>
      <c r="C1428" s="3">
        <f t="shared" si="147"/>
        <v>14.700000000000045</v>
      </c>
      <c r="D1428" s="3">
        <f t="shared" si="143"/>
        <v>14.700000000000045</v>
      </c>
      <c r="E1428" s="3">
        <f t="shared" si="144"/>
        <v>0</v>
      </c>
      <c r="F1428" s="3">
        <f t="shared" si="148"/>
        <v>6.8090672359652649</v>
      </c>
      <c r="G1428" s="3">
        <f t="shared" si="148"/>
        <v>2.1286269245956029</v>
      </c>
      <c r="H1428" s="3">
        <f t="shared" si="145"/>
        <v>3.1988072486017498</v>
      </c>
      <c r="I1428" s="3">
        <f t="shared" si="146"/>
        <v>76.183712640464478</v>
      </c>
    </row>
    <row r="1429" spans="1:9" ht="15.75" customHeight="1">
      <c r="A1429" s="14">
        <v>32752</v>
      </c>
      <c r="B1429">
        <v>347.3</v>
      </c>
      <c r="C1429" s="3">
        <f t="shared" si="147"/>
        <v>0.69999999999998863</v>
      </c>
      <c r="D1429" s="3">
        <f t="shared" si="143"/>
        <v>0.69999999999998863</v>
      </c>
      <c r="E1429" s="3">
        <f t="shared" si="144"/>
        <v>0</v>
      </c>
      <c r="F1429" s="3">
        <f t="shared" si="148"/>
        <v>6.3727052905391739</v>
      </c>
      <c r="G1429" s="3">
        <f t="shared" si="148"/>
        <v>1.9765821442673455</v>
      </c>
      <c r="H1429" s="3">
        <f t="shared" si="145"/>
        <v>3.2241034398807278</v>
      </c>
      <c r="I1429" s="3">
        <f t="shared" si="146"/>
        <v>76.326337310806096</v>
      </c>
    </row>
    <row r="1430" spans="1:9" ht="15.75" customHeight="1">
      <c r="A1430" s="14">
        <v>32782</v>
      </c>
      <c r="B1430">
        <v>347.4</v>
      </c>
      <c r="C1430" s="3">
        <f t="shared" si="147"/>
        <v>9.9999999999965894E-2</v>
      </c>
      <c r="D1430" s="3">
        <f t="shared" si="143"/>
        <v>9.9999999999965894E-2</v>
      </c>
      <c r="E1430" s="3">
        <f t="shared" si="144"/>
        <v>0</v>
      </c>
      <c r="F1430" s="3">
        <f t="shared" si="148"/>
        <v>5.9246549126435166</v>
      </c>
      <c r="G1430" s="3">
        <f t="shared" si="148"/>
        <v>1.8353977053911064</v>
      </c>
      <c r="H1430" s="3">
        <f t="shared" si="145"/>
        <v>3.2279951616159548</v>
      </c>
      <c r="I1430" s="3">
        <f t="shared" si="146"/>
        <v>76.348128089678397</v>
      </c>
    </row>
    <row r="1431" spans="1:9" ht="15.75" customHeight="1">
      <c r="A1431" s="14">
        <v>32813</v>
      </c>
      <c r="B1431">
        <v>340.2</v>
      </c>
      <c r="C1431" s="3">
        <f t="shared" si="147"/>
        <v>-7.1999999999999886</v>
      </c>
      <c r="D1431" s="3">
        <f t="shared" si="143"/>
        <v>0</v>
      </c>
      <c r="E1431" s="3">
        <f t="shared" si="144"/>
        <v>7.1999999999999886</v>
      </c>
      <c r="F1431" s="3">
        <f t="shared" si="148"/>
        <v>5.5014652760261225</v>
      </c>
      <c r="G1431" s="3">
        <f t="shared" si="148"/>
        <v>2.218583583577455</v>
      </c>
      <c r="H1431" s="3">
        <f t="shared" si="145"/>
        <v>2.4797196358746318</v>
      </c>
      <c r="I1431" s="3">
        <f t="shared" si="146"/>
        <v>71.262052560488868</v>
      </c>
    </row>
    <row r="1432" spans="1:9" ht="15.75" customHeight="1">
      <c r="A1432" s="14">
        <v>32843</v>
      </c>
      <c r="B1432">
        <v>348.6</v>
      </c>
      <c r="C1432" s="3">
        <f t="shared" si="147"/>
        <v>8.4000000000000341</v>
      </c>
      <c r="D1432" s="3">
        <f t="shared" si="143"/>
        <v>8.4000000000000341</v>
      </c>
      <c r="E1432" s="3">
        <f t="shared" si="144"/>
        <v>0</v>
      </c>
      <c r="F1432" s="3">
        <f t="shared" si="148"/>
        <v>5.7085034705956872</v>
      </c>
      <c r="G1432" s="3">
        <f t="shared" si="148"/>
        <v>2.0601133276076369</v>
      </c>
      <c r="H1432" s="3">
        <f t="shared" si="145"/>
        <v>2.7709657493575093</v>
      </c>
      <c r="I1432" s="3">
        <f t="shared" si="146"/>
        <v>73.481594199831221</v>
      </c>
    </row>
    <row r="1433" spans="1:9" ht="15.75" customHeight="1">
      <c r="A1433" s="14">
        <v>32874</v>
      </c>
      <c r="B1433">
        <v>339.97</v>
      </c>
      <c r="C1433" s="3">
        <f t="shared" si="147"/>
        <v>-8.6299999999999955</v>
      </c>
      <c r="D1433" s="3">
        <f t="shared" si="143"/>
        <v>0</v>
      </c>
      <c r="E1433" s="3">
        <f t="shared" si="144"/>
        <v>8.6299999999999955</v>
      </c>
      <c r="F1433" s="3">
        <f t="shared" si="148"/>
        <v>5.3007532226959952</v>
      </c>
      <c r="G1433" s="3">
        <f t="shared" si="148"/>
        <v>2.529390947064234</v>
      </c>
      <c r="H1433" s="3">
        <f t="shared" si="145"/>
        <v>2.095663870722861</v>
      </c>
      <c r="I1433" s="3">
        <f t="shared" si="146"/>
        <v>67.696751270140567</v>
      </c>
    </row>
    <row r="1434" spans="1:9" ht="15.75" customHeight="1">
      <c r="A1434" s="14">
        <v>32905</v>
      </c>
      <c r="B1434">
        <v>330.45</v>
      </c>
      <c r="C1434" s="3">
        <f t="shared" si="147"/>
        <v>-9.5200000000000387</v>
      </c>
      <c r="D1434" s="3">
        <f t="shared" si="143"/>
        <v>0</v>
      </c>
      <c r="E1434" s="3">
        <f t="shared" si="144"/>
        <v>9.5200000000000387</v>
      </c>
      <c r="F1434" s="3">
        <f t="shared" si="148"/>
        <v>4.922127992503424</v>
      </c>
      <c r="G1434" s="3">
        <f t="shared" si="148"/>
        <v>3.0287201651310771</v>
      </c>
      <c r="H1434" s="3">
        <f t="shared" si="145"/>
        <v>1.6251511279155775</v>
      </c>
      <c r="I1434" s="3">
        <f t="shared" si="146"/>
        <v>61.906955018089945</v>
      </c>
    </row>
    <row r="1435" spans="1:9" ht="15.75" customHeight="1">
      <c r="A1435" s="14">
        <v>32933</v>
      </c>
      <c r="B1435">
        <v>338.46</v>
      </c>
      <c r="C1435" s="3">
        <f t="shared" si="147"/>
        <v>8.0099999999999909</v>
      </c>
      <c r="D1435" s="3">
        <f t="shared" si="143"/>
        <v>8.0099999999999909</v>
      </c>
      <c r="E1435" s="3">
        <f t="shared" si="144"/>
        <v>0</v>
      </c>
      <c r="F1435" s="3">
        <f t="shared" si="148"/>
        <v>5.1426902787531787</v>
      </c>
      <c r="G1435" s="3">
        <f t="shared" si="148"/>
        <v>2.8123830104788574</v>
      </c>
      <c r="H1435" s="3">
        <f t="shared" si="145"/>
        <v>1.8285881615667796</v>
      </c>
      <c r="I1435" s="3">
        <f t="shared" si="146"/>
        <v>64.646673786328392</v>
      </c>
    </row>
    <row r="1436" spans="1:9" ht="15.75" customHeight="1">
      <c r="A1436" s="14">
        <v>32964</v>
      </c>
      <c r="B1436">
        <v>338.18</v>
      </c>
      <c r="C1436" s="3">
        <f t="shared" si="147"/>
        <v>-0.27999999999997272</v>
      </c>
      <c r="D1436" s="3">
        <f t="shared" si="143"/>
        <v>0</v>
      </c>
      <c r="E1436" s="3">
        <f t="shared" si="144"/>
        <v>0.27999999999997272</v>
      </c>
      <c r="F1436" s="3">
        <f t="shared" si="148"/>
        <v>4.7753552588422377</v>
      </c>
      <c r="G1436" s="3">
        <f t="shared" si="148"/>
        <v>2.6314985097303656</v>
      </c>
      <c r="H1436" s="3">
        <f t="shared" si="145"/>
        <v>1.8146904667377299</v>
      </c>
      <c r="I1436" s="3">
        <f t="shared" si="146"/>
        <v>64.472114720343811</v>
      </c>
    </row>
    <row r="1437" spans="1:9" ht="15.75" customHeight="1">
      <c r="A1437" s="14">
        <v>32994</v>
      </c>
      <c r="B1437">
        <v>350.25</v>
      </c>
      <c r="C1437" s="3">
        <f t="shared" si="147"/>
        <v>12.069999999999993</v>
      </c>
      <c r="D1437" s="3">
        <f t="shared" si="143"/>
        <v>12.069999999999993</v>
      </c>
      <c r="E1437" s="3">
        <f t="shared" si="144"/>
        <v>0</v>
      </c>
      <c r="F1437" s="3">
        <f t="shared" si="148"/>
        <v>5.296401311782077</v>
      </c>
      <c r="G1437" s="3">
        <f t="shared" si="148"/>
        <v>2.443534330463911</v>
      </c>
      <c r="H1437" s="3">
        <f t="shared" si="145"/>
        <v>2.1675166359445184</v>
      </c>
      <c r="I1437" s="3">
        <f t="shared" si="146"/>
        <v>68.429526505018302</v>
      </c>
    </row>
    <row r="1438" spans="1:9" ht="15.75" customHeight="1">
      <c r="A1438" s="14">
        <v>33025</v>
      </c>
      <c r="B1438">
        <v>360.39</v>
      </c>
      <c r="C1438" s="3">
        <f t="shared" si="147"/>
        <v>10.139999999999986</v>
      </c>
      <c r="D1438" s="3">
        <f t="shared" si="143"/>
        <v>10.139999999999986</v>
      </c>
      <c r="E1438" s="3">
        <f t="shared" si="144"/>
        <v>0</v>
      </c>
      <c r="F1438" s="3">
        <f t="shared" si="148"/>
        <v>5.6423726466547848</v>
      </c>
      <c r="G1438" s="3">
        <f t="shared" si="148"/>
        <v>2.2689961640022029</v>
      </c>
      <c r="H1438" s="3">
        <f t="shared" si="145"/>
        <v>2.4867263930065007</v>
      </c>
      <c r="I1438" s="3">
        <f t="shared" si="146"/>
        <v>71.3198029531153</v>
      </c>
    </row>
    <row r="1439" spans="1:9" ht="15.75" customHeight="1">
      <c r="A1439" s="14">
        <v>33055</v>
      </c>
      <c r="B1439">
        <v>360.03</v>
      </c>
      <c r="C1439" s="3">
        <f t="shared" si="147"/>
        <v>-0.36000000000001364</v>
      </c>
      <c r="D1439" s="3">
        <f t="shared" si="143"/>
        <v>0</v>
      </c>
      <c r="E1439" s="3">
        <f t="shared" si="144"/>
        <v>0.36000000000001364</v>
      </c>
      <c r="F1439" s="3">
        <f t="shared" si="148"/>
        <v>5.2393460290365867</v>
      </c>
      <c r="G1439" s="3">
        <f t="shared" si="148"/>
        <v>2.1326392951449038</v>
      </c>
      <c r="H1439" s="3">
        <f t="shared" si="145"/>
        <v>2.4567427041995846</v>
      </c>
      <c r="I1439" s="3">
        <f t="shared" si="146"/>
        <v>71.071031732124482</v>
      </c>
    </row>
    <row r="1440" spans="1:9" ht="15.75" customHeight="1">
      <c r="A1440" s="14">
        <v>33086</v>
      </c>
      <c r="B1440">
        <v>330.75</v>
      </c>
      <c r="C1440" s="3">
        <f t="shared" si="147"/>
        <v>-29.279999999999973</v>
      </c>
      <c r="D1440" s="3">
        <f t="shared" si="143"/>
        <v>0</v>
      </c>
      <c r="E1440" s="3">
        <f t="shared" si="144"/>
        <v>29.279999999999973</v>
      </c>
      <c r="F1440" s="3">
        <f t="shared" si="148"/>
        <v>4.8651070269625452</v>
      </c>
      <c r="G1440" s="3">
        <f t="shared" si="148"/>
        <v>4.0717364883488374</v>
      </c>
      <c r="H1440" s="3">
        <f t="shared" si="145"/>
        <v>1.1948482031889627</v>
      </c>
      <c r="I1440" s="3">
        <f t="shared" si="146"/>
        <v>54.438762619343379</v>
      </c>
    </row>
    <row r="1441" spans="1:9" ht="15.75" customHeight="1">
      <c r="A1441" s="14">
        <v>33117</v>
      </c>
      <c r="B1441">
        <v>315.41000000000003</v>
      </c>
      <c r="C1441" s="3">
        <f t="shared" si="147"/>
        <v>-15.339999999999975</v>
      </c>
      <c r="D1441" s="3">
        <f t="shared" si="143"/>
        <v>0</v>
      </c>
      <c r="E1441" s="3">
        <f t="shared" si="144"/>
        <v>15.339999999999975</v>
      </c>
      <c r="F1441" s="3">
        <f t="shared" si="148"/>
        <v>4.5175993821795064</v>
      </c>
      <c r="G1441" s="3">
        <f t="shared" si="148"/>
        <v>4.8766124534667759</v>
      </c>
      <c r="H1441" s="3">
        <f t="shared" si="145"/>
        <v>0.92638064338451831</v>
      </c>
      <c r="I1441" s="3">
        <f t="shared" si="146"/>
        <v>48.08917939275652</v>
      </c>
    </row>
    <row r="1442" spans="1:9" ht="15.75" customHeight="1">
      <c r="A1442" s="14">
        <v>33147</v>
      </c>
      <c r="B1442">
        <v>307.12</v>
      </c>
      <c r="C1442" s="3">
        <f t="shared" si="147"/>
        <v>-8.2900000000000205</v>
      </c>
      <c r="D1442" s="3">
        <f t="shared" si="143"/>
        <v>0</v>
      </c>
      <c r="E1442" s="3">
        <f t="shared" si="144"/>
        <v>8.2900000000000205</v>
      </c>
      <c r="F1442" s="3">
        <f t="shared" si="148"/>
        <v>4.1949137120238271</v>
      </c>
      <c r="G1442" s="3">
        <f t="shared" si="148"/>
        <v>5.120425849647722</v>
      </c>
      <c r="H1442" s="3">
        <f t="shared" si="145"/>
        <v>0.81925094419879774</v>
      </c>
      <c r="I1442" s="3">
        <f t="shared" si="146"/>
        <v>45.032322056020568</v>
      </c>
    </row>
    <row r="1443" spans="1:9" ht="15.75" customHeight="1">
      <c r="A1443" s="14">
        <v>33178</v>
      </c>
      <c r="B1443">
        <v>315.29000000000002</v>
      </c>
      <c r="C1443" s="3">
        <f t="shared" si="147"/>
        <v>8.1700000000000159</v>
      </c>
      <c r="D1443" s="3">
        <f t="shared" si="143"/>
        <v>8.1700000000000159</v>
      </c>
      <c r="E1443" s="3">
        <f t="shared" si="144"/>
        <v>0</v>
      </c>
      <c r="F1443" s="3">
        <f t="shared" si="148"/>
        <v>4.4788484468792698</v>
      </c>
      <c r="G1443" s="3">
        <f t="shared" si="148"/>
        <v>4.754681146101456</v>
      </c>
      <c r="H1443" s="3">
        <f t="shared" si="145"/>
        <v>0.94198712999958956</v>
      </c>
      <c r="I1443" s="3">
        <f t="shared" si="146"/>
        <v>48.506352871647948</v>
      </c>
    </row>
    <row r="1444" spans="1:9" ht="15.75" customHeight="1">
      <c r="A1444" s="14">
        <v>33208</v>
      </c>
      <c r="B1444">
        <v>328.75</v>
      </c>
      <c r="C1444" s="3">
        <f t="shared" si="147"/>
        <v>13.45999999999998</v>
      </c>
      <c r="D1444" s="3">
        <f t="shared" si="143"/>
        <v>13.45999999999998</v>
      </c>
      <c r="E1444" s="3">
        <f t="shared" si="144"/>
        <v>0</v>
      </c>
      <c r="F1444" s="3">
        <f t="shared" si="148"/>
        <v>5.1203592721021778</v>
      </c>
      <c r="G1444" s="3">
        <f t="shared" si="148"/>
        <v>4.415061064237066</v>
      </c>
      <c r="H1444" s="3">
        <f t="shared" si="145"/>
        <v>1.1597482339662699</v>
      </c>
      <c r="I1444" s="3">
        <f t="shared" si="146"/>
        <v>53.698306854797153</v>
      </c>
    </row>
    <row r="1445" spans="1:9" ht="15.75" customHeight="1">
      <c r="A1445" s="14">
        <v>33239</v>
      </c>
      <c r="B1445">
        <v>325.49</v>
      </c>
      <c r="C1445" s="3">
        <f t="shared" si="147"/>
        <v>-3.2599999999999909</v>
      </c>
      <c r="D1445" s="3">
        <f t="shared" si="143"/>
        <v>0</v>
      </c>
      <c r="E1445" s="3">
        <f t="shared" si="144"/>
        <v>3.2599999999999909</v>
      </c>
      <c r="F1445" s="3">
        <f t="shared" si="148"/>
        <v>4.7546193240948798</v>
      </c>
      <c r="G1445" s="3">
        <f t="shared" si="148"/>
        <v>4.3325567025058467</v>
      </c>
      <c r="H1445" s="3">
        <f t="shared" si="145"/>
        <v>1.0974165257537016</v>
      </c>
      <c r="I1445" s="3">
        <f t="shared" si="146"/>
        <v>52.322298040411773</v>
      </c>
    </row>
    <row r="1446" spans="1:9" ht="15.75" customHeight="1">
      <c r="A1446" s="14">
        <v>33270</v>
      </c>
      <c r="B1446">
        <v>362.26</v>
      </c>
      <c r="C1446" s="3">
        <f t="shared" si="147"/>
        <v>36.769999999999982</v>
      </c>
      <c r="D1446" s="3">
        <f t="shared" ref="D1446:D1509" si="149">IF(C1446&gt;0,C1446,0)</f>
        <v>36.769999999999982</v>
      </c>
      <c r="E1446" s="3">
        <f t="shared" ref="E1446:E1509" si="150">IF(C1446&lt;0,-C1446,0)</f>
        <v>0</v>
      </c>
      <c r="F1446" s="3">
        <f t="shared" si="148"/>
        <v>7.0414322295166727</v>
      </c>
      <c r="G1446" s="3">
        <f t="shared" si="148"/>
        <v>4.0230883666125719</v>
      </c>
      <c r="H1446" s="3">
        <f t="shared" ref="H1446:H1509" si="151">F1446/G1446</f>
        <v>1.7502554226631459</v>
      </c>
      <c r="I1446" s="3">
        <f t="shared" ref="I1446:I1509" si="152">IF(G1446=0,100,100-(100/(1+H1446)))</f>
        <v>63.639740812448856</v>
      </c>
    </row>
    <row r="1447" spans="1:9" ht="15.75" customHeight="1">
      <c r="A1447" s="14">
        <v>33298</v>
      </c>
      <c r="B1447">
        <v>372.28</v>
      </c>
      <c r="C1447" s="3">
        <f t="shared" si="147"/>
        <v>10.019999999999982</v>
      </c>
      <c r="D1447" s="3">
        <f t="shared" si="149"/>
        <v>10.019999999999982</v>
      </c>
      <c r="E1447" s="3">
        <f t="shared" si="150"/>
        <v>0</v>
      </c>
      <c r="F1447" s="3">
        <f t="shared" si="148"/>
        <v>7.2541870702654805</v>
      </c>
      <c r="G1447" s="3">
        <f t="shared" si="148"/>
        <v>3.7357249118545313</v>
      </c>
      <c r="H1447" s="3">
        <f t="shared" si="151"/>
        <v>1.941841875788513</v>
      </c>
      <c r="I1447" s="3">
        <f t="shared" si="152"/>
        <v>66.007690344268894</v>
      </c>
    </row>
    <row r="1448" spans="1:9" ht="15.75" customHeight="1">
      <c r="A1448" s="14">
        <v>33329</v>
      </c>
      <c r="B1448">
        <v>379.68</v>
      </c>
      <c r="C1448" s="3">
        <f t="shared" si="147"/>
        <v>7.4000000000000341</v>
      </c>
      <c r="D1448" s="3">
        <f t="shared" si="149"/>
        <v>7.4000000000000341</v>
      </c>
      <c r="E1448" s="3">
        <f t="shared" si="150"/>
        <v>0</v>
      </c>
      <c r="F1448" s="3">
        <f t="shared" si="148"/>
        <v>7.2646022795322347</v>
      </c>
      <c r="G1448" s="3">
        <f t="shared" si="148"/>
        <v>3.4688874181506364</v>
      </c>
      <c r="H1448" s="3">
        <f t="shared" si="151"/>
        <v>2.0942167916781811</v>
      </c>
      <c r="I1448" s="3">
        <f t="shared" si="152"/>
        <v>67.681643940092528</v>
      </c>
    </row>
    <row r="1449" spans="1:9" ht="15.75" customHeight="1">
      <c r="A1449" s="14">
        <v>33359</v>
      </c>
      <c r="B1449">
        <v>377.99</v>
      </c>
      <c r="C1449" s="3">
        <f t="shared" si="147"/>
        <v>-1.6899999999999977</v>
      </c>
      <c r="D1449" s="3">
        <f t="shared" si="149"/>
        <v>0</v>
      </c>
      <c r="E1449" s="3">
        <f t="shared" si="150"/>
        <v>1.6899999999999977</v>
      </c>
      <c r="F1449" s="3">
        <f t="shared" si="148"/>
        <v>6.7457021167085029</v>
      </c>
      <c r="G1449" s="3">
        <f t="shared" si="148"/>
        <v>3.3418240311398764</v>
      </c>
      <c r="H1449" s="3">
        <f t="shared" si="151"/>
        <v>2.0185689174087313</v>
      </c>
      <c r="I1449" s="3">
        <f t="shared" si="152"/>
        <v>66.871718772667862</v>
      </c>
    </row>
    <row r="1450" spans="1:9" ht="15.75" customHeight="1">
      <c r="A1450" s="14">
        <v>33390</v>
      </c>
      <c r="B1450">
        <v>378.29</v>
      </c>
      <c r="C1450" s="3">
        <f t="shared" si="147"/>
        <v>0.30000000000001137</v>
      </c>
      <c r="D1450" s="3">
        <f t="shared" si="149"/>
        <v>0.30000000000001137</v>
      </c>
      <c r="E1450" s="3">
        <f t="shared" si="150"/>
        <v>0</v>
      </c>
      <c r="F1450" s="3">
        <f t="shared" si="148"/>
        <v>6.285294822657896</v>
      </c>
      <c r="G1450" s="3">
        <f t="shared" si="148"/>
        <v>3.1031223146298852</v>
      </c>
      <c r="H1450" s="3">
        <f t="shared" si="151"/>
        <v>2.0254744046102977</v>
      </c>
      <c r="I1450" s="3">
        <f t="shared" si="152"/>
        <v>66.947332343113743</v>
      </c>
    </row>
    <row r="1451" spans="1:9" ht="15.75" customHeight="1">
      <c r="A1451" s="14">
        <v>33420</v>
      </c>
      <c r="B1451">
        <v>380.23</v>
      </c>
      <c r="C1451" s="3">
        <f t="shared" ref="C1451:C1514" si="153">B1451-B1450</f>
        <v>1.9399999999999977</v>
      </c>
      <c r="D1451" s="3">
        <f t="shared" si="149"/>
        <v>1.9399999999999977</v>
      </c>
      <c r="E1451" s="3">
        <f t="shared" si="150"/>
        <v>0</v>
      </c>
      <c r="F1451" s="3">
        <f t="shared" si="148"/>
        <v>5.9749166210394753</v>
      </c>
      <c r="G1451" s="3">
        <f t="shared" si="148"/>
        <v>2.8814707207277506</v>
      </c>
      <c r="H1451" s="3">
        <f t="shared" si="151"/>
        <v>2.0735649257371032</v>
      </c>
      <c r="I1451" s="3">
        <f t="shared" si="152"/>
        <v>67.464490773358904</v>
      </c>
    </row>
    <row r="1452" spans="1:9" ht="15.75" customHeight="1">
      <c r="A1452" s="14">
        <v>33451</v>
      </c>
      <c r="B1452">
        <v>389.4</v>
      </c>
      <c r="C1452" s="3">
        <f t="shared" si="153"/>
        <v>9.1699999999999591</v>
      </c>
      <c r="D1452" s="3">
        <f t="shared" si="149"/>
        <v>9.1699999999999591</v>
      </c>
      <c r="E1452" s="3">
        <f t="shared" si="150"/>
        <v>0</v>
      </c>
      <c r="F1452" s="3">
        <f t="shared" si="148"/>
        <v>6.2031368623937961</v>
      </c>
      <c r="G1452" s="3">
        <f t="shared" si="148"/>
        <v>2.6756513835329114</v>
      </c>
      <c r="H1452" s="3">
        <f t="shared" si="151"/>
        <v>2.318365128047144</v>
      </c>
      <c r="I1452" s="3">
        <f t="shared" si="152"/>
        <v>69.86467849641069</v>
      </c>
    </row>
    <row r="1453" spans="1:9" ht="15.75" customHeight="1">
      <c r="A1453" s="14">
        <v>33482</v>
      </c>
      <c r="B1453">
        <v>387.2</v>
      </c>
      <c r="C1453" s="3">
        <f t="shared" si="153"/>
        <v>-2.1999999999999886</v>
      </c>
      <c r="D1453" s="3">
        <f t="shared" si="149"/>
        <v>0</v>
      </c>
      <c r="E1453" s="3">
        <f t="shared" si="150"/>
        <v>2.1999999999999886</v>
      </c>
      <c r="F1453" s="3">
        <f t="shared" si="148"/>
        <v>5.7600556579370963</v>
      </c>
      <c r="G1453" s="3">
        <f t="shared" si="148"/>
        <v>2.6416762847091313</v>
      </c>
      <c r="H1453" s="3">
        <f t="shared" si="151"/>
        <v>2.1804547708128146</v>
      </c>
      <c r="I1453" s="3">
        <f t="shared" si="152"/>
        <v>68.557955636500552</v>
      </c>
    </row>
    <row r="1454" spans="1:9" ht="15.75" customHeight="1">
      <c r="A1454" s="14">
        <v>33512</v>
      </c>
      <c r="B1454">
        <v>386.88</v>
      </c>
      <c r="C1454" s="3">
        <f t="shared" si="153"/>
        <v>-0.31999999999999318</v>
      </c>
      <c r="D1454" s="3">
        <f t="shared" si="149"/>
        <v>0</v>
      </c>
      <c r="E1454" s="3">
        <f t="shared" si="150"/>
        <v>0.31999999999999318</v>
      </c>
      <c r="F1454" s="3">
        <f t="shared" si="148"/>
        <v>5.3486231109415892</v>
      </c>
      <c r="G1454" s="3">
        <f t="shared" si="148"/>
        <v>2.4758422643727647</v>
      </c>
      <c r="H1454" s="3">
        <f t="shared" si="151"/>
        <v>2.1603246652292776</v>
      </c>
      <c r="I1454" s="3">
        <f t="shared" si="152"/>
        <v>68.357681379946087</v>
      </c>
    </row>
    <row r="1455" spans="1:9" ht="15.75" customHeight="1">
      <c r="A1455" s="14">
        <v>33543</v>
      </c>
      <c r="B1455">
        <v>385.92</v>
      </c>
      <c r="C1455" s="3">
        <f t="shared" si="153"/>
        <v>-0.95999999999997954</v>
      </c>
      <c r="D1455" s="3">
        <f t="shared" si="149"/>
        <v>0</v>
      </c>
      <c r="E1455" s="3">
        <f t="shared" si="150"/>
        <v>0.95999999999997954</v>
      </c>
      <c r="F1455" s="3">
        <f t="shared" si="148"/>
        <v>4.9665786030171901</v>
      </c>
      <c r="G1455" s="3">
        <f t="shared" si="148"/>
        <v>2.3675678169175653</v>
      </c>
      <c r="H1455" s="3">
        <f t="shared" si="151"/>
        <v>2.0977555817105946</v>
      </c>
      <c r="I1455" s="3">
        <f t="shared" si="152"/>
        <v>67.71856353341488</v>
      </c>
    </row>
    <row r="1456" spans="1:9" ht="15.75" customHeight="1">
      <c r="A1456" s="14">
        <v>33573</v>
      </c>
      <c r="B1456">
        <v>388.51</v>
      </c>
      <c r="C1456" s="3">
        <f t="shared" si="153"/>
        <v>2.589999999999975</v>
      </c>
      <c r="D1456" s="3">
        <f t="shared" si="149"/>
        <v>2.589999999999975</v>
      </c>
      <c r="E1456" s="3">
        <f t="shared" si="150"/>
        <v>0</v>
      </c>
      <c r="F1456" s="3">
        <f t="shared" si="148"/>
        <v>4.7968229885159603</v>
      </c>
      <c r="G1456" s="3">
        <f t="shared" si="148"/>
        <v>2.1984558299948822</v>
      </c>
      <c r="H1456" s="3">
        <f t="shared" si="151"/>
        <v>2.1819055552856512</v>
      </c>
      <c r="I1456" s="3">
        <f t="shared" si="152"/>
        <v>68.57229158361281</v>
      </c>
    </row>
    <row r="1457" spans="1:9" ht="15.75" customHeight="1">
      <c r="A1457" s="14">
        <v>33604</v>
      </c>
      <c r="B1457">
        <v>416.08</v>
      </c>
      <c r="C1457" s="3">
        <f t="shared" si="153"/>
        <v>27.569999999999993</v>
      </c>
      <c r="D1457" s="3">
        <f t="shared" si="149"/>
        <v>27.569999999999993</v>
      </c>
      <c r="E1457" s="3">
        <f t="shared" si="150"/>
        <v>0</v>
      </c>
      <c r="F1457" s="3">
        <f t="shared" si="148"/>
        <v>6.4234784893362482</v>
      </c>
      <c r="G1457" s="3">
        <f t="shared" si="148"/>
        <v>2.0414232707095334</v>
      </c>
      <c r="H1457" s="3">
        <f t="shared" si="151"/>
        <v>3.1465686619236259</v>
      </c>
      <c r="I1457" s="3">
        <f t="shared" si="152"/>
        <v>75.883674393658964</v>
      </c>
    </row>
    <row r="1458" spans="1:9" ht="15.75" customHeight="1">
      <c r="A1458" s="14">
        <v>33635</v>
      </c>
      <c r="B1458">
        <v>412.56</v>
      </c>
      <c r="C1458" s="3">
        <f t="shared" si="153"/>
        <v>-3.5199999999999818</v>
      </c>
      <c r="D1458" s="3">
        <f t="shared" si="149"/>
        <v>0</v>
      </c>
      <c r="E1458" s="3">
        <f t="shared" si="150"/>
        <v>3.5199999999999818</v>
      </c>
      <c r="F1458" s="3">
        <f t="shared" si="148"/>
        <v>5.9646585972408017</v>
      </c>
      <c r="G1458" s="3">
        <f t="shared" si="148"/>
        <v>2.1470358942302799</v>
      </c>
      <c r="H1458" s="3">
        <f t="shared" si="151"/>
        <v>2.7780898369093889</v>
      </c>
      <c r="I1458" s="3">
        <f t="shared" si="152"/>
        <v>73.531598157601366</v>
      </c>
    </row>
    <row r="1459" spans="1:9" ht="15.75" customHeight="1">
      <c r="A1459" s="14">
        <v>33664</v>
      </c>
      <c r="B1459">
        <v>407.36</v>
      </c>
      <c r="C1459" s="3">
        <f t="shared" si="153"/>
        <v>-5.1999999999999886</v>
      </c>
      <c r="D1459" s="3">
        <f t="shared" si="149"/>
        <v>0</v>
      </c>
      <c r="E1459" s="3">
        <f t="shared" si="150"/>
        <v>5.1999999999999886</v>
      </c>
      <c r="F1459" s="3">
        <f t="shared" si="148"/>
        <v>5.5386115545807444</v>
      </c>
      <c r="G1459" s="3">
        <f t="shared" si="148"/>
        <v>2.365104758928116</v>
      </c>
      <c r="H1459" s="3">
        <f t="shared" si="151"/>
        <v>2.3418039026275039</v>
      </c>
      <c r="I1459" s="3">
        <f t="shared" si="152"/>
        <v>70.076041888222505</v>
      </c>
    </row>
    <row r="1460" spans="1:9" ht="15.75" customHeight="1">
      <c r="A1460" s="14">
        <v>33695</v>
      </c>
      <c r="B1460">
        <v>407.41</v>
      </c>
      <c r="C1460" s="3">
        <f t="shared" si="153"/>
        <v>5.0000000000011369E-2</v>
      </c>
      <c r="D1460" s="3">
        <f t="shared" si="149"/>
        <v>5.0000000000011369E-2</v>
      </c>
      <c r="E1460" s="3">
        <f t="shared" si="150"/>
        <v>0</v>
      </c>
      <c r="F1460" s="3">
        <f t="shared" si="148"/>
        <v>5.1465678721106922</v>
      </c>
      <c r="G1460" s="3">
        <f t="shared" si="148"/>
        <v>2.1961687047189651</v>
      </c>
      <c r="H1460" s="3">
        <f t="shared" si="151"/>
        <v>2.343430111289778</v>
      </c>
      <c r="I1460" s="3">
        <f t="shared" si="152"/>
        <v>70.090596581537781</v>
      </c>
    </row>
    <row r="1461" spans="1:9" ht="15.75" customHeight="1">
      <c r="A1461" s="14">
        <v>33725</v>
      </c>
      <c r="B1461">
        <v>414.81</v>
      </c>
      <c r="C1461" s="3">
        <f t="shared" si="153"/>
        <v>7.3999999999999773</v>
      </c>
      <c r="D1461" s="3">
        <f t="shared" si="149"/>
        <v>7.3999999999999773</v>
      </c>
      <c r="E1461" s="3">
        <f t="shared" si="150"/>
        <v>0</v>
      </c>
      <c r="F1461" s="3">
        <f t="shared" si="148"/>
        <v>5.3075273098170692</v>
      </c>
      <c r="G1461" s="3">
        <f t="shared" si="148"/>
        <v>2.0392995115247534</v>
      </c>
      <c r="H1461" s="3">
        <f t="shared" si="151"/>
        <v>2.6026227534614135</v>
      </c>
      <c r="I1461" s="3">
        <f t="shared" si="152"/>
        <v>72.242444784450541</v>
      </c>
    </row>
    <row r="1462" spans="1:9" ht="15.75" customHeight="1">
      <c r="A1462" s="14">
        <v>33756</v>
      </c>
      <c r="B1462">
        <v>408.27</v>
      </c>
      <c r="C1462" s="3">
        <f t="shared" si="153"/>
        <v>-6.5400000000000205</v>
      </c>
      <c r="D1462" s="3">
        <f t="shared" si="149"/>
        <v>0</v>
      </c>
      <c r="E1462" s="3">
        <f t="shared" si="150"/>
        <v>6.5400000000000205</v>
      </c>
      <c r="F1462" s="3">
        <f t="shared" si="148"/>
        <v>4.9284182162587067</v>
      </c>
      <c r="G1462" s="3">
        <f t="shared" si="148"/>
        <v>2.3607781178444154</v>
      </c>
      <c r="H1462" s="3">
        <f t="shared" si="151"/>
        <v>2.0876244908431962</v>
      </c>
      <c r="I1462" s="3">
        <f t="shared" si="152"/>
        <v>67.612641920491086</v>
      </c>
    </row>
    <row r="1463" spans="1:9" ht="15.75" customHeight="1">
      <c r="A1463" s="14">
        <v>33786</v>
      </c>
      <c r="B1463">
        <v>415.05</v>
      </c>
      <c r="C1463" s="3">
        <f t="shared" si="153"/>
        <v>6.7800000000000296</v>
      </c>
      <c r="D1463" s="3">
        <f t="shared" si="149"/>
        <v>6.7800000000000296</v>
      </c>
      <c r="E1463" s="3">
        <f t="shared" si="150"/>
        <v>0</v>
      </c>
      <c r="F1463" s="3">
        <f t="shared" si="148"/>
        <v>5.0606740579545155</v>
      </c>
      <c r="G1463" s="3">
        <f t="shared" si="148"/>
        <v>2.1921511094269572</v>
      </c>
      <c r="H1463" s="3">
        <f t="shared" si="151"/>
        <v>2.3085425252812106</v>
      </c>
      <c r="I1463" s="3">
        <f t="shared" si="152"/>
        <v>69.775210916625454</v>
      </c>
    </row>
    <row r="1464" spans="1:9" ht="15.75" customHeight="1">
      <c r="A1464" s="14">
        <v>33817</v>
      </c>
      <c r="B1464">
        <v>417.93</v>
      </c>
      <c r="C1464" s="3">
        <f t="shared" si="153"/>
        <v>2.8799999999999955</v>
      </c>
      <c r="D1464" s="3">
        <f t="shared" si="149"/>
        <v>2.8799999999999955</v>
      </c>
      <c r="E1464" s="3">
        <f t="shared" si="150"/>
        <v>0</v>
      </c>
      <c r="F1464" s="3">
        <f t="shared" si="148"/>
        <v>4.9049116252434786</v>
      </c>
      <c r="G1464" s="3">
        <f t="shared" si="148"/>
        <v>2.0355688873250317</v>
      </c>
      <c r="H1464" s="3">
        <f t="shared" si="151"/>
        <v>2.4096023749356323</v>
      </c>
      <c r="I1464" s="3">
        <f t="shared" si="152"/>
        <v>70.671066885948008</v>
      </c>
    </row>
    <row r="1465" spans="1:9" ht="15.75" customHeight="1">
      <c r="A1465" s="14">
        <v>33848</v>
      </c>
      <c r="B1465">
        <v>418.48</v>
      </c>
      <c r="C1465" s="3">
        <f t="shared" si="153"/>
        <v>0.55000000000001137</v>
      </c>
      <c r="D1465" s="3">
        <f t="shared" si="149"/>
        <v>0.55000000000001137</v>
      </c>
      <c r="E1465" s="3">
        <f t="shared" si="150"/>
        <v>0</v>
      </c>
      <c r="F1465" s="3">
        <f t="shared" si="148"/>
        <v>4.593846509154659</v>
      </c>
      <c r="G1465" s="3">
        <f t="shared" si="148"/>
        <v>1.890171109658958</v>
      </c>
      <c r="H1465" s="3">
        <f t="shared" si="151"/>
        <v>2.4303865854681925</v>
      </c>
      <c r="I1465" s="3">
        <f t="shared" si="152"/>
        <v>70.848766601519458</v>
      </c>
    </row>
    <row r="1466" spans="1:9" ht="15.75" customHeight="1">
      <c r="A1466" s="14">
        <v>33878</v>
      </c>
      <c r="B1466">
        <v>412.5</v>
      </c>
      <c r="C1466" s="3">
        <f t="shared" si="153"/>
        <v>-5.9800000000000182</v>
      </c>
      <c r="D1466" s="3">
        <f t="shared" si="149"/>
        <v>0</v>
      </c>
      <c r="E1466" s="3">
        <f t="shared" si="150"/>
        <v>5.9800000000000182</v>
      </c>
      <c r="F1466" s="3">
        <f t="shared" si="148"/>
        <v>4.2657146156436117</v>
      </c>
      <c r="G1466" s="3">
        <f t="shared" si="148"/>
        <v>2.1823017446833193</v>
      </c>
      <c r="H1466" s="3">
        <f t="shared" si="151"/>
        <v>1.9546859759591233</v>
      </c>
      <c r="I1466" s="3">
        <f t="shared" si="152"/>
        <v>66.15545583738762</v>
      </c>
    </row>
    <row r="1467" spans="1:9" ht="15.75" customHeight="1">
      <c r="A1467" s="14">
        <v>33909</v>
      </c>
      <c r="B1467">
        <v>422.84</v>
      </c>
      <c r="C1467" s="3">
        <f t="shared" si="153"/>
        <v>10.339999999999975</v>
      </c>
      <c r="D1467" s="3">
        <f t="shared" si="149"/>
        <v>10.339999999999975</v>
      </c>
      <c r="E1467" s="3">
        <f t="shared" si="150"/>
        <v>0</v>
      </c>
      <c r="F1467" s="3">
        <f t="shared" si="148"/>
        <v>4.6995921430976377</v>
      </c>
      <c r="G1467" s="3">
        <f t="shared" si="148"/>
        <v>2.0264230486345105</v>
      </c>
      <c r="H1467" s="3">
        <f t="shared" si="151"/>
        <v>2.3191564793266743</v>
      </c>
      <c r="I1467" s="3">
        <f t="shared" si="152"/>
        <v>69.871863341530059</v>
      </c>
    </row>
    <row r="1468" spans="1:9" ht="15.75" customHeight="1">
      <c r="A1468" s="14">
        <v>33939</v>
      </c>
      <c r="B1468">
        <v>435.64</v>
      </c>
      <c r="C1468" s="3">
        <f t="shared" si="153"/>
        <v>12.800000000000011</v>
      </c>
      <c r="D1468" s="3">
        <f t="shared" si="149"/>
        <v>12.800000000000011</v>
      </c>
      <c r="E1468" s="3">
        <f t="shared" si="150"/>
        <v>0</v>
      </c>
      <c r="F1468" s="3">
        <f t="shared" si="148"/>
        <v>5.2781927043049501</v>
      </c>
      <c r="G1468" s="3">
        <f t="shared" si="148"/>
        <v>1.8816785451606168</v>
      </c>
      <c r="H1468" s="3">
        <f t="shared" si="151"/>
        <v>2.8050448456669907</v>
      </c>
      <c r="I1468" s="3">
        <f t="shared" si="152"/>
        <v>73.719100810631602</v>
      </c>
    </row>
    <row r="1469" spans="1:9" ht="15.75" customHeight="1">
      <c r="A1469" s="14">
        <v>33970</v>
      </c>
      <c r="B1469">
        <v>435.23</v>
      </c>
      <c r="C1469" s="3">
        <f t="shared" si="153"/>
        <v>-0.40999999999996817</v>
      </c>
      <c r="D1469" s="3">
        <f t="shared" si="149"/>
        <v>0</v>
      </c>
      <c r="E1469" s="3">
        <f t="shared" si="150"/>
        <v>0.40999999999996817</v>
      </c>
      <c r="F1469" s="3">
        <f t="shared" si="148"/>
        <v>4.9011789397117393</v>
      </c>
      <c r="G1469" s="3">
        <f t="shared" si="148"/>
        <v>1.7765586490777134</v>
      </c>
      <c r="H1469" s="3">
        <f t="shared" si="151"/>
        <v>2.758805031433186</v>
      </c>
      <c r="I1469" s="3">
        <f t="shared" si="152"/>
        <v>73.395800217424096</v>
      </c>
    </row>
    <row r="1470" spans="1:9" ht="15.75" customHeight="1">
      <c r="A1470" s="14">
        <v>34001</v>
      </c>
      <c r="B1470">
        <v>441.7</v>
      </c>
      <c r="C1470" s="3">
        <f t="shared" si="153"/>
        <v>6.4699999999999704</v>
      </c>
      <c r="D1470" s="3">
        <f t="shared" si="149"/>
        <v>6.4699999999999704</v>
      </c>
      <c r="E1470" s="3">
        <f t="shared" si="150"/>
        <v>0</v>
      </c>
      <c r="F1470" s="3">
        <f t="shared" si="148"/>
        <v>5.0132375868751842</v>
      </c>
      <c r="G1470" s="3">
        <f t="shared" si="148"/>
        <v>1.6496616027150195</v>
      </c>
      <c r="H1470" s="3">
        <f t="shared" si="151"/>
        <v>3.0389490660535339</v>
      </c>
      <c r="I1470" s="3">
        <f t="shared" si="152"/>
        <v>75.241084162096101</v>
      </c>
    </row>
    <row r="1471" spans="1:9" ht="15.75" customHeight="1">
      <c r="A1471" s="14">
        <v>34029</v>
      </c>
      <c r="B1471">
        <v>450.16</v>
      </c>
      <c r="C1471" s="3">
        <f t="shared" si="153"/>
        <v>8.4600000000000364</v>
      </c>
      <c r="D1471" s="3">
        <f t="shared" si="149"/>
        <v>8.4600000000000364</v>
      </c>
      <c r="E1471" s="3">
        <f t="shared" si="150"/>
        <v>0</v>
      </c>
      <c r="F1471" s="3">
        <f t="shared" si="148"/>
        <v>5.2594349020983886</v>
      </c>
      <c r="G1471" s="3">
        <f t="shared" si="148"/>
        <v>1.531828631092518</v>
      </c>
      <c r="H1471" s="3">
        <f t="shared" si="151"/>
        <v>3.4334355654047926</v>
      </c>
      <c r="I1471" s="3">
        <f t="shared" si="152"/>
        <v>77.444129157909714</v>
      </c>
    </row>
    <row r="1472" spans="1:9" ht="15.75" customHeight="1">
      <c r="A1472" s="14">
        <v>34060</v>
      </c>
      <c r="B1472">
        <v>443.08</v>
      </c>
      <c r="C1472" s="3">
        <f t="shared" si="153"/>
        <v>-7.0800000000000409</v>
      </c>
      <c r="D1472" s="3">
        <f t="shared" si="149"/>
        <v>0</v>
      </c>
      <c r="E1472" s="3">
        <f t="shared" si="150"/>
        <v>7.0800000000000409</v>
      </c>
      <c r="F1472" s="3">
        <f t="shared" si="148"/>
        <v>4.8837609805199325</v>
      </c>
      <c r="G1472" s="3">
        <f t="shared" si="148"/>
        <v>1.9281265860144838</v>
      </c>
      <c r="H1472" s="3">
        <f t="shared" si="151"/>
        <v>2.5329047459559515</v>
      </c>
      <c r="I1472" s="3">
        <f t="shared" si="152"/>
        <v>71.694679819922101</v>
      </c>
    </row>
    <row r="1473" spans="1:9" ht="15.75" customHeight="1">
      <c r="A1473" s="14">
        <v>34090</v>
      </c>
      <c r="B1473">
        <v>445.25</v>
      </c>
      <c r="C1473" s="3">
        <f t="shared" si="153"/>
        <v>2.1700000000000159</v>
      </c>
      <c r="D1473" s="3">
        <f t="shared" si="149"/>
        <v>2.1700000000000159</v>
      </c>
      <c r="E1473" s="3">
        <f t="shared" si="150"/>
        <v>0</v>
      </c>
      <c r="F1473" s="3">
        <f t="shared" si="148"/>
        <v>4.6899209104827957</v>
      </c>
      <c r="G1473" s="3">
        <f t="shared" si="148"/>
        <v>1.7904032584420209</v>
      </c>
      <c r="H1473" s="3">
        <f t="shared" si="151"/>
        <v>2.6194774212843464</v>
      </c>
      <c r="I1473" s="3">
        <f t="shared" si="152"/>
        <v>72.371702220892516</v>
      </c>
    </row>
    <row r="1474" spans="1:9" ht="15.75" customHeight="1">
      <c r="A1474" s="14">
        <v>34121</v>
      </c>
      <c r="B1474">
        <v>448.06</v>
      </c>
      <c r="C1474" s="3">
        <f t="shared" si="153"/>
        <v>2.8100000000000023</v>
      </c>
      <c r="D1474" s="3">
        <f t="shared" si="149"/>
        <v>2.8100000000000023</v>
      </c>
      <c r="E1474" s="3">
        <f t="shared" si="150"/>
        <v>0</v>
      </c>
      <c r="F1474" s="3">
        <f t="shared" si="148"/>
        <v>4.5556408454483108</v>
      </c>
      <c r="G1474" s="3">
        <f t="shared" si="148"/>
        <v>1.6625173114104481</v>
      </c>
      <c r="H1474" s="3">
        <f t="shared" si="151"/>
        <v>2.7402065615686082</v>
      </c>
      <c r="I1474" s="3">
        <f t="shared" si="152"/>
        <v>73.26350875175703</v>
      </c>
    </row>
    <row r="1475" spans="1:9" ht="15.75" customHeight="1">
      <c r="A1475" s="14">
        <v>34151</v>
      </c>
      <c r="B1475">
        <v>447.29</v>
      </c>
      <c r="C1475" s="3">
        <f t="shared" si="153"/>
        <v>-0.76999999999998181</v>
      </c>
      <c r="D1475" s="3">
        <f t="shared" si="149"/>
        <v>0</v>
      </c>
      <c r="E1475" s="3">
        <f t="shared" si="150"/>
        <v>0.76999999999998181</v>
      </c>
      <c r="F1475" s="3">
        <f t="shared" si="148"/>
        <v>4.2302379279162885</v>
      </c>
      <c r="G1475" s="3">
        <f t="shared" si="148"/>
        <v>1.598766074881129</v>
      </c>
      <c r="H1475" s="3">
        <f t="shared" si="151"/>
        <v>2.6459392617714972</v>
      </c>
      <c r="I1475" s="3">
        <f t="shared" si="152"/>
        <v>72.572225476018559</v>
      </c>
    </row>
    <row r="1476" spans="1:9" ht="15.75" customHeight="1">
      <c r="A1476" s="14">
        <v>34182</v>
      </c>
      <c r="B1476">
        <v>454.13</v>
      </c>
      <c r="C1476" s="3">
        <f t="shared" si="153"/>
        <v>6.839999999999975</v>
      </c>
      <c r="D1476" s="3">
        <f t="shared" si="149"/>
        <v>6.839999999999975</v>
      </c>
      <c r="E1476" s="3">
        <f t="shared" si="150"/>
        <v>0</v>
      </c>
      <c r="F1476" s="3">
        <f t="shared" si="148"/>
        <v>4.4166495044936953</v>
      </c>
      <c r="G1476" s="3">
        <f t="shared" si="148"/>
        <v>1.4845684981039056</v>
      </c>
      <c r="H1476" s="3">
        <f t="shared" si="151"/>
        <v>2.9750392185572108</v>
      </c>
      <c r="I1476" s="3">
        <f t="shared" si="152"/>
        <v>74.84301550204674</v>
      </c>
    </row>
    <row r="1477" spans="1:9" ht="15.75" customHeight="1">
      <c r="A1477" s="14">
        <v>34213</v>
      </c>
      <c r="B1477">
        <v>459.24</v>
      </c>
      <c r="C1477" s="3">
        <f t="shared" si="153"/>
        <v>5.1100000000000136</v>
      </c>
      <c r="D1477" s="3">
        <f t="shared" si="149"/>
        <v>5.1100000000000136</v>
      </c>
      <c r="E1477" s="3">
        <f t="shared" si="150"/>
        <v>0</v>
      </c>
      <c r="F1477" s="3">
        <f t="shared" si="148"/>
        <v>4.4661745398870041</v>
      </c>
      <c r="G1477" s="3">
        <f t="shared" si="148"/>
        <v>1.3785278910964838</v>
      </c>
      <c r="H1477" s="3">
        <f t="shared" si="151"/>
        <v>3.2398144199567844</v>
      </c>
      <c r="I1477" s="3">
        <f t="shared" si="152"/>
        <v>76.414062009577464</v>
      </c>
    </row>
    <row r="1478" spans="1:9" ht="15.75" customHeight="1">
      <c r="A1478" s="14">
        <v>34243</v>
      </c>
      <c r="B1478">
        <v>463.9</v>
      </c>
      <c r="C1478" s="3">
        <f t="shared" si="153"/>
        <v>4.6599999999999682</v>
      </c>
      <c r="D1478" s="3">
        <f t="shared" si="149"/>
        <v>4.6599999999999682</v>
      </c>
      <c r="E1478" s="3">
        <f t="shared" si="150"/>
        <v>0</v>
      </c>
      <c r="F1478" s="3">
        <f t="shared" si="148"/>
        <v>4.4800192156093583</v>
      </c>
      <c r="G1478" s="3">
        <f t="shared" si="148"/>
        <v>1.2800616131610205</v>
      </c>
      <c r="H1478" s="3">
        <f t="shared" si="151"/>
        <v>3.4998465460941928</v>
      </c>
      <c r="I1478" s="3">
        <f t="shared" si="152"/>
        <v>77.777019954869644</v>
      </c>
    </row>
    <row r="1479" spans="1:9" ht="15.75" customHeight="1">
      <c r="A1479" s="14">
        <v>34274</v>
      </c>
      <c r="B1479">
        <v>462.89</v>
      </c>
      <c r="C1479" s="3">
        <f t="shared" si="153"/>
        <v>-1.0099999999999909</v>
      </c>
      <c r="D1479" s="3">
        <f t="shared" si="149"/>
        <v>0</v>
      </c>
      <c r="E1479" s="3">
        <f t="shared" si="150"/>
        <v>1.0099999999999909</v>
      </c>
      <c r="F1479" s="3">
        <f t="shared" si="148"/>
        <v>4.160017843065833</v>
      </c>
      <c r="G1479" s="3">
        <f t="shared" si="148"/>
        <v>1.2607714979352327</v>
      </c>
      <c r="H1479" s="3">
        <f t="shared" si="151"/>
        <v>3.2995811293947397</v>
      </c>
      <c r="I1479" s="3">
        <f t="shared" si="152"/>
        <v>76.741920435845529</v>
      </c>
    </row>
    <row r="1480" spans="1:9" ht="15.75" customHeight="1">
      <c r="A1480" s="14">
        <v>34304</v>
      </c>
      <c r="B1480">
        <v>465.95</v>
      </c>
      <c r="C1480" s="3">
        <f t="shared" si="153"/>
        <v>3.0600000000000023</v>
      </c>
      <c r="D1480" s="3">
        <f t="shared" si="149"/>
        <v>3.0600000000000023</v>
      </c>
      <c r="E1480" s="3">
        <f t="shared" si="150"/>
        <v>0</v>
      </c>
      <c r="F1480" s="3">
        <f t="shared" si="148"/>
        <v>4.081445139989702</v>
      </c>
      <c r="G1480" s="3">
        <f t="shared" si="148"/>
        <v>1.1707163909398588</v>
      </c>
      <c r="H1480" s="3">
        <f t="shared" si="151"/>
        <v>3.4862800004987466</v>
      </c>
      <c r="I1480" s="3">
        <f t="shared" si="152"/>
        <v>77.709817490463621</v>
      </c>
    </row>
    <row r="1481" spans="1:9" ht="15.75" customHeight="1">
      <c r="A1481" s="14">
        <v>34335</v>
      </c>
      <c r="B1481">
        <v>472.99</v>
      </c>
      <c r="C1481" s="3">
        <f t="shared" si="153"/>
        <v>7.0400000000000205</v>
      </c>
      <c r="D1481" s="3">
        <f t="shared" si="149"/>
        <v>7.0400000000000205</v>
      </c>
      <c r="E1481" s="3">
        <f t="shared" si="150"/>
        <v>0</v>
      </c>
      <c r="F1481" s="3">
        <f t="shared" si="148"/>
        <v>4.2927704871332963</v>
      </c>
      <c r="G1481" s="3">
        <f t="shared" si="148"/>
        <v>1.0870937915870118</v>
      </c>
      <c r="H1481" s="3">
        <f t="shared" si="151"/>
        <v>3.948850154747388</v>
      </c>
      <c r="I1481" s="3">
        <f t="shared" si="152"/>
        <v>79.793285940559173</v>
      </c>
    </row>
    <row r="1482" spans="1:9" ht="15.75" customHeight="1">
      <c r="A1482" s="14">
        <v>34366</v>
      </c>
      <c r="B1482">
        <v>471.58</v>
      </c>
      <c r="C1482" s="3">
        <f t="shared" si="153"/>
        <v>-1.410000000000025</v>
      </c>
      <c r="D1482" s="3">
        <f t="shared" si="149"/>
        <v>0</v>
      </c>
      <c r="E1482" s="3">
        <f t="shared" si="150"/>
        <v>1.410000000000025</v>
      </c>
      <c r="F1482" s="3">
        <f t="shared" si="148"/>
        <v>3.9861440237666321</v>
      </c>
      <c r="G1482" s="3">
        <f t="shared" si="148"/>
        <v>1.1101585207593698</v>
      </c>
      <c r="H1482" s="3">
        <f t="shared" si="151"/>
        <v>3.5906079620413425</v>
      </c>
      <c r="I1482" s="3">
        <f t="shared" si="152"/>
        <v>78.216392942530391</v>
      </c>
    </row>
    <row r="1483" spans="1:9" ht="15.75" customHeight="1">
      <c r="A1483" s="14">
        <v>34394</v>
      </c>
      <c r="B1483">
        <v>463.81</v>
      </c>
      <c r="C1483" s="3">
        <f t="shared" si="153"/>
        <v>-7.7699999999999818</v>
      </c>
      <c r="D1483" s="3">
        <f t="shared" si="149"/>
        <v>0</v>
      </c>
      <c r="E1483" s="3">
        <f t="shared" si="150"/>
        <v>7.7699999999999818</v>
      </c>
      <c r="F1483" s="3">
        <f t="shared" si="148"/>
        <v>3.7014194506404441</v>
      </c>
      <c r="G1483" s="3">
        <f t="shared" si="148"/>
        <v>1.5858614835622706</v>
      </c>
      <c r="H1483" s="3">
        <f t="shared" si="151"/>
        <v>2.3340118219695092</v>
      </c>
      <c r="I1483" s="3">
        <f t="shared" si="152"/>
        <v>70.006105155042093</v>
      </c>
    </row>
    <row r="1484" spans="1:9" ht="15.75" customHeight="1">
      <c r="A1484" s="14">
        <v>34425</v>
      </c>
      <c r="B1484">
        <v>447.23</v>
      </c>
      <c r="C1484" s="3">
        <f t="shared" si="153"/>
        <v>-16.579999999999984</v>
      </c>
      <c r="D1484" s="3">
        <f t="shared" si="149"/>
        <v>0</v>
      </c>
      <c r="E1484" s="3">
        <f t="shared" si="150"/>
        <v>16.579999999999984</v>
      </c>
      <c r="F1484" s="3">
        <f t="shared" si="148"/>
        <v>3.4370323470232695</v>
      </c>
      <c r="G1484" s="3">
        <f t="shared" si="148"/>
        <v>2.6568713775935358</v>
      </c>
      <c r="H1484" s="3">
        <f t="shared" si="151"/>
        <v>1.2936389680016673</v>
      </c>
      <c r="I1484" s="3">
        <f t="shared" si="152"/>
        <v>56.401159295298775</v>
      </c>
    </row>
    <row r="1485" spans="1:9" ht="15.75" customHeight="1">
      <c r="A1485" s="14">
        <v>34455</v>
      </c>
      <c r="B1485">
        <v>450.9</v>
      </c>
      <c r="C1485" s="3">
        <f t="shared" si="153"/>
        <v>3.6699999999999591</v>
      </c>
      <c r="D1485" s="3">
        <f t="shared" si="149"/>
        <v>3.6699999999999591</v>
      </c>
      <c r="E1485" s="3">
        <f t="shared" si="150"/>
        <v>0</v>
      </c>
      <c r="F1485" s="3">
        <f t="shared" si="148"/>
        <v>3.4536728936644616</v>
      </c>
      <c r="G1485" s="3">
        <f t="shared" si="148"/>
        <v>2.4670948506225687</v>
      </c>
      <c r="H1485" s="3">
        <f t="shared" si="151"/>
        <v>1.3998946545540927</v>
      </c>
      <c r="I1485" s="3">
        <f t="shared" si="152"/>
        <v>58.331504339060125</v>
      </c>
    </row>
    <row r="1486" spans="1:9" ht="15.75" customHeight="1">
      <c r="A1486" s="14">
        <v>34486</v>
      </c>
      <c r="B1486">
        <v>454.83</v>
      </c>
      <c r="C1486" s="3">
        <f t="shared" si="153"/>
        <v>3.9300000000000068</v>
      </c>
      <c r="D1486" s="3">
        <f t="shared" si="149"/>
        <v>3.9300000000000068</v>
      </c>
      <c r="E1486" s="3">
        <f t="shared" si="150"/>
        <v>0</v>
      </c>
      <c r="F1486" s="3">
        <f t="shared" si="148"/>
        <v>3.4876962584027149</v>
      </c>
      <c r="G1486" s="3">
        <f t="shared" si="148"/>
        <v>2.2908737898638138</v>
      </c>
      <c r="H1486" s="3">
        <f t="shared" si="151"/>
        <v>1.52243055633809</v>
      </c>
      <c r="I1486" s="3">
        <f t="shared" si="152"/>
        <v>60.355697504246116</v>
      </c>
    </row>
    <row r="1487" spans="1:9" ht="15.75" customHeight="1">
      <c r="A1487" s="14">
        <v>34516</v>
      </c>
      <c r="B1487">
        <v>451.4</v>
      </c>
      <c r="C1487" s="3">
        <f t="shared" si="153"/>
        <v>-3.4300000000000068</v>
      </c>
      <c r="D1487" s="3">
        <f t="shared" si="149"/>
        <v>0</v>
      </c>
      <c r="E1487" s="3">
        <f t="shared" si="150"/>
        <v>3.4300000000000068</v>
      </c>
      <c r="F1487" s="3">
        <f t="shared" si="148"/>
        <v>3.2385750970882357</v>
      </c>
      <c r="G1487" s="3">
        <f t="shared" si="148"/>
        <v>2.3722399477306846</v>
      </c>
      <c r="H1487" s="3">
        <f t="shared" si="151"/>
        <v>1.3651970999756153</v>
      </c>
      <c r="I1487" s="3">
        <f t="shared" si="152"/>
        <v>57.720225514807638</v>
      </c>
    </row>
    <row r="1488" spans="1:9" ht="15.75" customHeight="1">
      <c r="A1488" s="14">
        <v>34547</v>
      </c>
      <c r="B1488">
        <v>464.24</v>
      </c>
      <c r="C1488" s="3">
        <f t="shared" si="153"/>
        <v>12.840000000000032</v>
      </c>
      <c r="D1488" s="3">
        <f t="shared" si="149"/>
        <v>12.840000000000032</v>
      </c>
      <c r="E1488" s="3">
        <f t="shared" si="150"/>
        <v>0</v>
      </c>
      <c r="F1488" s="3">
        <f t="shared" si="148"/>
        <v>3.9243911615819358</v>
      </c>
      <c r="G1488" s="3">
        <f t="shared" si="148"/>
        <v>2.2027942371784928</v>
      </c>
      <c r="H1488" s="3">
        <f t="shared" si="151"/>
        <v>1.7815514020086578</v>
      </c>
      <c r="I1488" s="3">
        <f t="shared" si="152"/>
        <v>64.048839820904831</v>
      </c>
    </row>
    <row r="1489" spans="1:9" ht="15.75" customHeight="1">
      <c r="A1489" s="14">
        <v>34578</v>
      </c>
      <c r="B1489">
        <v>466.96</v>
      </c>
      <c r="C1489" s="3">
        <f t="shared" si="153"/>
        <v>2.7199999999999704</v>
      </c>
      <c r="D1489" s="3">
        <f t="shared" si="149"/>
        <v>2.7199999999999704</v>
      </c>
      <c r="E1489" s="3">
        <f t="shared" si="150"/>
        <v>0</v>
      </c>
      <c r="F1489" s="3">
        <f t="shared" si="148"/>
        <v>3.8383632214689385</v>
      </c>
      <c r="G1489" s="3">
        <f t="shared" si="148"/>
        <v>2.0454517916657435</v>
      </c>
      <c r="H1489" s="3">
        <f t="shared" si="151"/>
        <v>1.8765356568697771</v>
      </c>
      <c r="I1489" s="3">
        <f t="shared" si="152"/>
        <v>65.23596022139381</v>
      </c>
    </row>
    <row r="1490" spans="1:9" ht="15.75" customHeight="1">
      <c r="A1490" s="14">
        <v>34608</v>
      </c>
      <c r="B1490">
        <v>463.81</v>
      </c>
      <c r="C1490" s="3">
        <f t="shared" si="153"/>
        <v>-3.1499999999999773</v>
      </c>
      <c r="D1490" s="3">
        <f t="shared" si="149"/>
        <v>0</v>
      </c>
      <c r="E1490" s="3">
        <f t="shared" si="150"/>
        <v>3.1499999999999773</v>
      </c>
      <c r="F1490" s="3">
        <f t="shared" ref="F1490:G1553" si="154">((F1489*13)+D1490)/14</f>
        <v>3.5641944199354429</v>
      </c>
      <c r="G1490" s="3">
        <f t="shared" si="154"/>
        <v>2.1243480922610458</v>
      </c>
      <c r="H1490" s="3">
        <f t="shared" si="151"/>
        <v>1.6777826726795511</v>
      </c>
      <c r="I1490" s="3">
        <f t="shared" si="152"/>
        <v>62.65566992412645</v>
      </c>
    </row>
    <row r="1491" spans="1:9" ht="15.75" customHeight="1">
      <c r="A1491" s="14">
        <v>34639</v>
      </c>
      <c r="B1491">
        <v>461.01</v>
      </c>
      <c r="C1491" s="3">
        <f t="shared" si="153"/>
        <v>-2.8000000000000114</v>
      </c>
      <c r="D1491" s="3">
        <f t="shared" si="149"/>
        <v>0</v>
      </c>
      <c r="E1491" s="3">
        <f t="shared" si="150"/>
        <v>2.8000000000000114</v>
      </c>
      <c r="F1491" s="3">
        <f t="shared" si="154"/>
        <v>3.3096091042257685</v>
      </c>
      <c r="G1491" s="3">
        <f t="shared" si="154"/>
        <v>2.1726089428138291</v>
      </c>
      <c r="H1491" s="3">
        <f t="shared" si="151"/>
        <v>1.5233340151584605</v>
      </c>
      <c r="I1491" s="3">
        <f t="shared" si="152"/>
        <v>60.369891818019902</v>
      </c>
    </row>
    <row r="1492" spans="1:9" ht="15.75" customHeight="1">
      <c r="A1492" s="14">
        <v>34669</v>
      </c>
      <c r="B1492">
        <v>455.19</v>
      </c>
      <c r="C1492" s="3">
        <f t="shared" si="153"/>
        <v>-5.8199999999999932</v>
      </c>
      <c r="D1492" s="3">
        <f t="shared" si="149"/>
        <v>0</v>
      </c>
      <c r="E1492" s="3">
        <f t="shared" si="150"/>
        <v>5.8199999999999932</v>
      </c>
      <c r="F1492" s="3">
        <f t="shared" si="154"/>
        <v>3.0732084539239279</v>
      </c>
      <c r="G1492" s="3">
        <f t="shared" si="154"/>
        <v>2.4331368754699838</v>
      </c>
      <c r="H1492" s="3">
        <f t="shared" si="151"/>
        <v>1.2630643532252201</v>
      </c>
      <c r="I1492" s="3">
        <f t="shared" si="152"/>
        <v>55.812127102137246</v>
      </c>
    </row>
    <row r="1493" spans="1:9" ht="15.75" customHeight="1">
      <c r="A1493" s="14">
        <v>34700</v>
      </c>
      <c r="B1493">
        <v>465.25</v>
      </c>
      <c r="C1493" s="3">
        <f t="shared" si="153"/>
        <v>10.060000000000002</v>
      </c>
      <c r="D1493" s="3">
        <f t="shared" si="149"/>
        <v>10.060000000000002</v>
      </c>
      <c r="E1493" s="3">
        <f t="shared" si="150"/>
        <v>0</v>
      </c>
      <c r="F1493" s="3">
        <f t="shared" si="154"/>
        <v>3.5722649929293619</v>
      </c>
      <c r="G1493" s="3">
        <f t="shared" si="154"/>
        <v>2.2593413843649848</v>
      </c>
      <c r="H1493" s="3">
        <f t="shared" si="151"/>
        <v>1.5811089982461373</v>
      </c>
      <c r="I1493" s="3">
        <f t="shared" si="152"/>
        <v>61.256963550183286</v>
      </c>
    </row>
    <row r="1494" spans="1:9" ht="15.75" customHeight="1">
      <c r="A1494" s="14">
        <v>34731</v>
      </c>
      <c r="B1494">
        <v>481.92</v>
      </c>
      <c r="C1494" s="3">
        <f t="shared" si="153"/>
        <v>16.670000000000016</v>
      </c>
      <c r="D1494" s="3">
        <f t="shared" si="149"/>
        <v>16.670000000000016</v>
      </c>
      <c r="E1494" s="3">
        <f t="shared" si="150"/>
        <v>0</v>
      </c>
      <c r="F1494" s="3">
        <f t="shared" si="154"/>
        <v>4.5078174934344082</v>
      </c>
      <c r="G1494" s="3">
        <f t="shared" si="154"/>
        <v>2.097959856910343</v>
      </c>
      <c r="H1494" s="3">
        <f t="shared" si="151"/>
        <v>2.1486671818749921</v>
      </c>
      <c r="I1494" s="3">
        <f t="shared" si="152"/>
        <v>68.240530286706502</v>
      </c>
    </row>
    <row r="1495" spans="1:9" ht="15.75" customHeight="1">
      <c r="A1495" s="14">
        <v>34759</v>
      </c>
      <c r="B1495">
        <v>493.15</v>
      </c>
      <c r="C1495" s="3">
        <f t="shared" si="153"/>
        <v>11.229999999999961</v>
      </c>
      <c r="D1495" s="3">
        <f t="shared" si="149"/>
        <v>11.229999999999961</v>
      </c>
      <c r="E1495" s="3">
        <f t="shared" si="150"/>
        <v>0</v>
      </c>
      <c r="F1495" s="3">
        <f t="shared" si="154"/>
        <v>4.9879733867605198</v>
      </c>
      <c r="G1495" s="3">
        <f t="shared" si="154"/>
        <v>1.9481055814167472</v>
      </c>
      <c r="H1495" s="3">
        <f t="shared" si="151"/>
        <v>2.5604225121787541</v>
      </c>
      <c r="I1495" s="3">
        <f t="shared" si="152"/>
        <v>71.91344576158005</v>
      </c>
    </row>
    <row r="1496" spans="1:9" ht="15.75" customHeight="1">
      <c r="A1496" s="14">
        <v>34790</v>
      </c>
      <c r="B1496">
        <v>507.91</v>
      </c>
      <c r="C1496" s="3">
        <f t="shared" si="153"/>
        <v>14.760000000000048</v>
      </c>
      <c r="D1496" s="3">
        <f t="shared" si="149"/>
        <v>14.760000000000048</v>
      </c>
      <c r="E1496" s="3">
        <f t="shared" si="150"/>
        <v>0</v>
      </c>
      <c r="F1496" s="3">
        <f t="shared" si="154"/>
        <v>5.6859752877062002</v>
      </c>
      <c r="G1496" s="3">
        <f t="shared" si="154"/>
        <v>1.8089551827441224</v>
      </c>
      <c r="H1496" s="3">
        <f t="shared" si="151"/>
        <v>3.1432372354746638</v>
      </c>
      <c r="I1496" s="3">
        <f t="shared" si="152"/>
        <v>75.864283332898836</v>
      </c>
    </row>
    <row r="1497" spans="1:9" ht="15.75" customHeight="1">
      <c r="A1497" s="14">
        <v>34820</v>
      </c>
      <c r="B1497">
        <v>523.80999999999995</v>
      </c>
      <c r="C1497" s="3">
        <f t="shared" si="153"/>
        <v>15.89999999999992</v>
      </c>
      <c r="D1497" s="3">
        <f t="shared" si="149"/>
        <v>15.89999999999992</v>
      </c>
      <c r="E1497" s="3">
        <f t="shared" si="150"/>
        <v>0</v>
      </c>
      <c r="F1497" s="3">
        <f t="shared" si="154"/>
        <v>6.4155484814414665</v>
      </c>
      <c r="G1497" s="3">
        <f t="shared" si="154"/>
        <v>1.6797440982623992</v>
      </c>
      <c r="H1497" s="3">
        <f t="shared" si="151"/>
        <v>3.8193606324189444</v>
      </c>
      <c r="I1497" s="3">
        <f t="shared" si="152"/>
        <v>79.250359616726215</v>
      </c>
    </row>
    <row r="1498" spans="1:9" ht="15.75" customHeight="1">
      <c r="A1498" s="14">
        <v>34851</v>
      </c>
      <c r="B1498">
        <v>539.35</v>
      </c>
      <c r="C1498" s="3">
        <f t="shared" si="153"/>
        <v>15.540000000000077</v>
      </c>
      <c r="D1498" s="3">
        <f t="shared" si="149"/>
        <v>15.540000000000077</v>
      </c>
      <c r="E1498" s="3">
        <f t="shared" si="150"/>
        <v>0</v>
      </c>
      <c r="F1498" s="3">
        <f t="shared" si="154"/>
        <v>7.0672950184813672</v>
      </c>
      <c r="G1498" s="3">
        <f t="shared" si="154"/>
        <v>1.5597623769579421</v>
      </c>
      <c r="H1498" s="3">
        <f t="shared" si="151"/>
        <v>4.531007493760014</v>
      </c>
      <c r="I1498" s="3">
        <f t="shared" si="152"/>
        <v>81.920111279397418</v>
      </c>
    </row>
    <row r="1499" spans="1:9" ht="15.75" customHeight="1">
      <c r="A1499" s="14">
        <v>34881</v>
      </c>
      <c r="B1499">
        <v>557.37</v>
      </c>
      <c r="C1499" s="3">
        <f t="shared" si="153"/>
        <v>18.019999999999982</v>
      </c>
      <c r="D1499" s="3">
        <f t="shared" si="149"/>
        <v>18.019999999999982</v>
      </c>
      <c r="E1499" s="3">
        <f t="shared" si="150"/>
        <v>0</v>
      </c>
      <c r="F1499" s="3">
        <f t="shared" si="154"/>
        <v>7.849631088589839</v>
      </c>
      <c r="G1499" s="3">
        <f t="shared" si="154"/>
        <v>1.4483507786038032</v>
      </c>
      <c r="H1499" s="3">
        <f t="shared" si="151"/>
        <v>5.4197030198422036</v>
      </c>
      <c r="I1499" s="3">
        <f t="shared" si="152"/>
        <v>84.4229554403191</v>
      </c>
    </row>
    <row r="1500" spans="1:9" ht="15.75" customHeight="1">
      <c r="A1500" s="14">
        <v>34912</v>
      </c>
      <c r="B1500">
        <v>559.11</v>
      </c>
      <c r="C1500" s="3">
        <f t="shared" si="153"/>
        <v>1.7400000000000091</v>
      </c>
      <c r="D1500" s="3">
        <f t="shared" si="149"/>
        <v>1.7400000000000091</v>
      </c>
      <c r="E1500" s="3">
        <f t="shared" si="150"/>
        <v>0</v>
      </c>
      <c r="F1500" s="3">
        <f t="shared" si="154"/>
        <v>7.4132288679762794</v>
      </c>
      <c r="G1500" s="3">
        <f t="shared" si="154"/>
        <v>1.3448971515606745</v>
      </c>
      <c r="H1500" s="3">
        <f t="shared" si="151"/>
        <v>5.5121158219226363</v>
      </c>
      <c r="I1500" s="3">
        <f t="shared" si="152"/>
        <v>84.644007764211409</v>
      </c>
    </row>
    <row r="1501" spans="1:9" ht="15.75" customHeight="1">
      <c r="A1501" s="14">
        <v>34943</v>
      </c>
      <c r="B1501">
        <v>578.77</v>
      </c>
      <c r="C1501" s="3">
        <f t="shared" si="153"/>
        <v>19.659999999999968</v>
      </c>
      <c r="D1501" s="3">
        <f t="shared" si="149"/>
        <v>19.659999999999968</v>
      </c>
      <c r="E1501" s="3">
        <f t="shared" si="150"/>
        <v>0</v>
      </c>
      <c r="F1501" s="3">
        <f t="shared" si="154"/>
        <v>8.2879982345494003</v>
      </c>
      <c r="G1501" s="3">
        <f t="shared" si="154"/>
        <v>1.2488330693063407</v>
      </c>
      <c r="H1501" s="3">
        <f t="shared" si="151"/>
        <v>6.6365941439658824</v>
      </c>
      <c r="I1501" s="3">
        <f t="shared" si="152"/>
        <v>86.905157179393143</v>
      </c>
    </row>
    <row r="1502" spans="1:9" ht="15.75" customHeight="1">
      <c r="A1502" s="14">
        <v>34973</v>
      </c>
      <c r="B1502">
        <v>582.91999999999996</v>
      </c>
      <c r="C1502" s="3">
        <f t="shared" si="153"/>
        <v>4.1499999999999773</v>
      </c>
      <c r="D1502" s="3">
        <f t="shared" si="149"/>
        <v>4.1499999999999773</v>
      </c>
      <c r="E1502" s="3">
        <f t="shared" si="150"/>
        <v>0</v>
      </c>
      <c r="F1502" s="3">
        <f t="shared" si="154"/>
        <v>7.9924269320815844</v>
      </c>
      <c r="G1502" s="3">
        <f t="shared" si="154"/>
        <v>1.1596307072130307</v>
      </c>
      <c r="H1502" s="3">
        <f t="shared" si="151"/>
        <v>6.8922173950446535</v>
      </c>
      <c r="I1502" s="3">
        <f t="shared" si="152"/>
        <v>87.329289730058917</v>
      </c>
    </row>
    <row r="1503" spans="1:9" ht="15.75" customHeight="1">
      <c r="A1503" s="14">
        <v>35004</v>
      </c>
      <c r="B1503">
        <v>595.53</v>
      </c>
      <c r="C1503" s="3">
        <f t="shared" si="153"/>
        <v>12.610000000000014</v>
      </c>
      <c r="D1503" s="3">
        <f t="shared" si="149"/>
        <v>12.610000000000014</v>
      </c>
      <c r="E1503" s="3">
        <f t="shared" si="150"/>
        <v>0</v>
      </c>
      <c r="F1503" s="3">
        <f t="shared" si="154"/>
        <v>8.3222535797900434</v>
      </c>
      <c r="G1503" s="3">
        <f t="shared" si="154"/>
        <v>1.0767999424121</v>
      </c>
      <c r="H1503" s="3">
        <f t="shared" si="151"/>
        <v>7.7286905877313377</v>
      </c>
      <c r="I1503" s="3">
        <f t="shared" si="152"/>
        <v>88.543527921524031</v>
      </c>
    </row>
    <row r="1504" spans="1:9" ht="15.75" customHeight="1">
      <c r="A1504" s="14">
        <v>35034</v>
      </c>
      <c r="B1504">
        <v>614.57000000000005</v>
      </c>
      <c r="C1504" s="3">
        <f t="shared" si="153"/>
        <v>19.040000000000077</v>
      </c>
      <c r="D1504" s="3">
        <f t="shared" si="149"/>
        <v>19.040000000000077</v>
      </c>
      <c r="E1504" s="3">
        <f t="shared" si="150"/>
        <v>0</v>
      </c>
      <c r="F1504" s="3">
        <f t="shared" si="154"/>
        <v>9.0878068955193321</v>
      </c>
      <c r="G1504" s="3">
        <f t="shared" si="154"/>
        <v>0.99988566081123575</v>
      </c>
      <c r="H1504" s="3">
        <f t="shared" si="151"/>
        <v>9.0888461068099886</v>
      </c>
      <c r="I1504" s="3">
        <f t="shared" si="152"/>
        <v>90.088063695163328</v>
      </c>
    </row>
    <row r="1505" spans="1:9" ht="15.75" customHeight="1">
      <c r="A1505" s="14">
        <v>35065</v>
      </c>
      <c r="B1505">
        <v>614.41999999999996</v>
      </c>
      <c r="C1505" s="3">
        <f t="shared" si="153"/>
        <v>-0.15000000000009095</v>
      </c>
      <c r="D1505" s="3">
        <f t="shared" si="149"/>
        <v>0</v>
      </c>
      <c r="E1505" s="3">
        <f t="shared" si="150"/>
        <v>0.15000000000009095</v>
      </c>
      <c r="F1505" s="3">
        <f t="shared" si="154"/>
        <v>8.4386778315536652</v>
      </c>
      <c r="G1505" s="3">
        <f t="shared" si="154"/>
        <v>0.93917954218186828</v>
      </c>
      <c r="H1505" s="3">
        <f t="shared" si="151"/>
        <v>8.9851593359340338</v>
      </c>
      <c r="I1505" s="3">
        <f t="shared" si="152"/>
        <v>89.985137278668589</v>
      </c>
    </row>
    <row r="1506" spans="1:9" ht="15.75" customHeight="1">
      <c r="A1506" s="14">
        <v>35096</v>
      </c>
      <c r="B1506">
        <v>649.54</v>
      </c>
      <c r="C1506" s="3">
        <f t="shared" si="153"/>
        <v>35.120000000000005</v>
      </c>
      <c r="D1506" s="3">
        <f t="shared" si="149"/>
        <v>35.120000000000005</v>
      </c>
      <c r="E1506" s="3">
        <f t="shared" si="150"/>
        <v>0</v>
      </c>
      <c r="F1506" s="3">
        <f t="shared" si="154"/>
        <v>10.344486557871262</v>
      </c>
      <c r="G1506" s="3">
        <f t="shared" si="154"/>
        <v>0.87209528916887769</v>
      </c>
      <c r="H1506" s="3">
        <f t="shared" si="151"/>
        <v>11.861647100203628</v>
      </c>
      <c r="I1506" s="3">
        <f t="shared" si="152"/>
        <v>92.224946056993218</v>
      </c>
    </row>
    <row r="1507" spans="1:9" ht="15.75" customHeight="1">
      <c r="A1507" s="14">
        <v>35125</v>
      </c>
      <c r="B1507">
        <v>647.07000000000005</v>
      </c>
      <c r="C1507" s="3">
        <f t="shared" si="153"/>
        <v>-2.4699999999999136</v>
      </c>
      <c r="D1507" s="3">
        <f t="shared" si="149"/>
        <v>0</v>
      </c>
      <c r="E1507" s="3">
        <f t="shared" si="150"/>
        <v>2.4699999999999136</v>
      </c>
      <c r="F1507" s="3">
        <f t="shared" si="154"/>
        <v>9.6055946608804579</v>
      </c>
      <c r="G1507" s="3">
        <f t="shared" si="154"/>
        <v>0.9862313399425231</v>
      </c>
      <c r="H1507" s="3">
        <f t="shared" si="151"/>
        <v>9.7396972412580869</v>
      </c>
      <c r="I1507" s="3">
        <f t="shared" si="152"/>
        <v>90.688750552870744</v>
      </c>
    </row>
    <row r="1508" spans="1:9" ht="15.75" customHeight="1">
      <c r="A1508" s="14">
        <v>35156</v>
      </c>
      <c r="B1508">
        <v>647.16999999999996</v>
      </c>
      <c r="C1508" s="3">
        <f t="shared" si="153"/>
        <v>9.9999999999909051E-2</v>
      </c>
      <c r="D1508" s="3">
        <f t="shared" si="149"/>
        <v>9.9999999999909051E-2</v>
      </c>
      <c r="E1508" s="3">
        <f t="shared" si="150"/>
        <v>0</v>
      </c>
      <c r="F1508" s="3">
        <f t="shared" si="154"/>
        <v>8.926623613674705</v>
      </c>
      <c r="G1508" s="3">
        <f t="shared" si="154"/>
        <v>0.91578624423234289</v>
      </c>
      <c r="H1508" s="3">
        <f t="shared" si="151"/>
        <v>9.7474969403558145</v>
      </c>
      <c r="I1508" s="3">
        <f t="shared" si="152"/>
        <v>90.695507935014177</v>
      </c>
    </row>
    <row r="1509" spans="1:9" ht="15.75" customHeight="1">
      <c r="A1509" s="14">
        <v>35186</v>
      </c>
      <c r="B1509">
        <v>661.23</v>
      </c>
      <c r="C1509" s="3">
        <f t="shared" si="153"/>
        <v>14.060000000000059</v>
      </c>
      <c r="D1509" s="3">
        <f t="shared" si="149"/>
        <v>14.060000000000059</v>
      </c>
      <c r="E1509" s="3">
        <f t="shared" si="150"/>
        <v>0</v>
      </c>
      <c r="F1509" s="3">
        <f t="shared" si="154"/>
        <v>9.2932933555550878</v>
      </c>
      <c r="G1509" s="3">
        <f t="shared" si="154"/>
        <v>0.85037294107288985</v>
      </c>
      <c r="H1509" s="3">
        <f t="shared" si="151"/>
        <v>10.928491379123635</v>
      </c>
      <c r="I1509" s="3">
        <f t="shared" si="152"/>
        <v>91.616710209053537</v>
      </c>
    </row>
    <row r="1510" spans="1:9" ht="15.75" customHeight="1">
      <c r="A1510" s="14">
        <v>35217</v>
      </c>
      <c r="B1510">
        <v>668.5</v>
      </c>
      <c r="C1510" s="3">
        <f t="shared" si="153"/>
        <v>7.2699999999999818</v>
      </c>
      <c r="D1510" s="3">
        <f t="shared" ref="D1510:D1573" si="155">IF(C1510&gt;0,C1510,0)</f>
        <v>7.2699999999999818</v>
      </c>
      <c r="E1510" s="3">
        <f t="shared" ref="E1510:E1573" si="156">IF(C1510&lt;0,-C1510,0)</f>
        <v>0</v>
      </c>
      <c r="F1510" s="3">
        <f t="shared" si="154"/>
        <v>9.1487724015868661</v>
      </c>
      <c r="G1510" s="3">
        <f t="shared" si="154"/>
        <v>0.78963201671054062</v>
      </c>
      <c r="H1510" s="3">
        <f t="shared" ref="H1510:H1573" si="157">F1510/G1510</f>
        <v>11.586121393226863</v>
      </c>
      <c r="I1510" s="3">
        <f t="shared" ref="I1510:I1573" si="158">IF(G1510=0,100,100-(100/(1+H1510)))</f>
        <v>92.054740545104366</v>
      </c>
    </row>
    <row r="1511" spans="1:9" ht="15.75" customHeight="1">
      <c r="A1511" s="14">
        <v>35247</v>
      </c>
      <c r="B1511">
        <v>644.07000000000005</v>
      </c>
      <c r="C1511" s="3">
        <f t="shared" si="153"/>
        <v>-24.42999999999995</v>
      </c>
      <c r="D1511" s="3">
        <f t="shared" si="155"/>
        <v>0</v>
      </c>
      <c r="E1511" s="3">
        <f t="shared" si="156"/>
        <v>24.42999999999995</v>
      </c>
      <c r="F1511" s="3">
        <f t="shared" si="154"/>
        <v>8.4952886586163761</v>
      </c>
      <c r="G1511" s="3">
        <f t="shared" si="154"/>
        <v>2.4782297298026412</v>
      </c>
      <c r="H1511" s="3">
        <f t="shared" si="157"/>
        <v>3.4279665668012607</v>
      </c>
      <c r="I1511" s="3">
        <f t="shared" si="158"/>
        <v>77.416270314741908</v>
      </c>
    </row>
    <row r="1512" spans="1:9" ht="15.75" customHeight="1">
      <c r="A1512" s="14">
        <v>35278</v>
      </c>
      <c r="B1512">
        <v>662.68</v>
      </c>
      <c r="C1512" s="3">
        <f t="shared" si="153"/>
        <v>18.6099999999999</v>
      </c>
      <c r="D1512" s="3">
        <f t="shared" si="155"/>
        <v>18.6099999999999</v>
      </c>
      <c r="E1512" s="3">
        <f t="shared" si="156"/>
        <v>0</v>
      </c>
      <c r="F1512" s="3">
        <f t="shared" si="154"/>
        <v>9.2177680401437705</v>
      </c>
      <c r="G1512" s="3">
        <f t="shared" si="154"/>
        <v>2.3012133205310237</v>
      </c>
      <c r="H1512" s="3">
        <f t="shared" si="157"/>
        <v>4.0056121516003982</v>
      </c>
      <c r="I1512" s="3">
        <f t="shared" si="158"/>
        <v>80.022423437655291</v>
      </c>
    </row>
    <row r="1513" spans="1:9" ht="15.75" customHeight="1">
      <c r="A1513" s="14">
        <v>35309</v>
      </c>
      <c r="B1513">
        <v>674.88</v>
      </c>
      <c r="C1513" s="3">
        <f t="shared" si="153"/>
        <v>12.200000000000045</v>
      </c>
      <c r="D1513" s="3">
        <f t="shared" si="155"/>
        <v>12.200000000000045</v>
      </c>
      <c r="E1513" s="3">
        <f t="shared" si="156"/>
        <v>0</v>
      </c>
      <c r="F1513" s="3">
        <f t="shared" si="154"/>
        <v>9.4307846087049345</v>
      </c>
      <c r="G1513" s="3">
        <f t="shared" si="154"/>
        <v>2.1368409404930935</v>
      </c>
      <c r="H1513" s="3">
        <f t="shared" si="157"/>
        <v>4.4134237743164464</v>
      </c>
      <c r="I1513" s="3">
        <f t="shared" si="158"/>
        <v>81.527402219194073</v>
      </c>
    </row>
    <row r="1514" spans="1:9" ht="15.75" customHeight="1">
      <c r="A1514" s="14">
        <v>35339</v>
      </c>
      <c r="B1514">
        <v>701.46</v>
      </c>
      <c r="C1514" s="3">
        <f t="shared" si="153"/>
        <v>26.580000000000041</v>
      </c>
      <c r="D1514" s="3">
        <f t="shared" si="155"/>
        <v>26.580000000000041</v>
      </c>
      <c r="E1514" s="3">
        <f t="shared" si="156"/>
        <v>0</v>
      </c>
      <c r="F1514" s="3">
        <f t="shared" si="154"/>
        <v>10.655728565226013</v>
      </c>
      <c r="G1514" s="3">
        <f t="shared" si="154"/>
        <v>1.984209444743587</v>
      </c>
      <c r="H1514" s="3">
        <f t="shared" si="157"/>
        <v>5.3702640078920796</v>
      </c>
      <c r="I1514" s="3">
        <f t="shared" si="158"/>
        <v>84.30206348181008</v>
      </c>
    </row>
    <row r="1515" spans="1:9" ht="15.75" customHeight="1">
      <c r="A1515" s="14">
        <v>35370</v>
      </c>
      <c r="B1515">
        <v>735.67</v>
      </c>
      <c r="C1515" s="3">
        <f t="shared" ref="C1515:C1578" si="159">B1515-B1514</f>
        <v>34.209999999999923</v>
      </c>
      <c r="D1515" s="3">
        <f t="shared" si="155"/>
        <v>34.209999999999923</v>
      </c>
      <c r="E1515" s="3">
        <f t="shared" si="156"/>
        <v>0</v>
      </c>
      <c r="F1515" s="3">
        <f t="shared" si="154"/>
        <v>12.338176524852722</v>
      </c>
      <c r="G1515" s="3">
        <f t="shared" si="154"/>
        <v>1.8424801986904737</v>
      </c>
      <c r="H1515" s="3">
        <f t="shared" si="157"/>
        <v>6.6965042737620575</v>
      </c>
      <c r="I1515" s="3">
        <f t="shared" si="158"/>
        <v>87.007088355565884</v>
      </c>
    </row>
    <row r="1516" spans="1:9" ht="15.75" customHeight="1">
      <c r="A1516" s="14">
        <v>35400</v>
      </c>
      <c r="B1516">
        <v>743.25</v>
      </c>
      <c r="C1516" s="3">
        <f t="shared" si="159"/>
        <v>7.5800000000000409</v>
      </c>
      <c r="D1516" s="3">
        <f t="shared" si="155"/>
        <v>7.5800000000000409</v>
      </c>
      <c r="E1516" s="3">
        <f t="shared" si="156"/>
        <v>0</v>
      </c>
      <c r="F1516" s="3">
        <f t="shared" si="154"/>
        <v>11.99830677307753</v>
      </c>
      <c r="G1516" s="3">
        <f t="shared" si="154"/>
        <v>1.7108744702125827</v>
      </c>
      <c r="H1516" s="3">
        <f t="shared" si="157"/>
        <v>7.0129673345272927</v>
      </c>
      <c r="I1516" s="3">
        <f t="shared" si="158"/>
        <v>87.520228671205572</v>
      </c>
    </row>
    <row r="1517" spans="1:9" ht="15.75" customHeight="1">
      <c r="A1517" s="14">
        <v>35431</v>
      </c>
      <c r="B1517">
        <v>766.22</v>
      </c>
      <c r="C1517" s="3">
        <f t="shared" si="159"/>
        <v>22.970000000000027</v>
      </c>
      <c r="D1517" s="3">
        <f t="shared" si="155"/>
        <v>22.970000000000027</v>
      </c>
      <c r="E1517" s="3">
        <f t="shared" si="156"/>
        <v>0</v>
      </c>
      <c r="F1517" s="3">
        <f t="shared" si="154"/>
        <v>12.781999146429138</v>
      </c>
      <c r="G1517" s="3">
        <f t="shared" si="154"/>
        <v>1.5886691509116839</v>
      </c>
      <c r="H1517" s="3">
        <f t="shared" si="157"/>
        <v>8.0457275444002789</v>
      </c>
      <c r="I1517" s="3">
        <f t="shared" si="158"/>
        <v>88.945057264973158</v>
      </c>
    </row>
    <row r="1518" spans="1:9" ht="15.75" customHeight="1">
      <c r="A1518" s="14">
        <v>35462</v>
      </c>
      <c r="B1518">
        <v>798.39</v>
      </c>
      <c r="C1518" s="3">
        <f t="shared" si="159"/>
        <v>32.169999999999959</v>
      </c>
      <c r="D1518" s="3">
        <f t="shared" si="155"/>
        <v>32.169999999999959</v>
      </c>
      <c r="E1518" s="3">
        <f t="shared" si="156"/>
        <v>0</v>
      </c>
      <c r="F1518" s="3">
        <f t="shared" si="154"/>
        <v>14.166856350255626</v>
      </c>
      <c r="G1518" s="3">
        <f t="shared" si="154"/>
        <v>1.4751927829894207</v>
      </c>
      <c r="H1518" s="3">
        <f t="shared" si="157"/>
        <v>9.6033932063760812</v>
      </c>
      <c r="I1518" s="3">
        <f t="shared" si="158"/>
        <v>90.569056711028352</v>
      </c>
    </row>
    <row r="1519" spans="1:9" ht="15.75" customHeight="1">
      <c r="A1519" s="14">
        <v>35490</v>
      </c>
      <c r="B1519">
        <v>792.16</v>
      </c>
      <c r="C1519" s="3">
        <f t="shared" si="159"/>
        <v>-6.2300000000000182</v>
      </c>
      <c r="D1519" s="3">
        <f t="shared" si="155"/>
        <v>0</v>
      </c>
      <c r="E1519" s="3">
        <f t="shared" si="156"/>
        <v>6.2300000000000182</v>
      </c>
      <c r="F1519" s="3">
        <f t="shared" si="154"/>
        <v>13.154938039523083</v>
      </c>
      <c r="G1519" s="3">
        <f t="shared" si="154"/>
        <v>1.8148218699187491</v>
      </c>
      <c r="H1519" s="3">
        <f t="shared" si="157"/>
        <v>7.2486111488793332</v>
      </c>
      <c r="I1519" s="3">
        <f t="shared" si="158"/>
        <v>87.87674698260129</v>
      </c>
    </row>
    <row r="1520" spans="1:9" ht="15.75" customHeight="1">
      <c r="A1520" s="14">
        <v>35521</v>
      </c>
      <c r="B1520">
        <v>763.93</v>
      </c>
      <c r="C1520" s="3">
        <f t="shared" si="159"/>
        <v>-28.230000000000018</v>
      </c>
      <c r="D1520" s="3">
        <f t="shared" si="155"/>
        <v>0</v>
      </c>
      <c r="E1520" s="3">
        <f t="shared" si="156"/>
        <v>28.230000000000018</v>
      </c>
      <c r="F1520" s="3">
        <f t="shared" si="154"/>
        <v>12.215299608128577</v>
      </c>
      <c r="G1520" s="3">
        <f t="shared" si="154"/>
        <v>3.7016203077816967</v>
      </c>
      <c r="H1520" s="3">
        <f t="shared" si="157"/>
        <v>3.2999871927569333</v>
      </c>
      <c r="I1520" s="3">
        <f t="shared" si="158"/>
        <v>76.744116780523456</v>
      </c>
    </row>
    <row r="1521" spans="1:9" ht="15.75" customHeight="1">
      <c r="A1521" s="14">
        <v>35551</v>
      </c>
      <c r="B1521">
        <v>833.09</v>
      </c>
      <c r="C1521" s="3">
        <f t="shared" si="159"/>
        <v>69.160000000000082</v>
      </c>
      <c r="D1521" s="3">
        <f t="shared" si="155"/>
        <v>69.160000000000082</v>
      </c>
      <c r="E1521" s="3">
        <f t="shared" si="156"/>
        <v>0</v>
      </c>
      <c r="F1521" s="3">
        <f t="shared" si="154"/>
        <v>16.28277820754797</v>
      </c>
      <c r="G1521" s="3">
        <f t="shared" si="154"/>
        <v>3.4372188572258611</v>
      </c>
      <c r="H1521" s="3">
        <f t="shared" si="157"/>
        <v>4.7371956467996368</v>
      </c>
      <c r="I1521" s="3">
        <f t="shared" si="158"/>
        <v>82.569881496758313</v>
      </c>
    </row>
    <row r="1522" spans="1:9" ht="15.75" customHeight="1">
      <c r="A1522" s="14">
        <v>35582</v>
      </c>
      <c r="B1522">
        <v>876.29</v>
      </c>
      <c r="C1522" s="3">
        <f t="shared" si="159"/>
        <v>43.199999999999932</v>
      </c>
      <c r="D1522" s="3">
        <f t="shared" si="155"/>
        <v>43.199999999999932</v>
      </c>
      <c r="E1522" s="3">
        <f t="shared" si="156"/>
        <v>0</v>
      </c>
      <c r="F1522" s="3">
        <f t="shared" si="154"/>
        <v>18.205436907008824</v>
      </c>
      <c r="G1522" s="3">
        <f t="shared" si="154"/>
        <v>3.1917032245668713</v>
      </c>
      <c r="H1522" s="3">
        <f t="shared" si="157"/>
        <v>5.7039880045486955</v>
      </c>
      <c r="I1522" s="3">
        <f t="shared" si="158"/>
        <v>85.083505529522213</v>
      </c>
    </row>
    <row r="1523" spans="1:9" ht="15.75" customHeight="1">
      <c r="A1523" s="14">
        <v>35612</v>
      </c>
      <c r="B1523">
        <v>925.29</v>
      </c>
      <c r="C1523" s="3">
        <f t="shared" si="159"/>
        <v>49</v>
      </c>
      <c r="D1523" s="3">
        <f t="shared" si="155"/>
        <v>49</v>
      </c>
      <c r="E1523" s="3">
        <f t="shared" si="156"/>
        <v>0</v>
      </c>
      <c r="F1523" s="3">
        <f t="shared" si="154"/>
        <v>20.405048556508195</v>
      </c>
      <c r="G1523" s="3">
        <f t="shared" si="154"/>
        <v>2.9637244228120947</v>
      </c>
      <c r="H1523" s="3">
        <f t="shared" si="157"/>
        <v>6.8849345099188088</v>
      </c>
      <c r="I1523" s="3">
        <f t="shared" si="158"/>
        <v>87.317586484173646</v>
      </c>
    </row>
    <row r="1524" spans="1:9" ht="15.75" customHeight="1">
      <c r="A1524" s="14">
        <v>35643</v>
      </c>
      <c r="B1524">
        <v>927.24</v>
      </c>
      <c r="C1524" s="3">
        <f t="shared" si="159"/>
        <v>1.9500000000000455</v>
      </c>
      <c r="D1524" s="3">
        <f t="shared" si="155"/>
        <v>1.9500000000000455</v>
      </c>
      <c r="E1524" s="3">
        <f t="shared" si="156"/>
        <v>0</v>
      </c>
      <c r="F1524" s="3">
        <f t="shared" si="154"/>
        <v>19.086830802471898</v>
      </c>
      <c r="G1524" s="3">
        <f t="shared" si="154"/>
        <v>2.7520298211826595</v>
      </c>
      <c r="H1524" s="3">
        <f t="shared" si="157"/>
        <v>6.9355465030061003</v>
      </c>
      <c r="I1524" s="3">
        <f t="shared" si="158"/>
        <v>87.398473443244455</v>
      </c>
    </row>
    <row r="1525" spans="1:9" ht="15.75" customHeight="1">
      <c r="A1525" s="14">
        <v>35674</v>
      </c>
      <c r="B1525">
        <v>937.02</v>
      </c>
      <c r="C1525" s="3">
        <f t="shared" si="159"/>
        <v>9.7799999999999727</v>
      </c>
      <c r="D1525" s="3">
        <f t="shared" si="155"/>
        <v>9.7799999999999727</v>
      </c>
      <c r="E1525" s="3">
        <f t="shared" si="156"/>
        <v>0</v>
      </c>
      <c r="F1525" s="3">
        <f t="shared" si="154"/>
        <v>18.422057173723903</v>
      </c>
      <c r="G1525" s="3">
        <f t="shared" si="154"/>
        <v>2.555456262526755</v>
      </c>
      <c r="H1525" s="3">
        <f t="shared" si="157"/>
        <v>7.2089111615272774</v>
      </c>
      <c r="I1525" s="3">
        <f t="shared" si="158"/>
        <v>87.818116430755126</v>
      </c>
    </row>
    <row r="1526" spans="1:9" ht="15.75" customHeight="1">
      <c r="A1526" s="14">
        <v>35704</v>
      </c>
      <c r="B1526">
        <v>951.16</v>
      </c>
      <c r="C1526" s="3">
        <f t="shared" si="159"/>
        <v>14.139999999999986</v>
      </c>
      <c r="D1526" s="3">
        <f t="shared" si="155"/>
        <v>14.139999999999986</v>
      </c>
      <c r="E1526" s="3">
        <f t="shared" si="156"/>
        <v>0</v>
      </c>
      <c r="F1526" s="3">
        <f t="shared" si="154"/>
        <v>18.116195947029336</v>
      </c>
      <c r="G1526" s="3">
        <f t="shared" si="154"/>
        <v>2.3729236723462721</v>
      </c>
      <c r="H1526" s="3">
        <f t="shared" si="157"/>
        <v>7.6345464281691848</v>
      </c>
      <c r="I1526" s="3">
        <f t="shared" si="158"/>
        <v>88.418615751053025</v>
      </c>
    </row>
    <row r="1527" spans="1:9" ht="15.75" customHeight="1">
      <c r="A1527" s="14">
        <v>35735</v>
      </c>
      <c r="B1527">
        <v>938.92</v>
      </c>
      <c r="C1527" s="3">
        <f t="shared" si="159"/>
        <v>-12.240000000000009</v>
      </c>
      <c r="D1527" s="3">
        <f t="shared" si="155"/>
        <v>0</v>
      </c>
      <c r="E1527" s="3">
        <f t="shared" si="156"/>
        <v>12.240000000000009</v>
      </c>
      <c r="F1527" s="3">
        <f t="shared" si="154"/>
        <v>16.822181950812954</v>
      </c>
      <c r="G1527" s="3">
        <f t="shared" si="154"/>
        <v>3.0777148386072533</v>
      </c>
      <c r="H1527" s="3">
        <f t="shared" si="157"/>
        <v>5.4658026597504508</v>
      </c>
      <c r="I1527" s="3">
        <f t="shared" si="158"/>
        <v>84.534016074678732</v>
      </c>
    </row>
    <row r="1528" spans="1:9" ht="15.75" customHeight="1">
      <c r="A1528" s="14">
        <v>35765</v>
      </c>
      <c r="B1528">
        <v>962.37</v>
      </c>
      <c r="C1528" s="3">
        <f t="shared" si="159"/>
        <v>23.450000000000045</v>
      </c>
      <c r="D1528" s="3">
        <f t="shared" si="155"/>
        <v>23.450000000000045</v>
      </c>
      <c r="E1528" s="3">
        <f t="shared" si="156"/>
        <v>0</v>
      </c>
      <c r="F1528" s="3">
        <f t="shared" si="154"/>
        <v>17.295597525754889</v>
      </c>
      <c r="G1528" s="3">
        <f t="shared" si="154"/>
        <v>2.8578780644210204</v>
      </c>
      <c r="H1528" s="3">
        <f t="shared" si="157"/>
        <v>6.0519018432155596</v>
      </c>
      <c r="I1528" s="3">
        <f t="shared" si="158"/>
        <v>85.819428258745944</v>
      </c>
    </row>
    <row r="1529" spans="1:9" ht="15.75" customHeight="1">
      <c r="A1529" s="14">
        <v>35796</v>
      </c>
      <c r="B1529">
        <v>963.36</v>
      </c>
      <c r="C1529" s="3">
        <f t="shared" si="159"/>
        <v>0.99000000000000909</v>
      </c>
      <c r="D1529" s="3">
        <f t="shared" si="155"/>
        <v>0.99000000000000909</v>
      </c>
      <c r="E1529" s="3">
        <f t="shared" si="156"/>
        <v>0</v>
      </c>
      <c r="F1529" s="3">
        <f t="shared" si="154"/>
        <v>16.130911988200971</v>
      </c>
      <c r="G1529" s="3">
        <f t="shared" si="154"/>
        <v>2.6537439169623762</v>
      </c>
      <c r="H1529" s="3">
        <f t="shared" si="157"/>
        <v>6.0785488324982451</v>
      </c>
      <c r="I1529" s="3">
        <f t="shared" si="158"/>
        <v>85.872810604782273</v>
      </c>
    </row>
    <row r="1530" spans="1:9" ht="15.75" customHeight="1">
      <c r="A1530" s="14">
        <v>35827</v>
      </c>
      <c r="B1530">
        <v>1023.74</v>
      </c>
      <c r="C1530" s="3">
        <f t="shared" si="159"/>
        <v>60.379999999999995</v>
      </c>
      <c r="D1530" s="3">
        <f t="shared" si="155"/>
        <v>60.379999999999995</v>
      </c>
      <c r="E1530" s="3">
        <f t="shared" si="156"/>
        <v>0</v>
      </c>
      <c r="F1530" s="3">
        <f t="shared" si="154"/>
        <v>19.291561131900899</v>
      </c>
      <c r="G1530" s="3">
        <f t="shared" si="154"/>
        <v>2.4641907800364922</v>
      </c>
      <c r="H1530" s="3">
        <f t="shared" si="157"/>
        <v>7.8287611852906984</v>
      </c>
      <c r="I1530" s="3">
        <f t="shared" si="158"/>
        <v>88.673382606995119</v>
      </c>
    </row>
    <row r="1531" spans="1:9" ht="15.75" customHeight="1">
      <c r="A1531" s="14">
        <v>35855</v>
      </c>
      <c r="B1531">
        <v>1076.83</v>
      </c>
      <c r="C1531" s="3">
        <f t="shared" si="159"/>
        <v>53.089999999999918</v>
      </c>
      <c r="D1531" s="3">
        <f t="shared" si="155"/>
        <v>53.089999999999918</v>
      </c>
      <c r="E1531" s="3">
        <f t="shared" si="156"/>
        <v>0</v>
      </c>
      <c r="F1531" s="3">
        <f t="shared" si="154"/>
        <v>21.705735336765112</v>
      </c>
      <c r="G1531" s="3">
        <f t="shared" si="154"/>
        <v>2.2881771528910284</v>
      </c>
      <c r="H1531" s="3">
        <f t="shared" si="157"/>
        <v>9.4860379622883251</v>
      </c>
      <c r="I1531" s="3">
        <f t="shared" si="158"/>
        <v>90.4635096344647</v>
      </c>
    </row>
    <row r="1532" spans="1:9" ht="15.75" customHeight="1">
      <c r="A1532" s="14">
        <v>35886</v>
      </c>
      <c r="B1532">
        <v>1112.2</v>
      </c>
      <c r="C1532" s="3">
        <f t="shared" si="159"/>
        <v>35.370000000000118</v>
      </c>
      <c r="D1532" s="3">
        <f t="shared" si="155"/>
        <v>35.370000000000118</v>
      </c>
      <c r="E1532" s="3">
        <f t="shared" si="156"/>
        <v>0</v>
      </c>
      <c r="F1532" s="3">
        <f t="shared" si="154"/>
        <v>22.681754241281901</v>
      </c>
      <c r="G1532" s="3">
        <f t="shared" si="154"/>
        <v>2.1247359276845263</v>
      </c>
      <c r="H1532" s="3">
        <f t="shared" si="157"/>
        <v>10.675093288416221</v>
      </c>
      <c r="I1532" s="3">
        <f t="shared" si="158"/>
        <v>91.434757947568784</v>
      </c>
    </row>
    <row r="1533" spans="1:9" ht="15.75" customHeight="1">
      <c r="A1533" s="14">
        <v>35916</v>
      </c>
      <c r="B1533">
        <v>1108.42</v>
      </c>
      <c r="C1533" s="3">
        <f t="shared" si="159"/>
        <v>-3.7799999999999727</v>
      </c>
      <c r="D1533" s="3">
        <f t="shared" si="155"/>
        <v>0</v>
      </c>
      <c r="E1533" s="3">
        <f t="shared" si="156"/>
        <v>3.7799999999999727</v>
      </c>
      <c r="F1533" s="3">
        <f t="shared" si="154"/>
        <v>21.061628938333193</v>
      </c>
      <c r="G1533" s="3">
        <f t="shared" si="154"/>
        <v>2.2429690757070584</v>
      </c>
      <c r="H1533" s="3">
        <f t="shared" si="157"/>
        <v>9.3900665713341898</v>
      </c>
      <c r="I1533" s="3">
        <f t="shared" si="158"/>
        <v>90.375422591045151</v>
      </c>
    </row>
    <row r="1534" spans="1:9" ht="15.75" customHeight="1">
      <c r="A1534" s="14">
        <v>35947</v>
      </c>
      <c r="B1534">
        <v>1108.3900000000001</v>
      </c>
      <c r="C1534" s="3">
        <f t="shared" si="159"/>
        <v>-2.9999999999972715E-2</v>
      </c>
      <c r="D1534" s="3">
        <f t="shared" si="155"/>
        <v>0</v>
      </c>
      <c r="E1534" s="3">
        <f t="shared" si="156"/>
        <v>2.9999999999972715E-2</v>
      </c>
      <c r="F1534" s="3">
        <f t="shared" si="154"/>
        <v>19.557226871309393</v>
      </c>
      <c r="G1534" s="3">
        <f t="shared" si="154"/>
        <v>2.0848998560136951</v>
      </c>
      <c r="H1534" s="3">
        <f t="shared" si="157"/>
        <v>9.3804154741046357</v>
      </c>
      <c r="I1534" s="3">
        <f t="shared" si="158"/>
        <v>90.366474227407977</v>
      </c>
    </row>
    <row r="1535" spans="1:9" ht="15.75" customHeight="1">
      <c r="A1535" s="14">
        <v>35977</v>
      </c>
      <c r="B1535">
        <v>1156.58</v>
      </c>
      <c r="C1535" s="3">
        <f t="shared" si="159"/>
        <v>48.189999999999827</v>
      </c>
      <c r="D1535" s="3">
        <f t="shared" si="155"/>
        <v>48.189999999999827</v>
      </c>
      <c r="E1535" s="3">
        <f t="shared" si="156"/>
        <v>0</v>
      </c>
      <c r="F1535" s="3">
        <f t="shared" si="154"/>
        <v>21.602424951930139</v>
      </c>
      <c r="G1535" s="3">
        <f t="shared" si="154"/>
        <v>1.9359784377270024</v>
      </c>
      <c r="H1535" s="3">
        <f t="shared" si="157"/>
        <v>11.158401628322451</v>
      </c>
      <c r="I1535" s="3">
        <f t="shared" si="158"/>
        <v>91.775234684873837</v>
      </c>
    </row>
    <row r="1536" spans="1:9" ht="15.75" customHeight="1">
      <c r="A1536" s="14">
        <v>36008</v>
      </c>
      <c r="B1536">
        <v>1074.6199999999999</v>
      </c>
      <c r="C1536" s="3">
        <f t="shared" si="159"/>
        <v>-81.960000000000036</v>
      </c>
      <c r="D1536" s="3">
        <f t="shared" si="155"/>
        <v>0</v>
      </c>
      <c r="E1536" s="3">
        <f t="shared" si="156"/>
        <v>81.960000000000036</v>
      </c>
      <c r="F1536" s="3">
        <f t="shared" si="154"/>
        <v>20.059394598220845</v>
      </c>
      <c r="G1536" s="3">
        <f t="shared" si="154"/>
        <v>7.6519799778893622</v>
      </c>
      <c r="H1536" s="3">
        <f t="shared" si="157"/>
        <v>2.621464595592657</v>
      </c>
      <c r="I1536" s="3">
        <f t="shared" si="158"/>
        <v>72.386862452914613</v>
      </c>
    </row>
    <row r="1537" spans="1:9" ht="15.75" customHeight="1">
      <c r="A1537" s="14">
        <v>36039</v>
      </c>
      <c r="B1537">
        <v>1020.64</v>
      </c>
      <c r="C1537" s="3">
        <f t="shared" si="159"/>
        <v>-53.979999999999905</v>
      </c>
      <c r="D1537" s="3">
        <f t="shared" si="155"/>
        <v>0</v>
      </c>
      <c r="E1537" s="3">
        <f t="shared" si="156"/>
        <v>53.979999999999905</v>
      </c>
      <c r="F1537" s="3">
        <f t="shared" si="154"/>
        <v>18.626580698347929</v>
      </c>
      <c r="G1537" s="3">
        <f t="shared" si="154"/>
        <v>10.961124265182972</v>
      </c>
      <c r="H1537" s="3">
        <f t="shared" si="157"/>
        <v>1.6993312225748221</v>
      </c>
      <c r="I1537" s="3">
        <f t="shared" si="158"/>
        <v>62.953786788487335</v>
      </c>
    </row>
    <row r="1538" spans="1:9" ht="15.75" customHeight="1">
      <c r="A1538" s="14">
        <v>36069</v>
      </c>
      <c r="B1538">
        <v>1032.47</v>
      </c>
      <c r="C1538" s="3">
        <f t="shared" si="159"/>
        <v>11.830000000000041</v>
      </c>
      <c r="D1538" s="3">
        <f t="shared" si="155"/>
        <v>11.830000000000041</v>
      </c>
      <c r="E1538" s="3">
        <f t="shared" si="156"/>
        <v>0</v>
      </c>
      <c r="F1538" s="3">
        <f t="shared" si="154"/>
        <v>18.141110648465936</v>
      </c>
      <c r="G1538" s="3">
        <f t="shared" si="154"/>
        <v>10.178186817669902</v>
      </c>
      <c r="H1538" s="3">
        <f t="shared" si="157"/>
        <v>1.7823519034816646</v>
      </c>
      <c r="I1538" s="3">
        <f t="shared" si="158"/>
        <v>64.059183212998278</v>
      </c>
    </row>
    <row r="1539" spans="1:9" ht="15.75" customHeight="1">
      <c r="A1539" s="14">
        <v>36100</v>
      </c>
      <c r="B1539">
        <v>1144.43</v>
      </c>
      <c r="C1539" s="3">
        <f t="shared" si="159"/>
        <v>111.96000000000004</v>
      </c>
      <c r="D1539" s="3">
        <f t="shared" si="155"/>
        <v>111.96000000000004</v>
      </c>
      <c r="E1539" s="3">
        <f t="shared" si="156"/>
        <v>0</v>
      </c>
      <c r="F1539" s="3">
        <f t="shared" si="154"/>
        <v>24.842459887861228</v>
      </c>
      <c r="G1539" s="3">
        <f t="shared" si="154"/>
        <v>9.4511734735506234</v>
      </c>
      <c r="H1539" s="3">
        <f t="shared" si="157"/>
        <v>2.628505334007841</v>
      </c>
      <c r="I1539" s="3">
        <f t="shared" si="158"/>
        <v>72.440442883531418</v>
      </c>
    </row>
    <row r="1540" spans="1:9" ht="15.75" customHeight="1">
      <c r="A1540" s="14">
        <v>36130</v>
      </c>
      <c r="B1540">
        <v>1190.05</v>
      </c>
      <c r="C1540" s="3">
        <f t="shared" si="159"/>
        <v>45.619999999999891</v>
      </c>
      <c r="D1540" s="3">
        <f t="shared" si="155"/>
        <v>45.619999999999891</v>
      </c>
      <c r="E1540" s="3">
        <f t="shared" si="156"/>
        <v>0</v>
      </c>
      <c r="F1540" s="3">
        <f t="shared" si="154"/>
        <v>26.326569895871131</v>
      </c>
      <c r="G1540" s="3">
        <f t="shared" si="154"/>
        <v>8.776089654011292</v>
      </c>
      <c r="H1540" s="3">
        <f t="shared" si="157"/>
        <v>2.9998063982673688</v>
      </c>
      <c r="I1540" s="3">
        <f t="shared" si="158"/>
        <v>74.998789930603181</v>
      </c>
    </row>
    <row r="1541" spans="1:9" ht="15.75" customHeight="1">
      <c r="A1541" s="14">
        <v>36161</v>
      </c>
      <c r="B1541">
        <v>1248.77</v>
      </c>
      <c r="C1541" s="3">
        <f t="shared" si="159"/>
        <v>58.720000000000027</v>
      </c>
      <c r="D1541" s="3">
        <f t="shared" si="155"/>
        <v>58.720000000000027</v>
      </c>
      <c r="E1541" s="3">
        <f t="shared" si="156"/>
        <v>0</v>
      </c>
      <c r="F1541" s="3">
        <f t="shared" si="154"/>
        <v>28.640386331880336</v>
      </c>
      <c r="G1541" s="3">
        <f t="shared" si="154"/>
        <v>8.1492261072961991</v>
      </c>
      <c r="H1541" s="3">
        <f t="shared" si="157"/>
        <v>3.5144915547548625</v>
      </c>
      <c r="I1541" s="3">
        <f t="shared" si="158"/>
        <v>77.849111292571678</v>
      </c>
    </row>
    <row r="1542" spans="1:9" ht="15.75" customHeight="1">
      <c r="A1542" s="14">
        <v>36192</v>
      </c>
      <c r="B1542">
        <v>1246.58</v>
      </c>
      <c r="C1542" s="3">
        <f t="shared" si="159"/>
        <v>-2.1900000000000546</v>
      </c>
      <c r="D1542" s="3">
        <f t="shared" si="155"/>
        <v>0</v>
      </c>
      <c r="E1542" s="3">
        <f t="shared" si="156"/>
        <v>2.1900000000000546</v>
      </c>
      <c r="F1542" s="3">
        <f t="shared" si="154"/>
        <v>26.594644451031741</v>
      </c>
      <c r="G1542" s="3">
        <f t="shared" si="154"/>
        <v>7.7235670996321888</v>
      </c>
      <c r="H1542" s="3">
        <f t="shared" si="157"/>
        <v>3.4433111162196326</v>
      </c>
      <c r="I1542" s="3">
        <f t="shared" si="158"/>
        <v>77.494261062439406</v>
      </c>
    </row>
    <row r="1543" spans="1:9" ht="15.75" customHeight="1">
      <c r="A1543" s="14">
        <v>36220</v>
      </c>
      <c r="B1543">
        <v>1281.6600000000001</v>
      </c>
      <c r="C1543" s="3">
        <f t="shared" si="159"/>
        <v>35.080000000000155</v>
      </c>
      <c r="D1543" s="3">
        <f t="shared" si="155"/>
        <v>35.080000000000155</v>
      </c>
      <c r="E1543" s="3">
        <f t="shared" si="156"/>
        <v>0</v>
      </c>
      <c r="F1543" s="3">
        <f t="shared" si="154"/>
        <v>27.200741275958055</v>
      </c>
      <c r="G1543" s="3">
        <f t="shared" si="154"/>
        <v>7.1718837353727469</v>
      </c>
      <c r="H1543" s="3">
        <f t="shared" si="157"/>
        <v>3.7926913318184656</v>
      </c>
      <c r="I1543" s="3">
        <f t="shared" si="158"/>
        <v>79.134896642288552</v>
      </c>
    </row>
    <row r="1544" spans="1:9" ht="15.75" customHeight="1">
      <c r="A1544" s="14">
        <v>36251</v>
      </c>
      <c r="B1544">
        <v>1334.76</v>
      </c>
      <c r="C1544" s="3">
        <f t="shared" si="159"/>
        <v>53.099999999999909</v>
      </c>
      <c r="D1544" s="3">
        <f t="shared" si="155"/>
        <v>53.099999999999909</v>
      </c>
      <c r="E1544" s="3">
        <f t="shared" si="156"/>
        <v>0</v>
      </c>
      <c r="F1544" s="3">
        <f t="shared" si="154"/>
        <v>29.050688327675328</v>
      </c>
      <c r="G1544" s="3">
        <f t="shared" si="154"/>
        <v>6.6596063257032654</v>
      </c>
      <c r="H1544" s="3">
        <f t="shared" si="157"/>
        <v>4.3622230664824659</v>
      </c>
      <c r="I1544" s="3">
        <f t="shared" si="158"/>
        <v>81.351018269816507</v>
      </c>
    </row>
    <row r="1545" spans="1:9" ht="15.75" customHeight="1">
      <c r="A1545" s="14">
        <v>36281</v>
      </c>
      <c r="B1545">
        <v>1332.07</v>
      </c>
      <c r="C1545" s="3">
        <f t="shared" si="159"/>
        <v>-2.6900000000000546</v>
      </c>
      <c r="D1545" s="3">
        <f t="shared" si="155"/>
        <v>0</v>
      </c>
      <c r="E1545" s="3">
        <f t="shared" si="156"/>
        <v>2.6900000000000546</v>
      </c>
      <c r="F1545" s="3">
        <f t="shared" si="154"/>
        <v>26.975639161412804</v>
      </c>
      <c r="G1545" s="3">
        <f t="shared" si="154"/>
        <v>6.3760630167244647</v>
      </c>
      <c r="H1545" s="3">
        <f t="shared" si="157"/>
        <v>4.2307673388195015</v>
      </c>
      <c r="I1545" s="3">
        <f t="shared" si="158"/>
        <v>80.882346026392298</v>
      </c>
    </row>
    <row r="1546" spans="1:9" ht="15.75" customHeight="1">
      <c r="A1546" s="14">
        <v>36312</v>
      </c>
      <c r="B1546">
        <v>1322.55</v>
      </c>
      <c r="C1546" s="3">
        <f t="shared" si="159"/>
        <v>-9.5199999999999818</v>
      </c>
      <c r="D1546" s="3">
        <f t="shared" si="155"/>
        <v>0</v>
      </c>
      <c r="E1546" s="3">
        <f t="shared" si="156"/>
        <v>9.5199999999999818</v>
      </c>
      <c r="F1546" s="3">
        <f t="shared" si="154"/>
        <v>25.048807792740462</v>
      </c>
      <c r="G1546" s="3">
        <f t="shared" si="154"/>
        <v>6.6006299441012874</v>
      </c>
      <c r="H1546" s="3">
        <f t="shared" si="157"/>
        <v>3.7949116985607647</v>
      </c>
      <c r="I1546" s="3">
        <f t="shared" si="158"/>
        <v>79.144558589052664</v>
      </c>
    </row>
    <row r="1547" spans="1:9" ht="15.75" customHeight="1">
      <c r="A1547" s="14">
        <v>36342</v>
      </c>
      <c r="B1547">
        <v>1380.99</v>
      </c>
      <c r="C1547" s="3">
        <f t="shared" si="159"/>
        <v>58.440000000000055</v>
      </c>
      <c r="D1547" s="3">
        <f t="shared" si="155"/>
        <v>58.440000000000055</v>
      </c>
      <c r="E1547" s="3">
        <f t="shared" si="156"/>
        <v>0</v>
      </c>
      <c r="F1547" s="3">
        <f t="shared" si="154"/>
        <v>27.433892950401862</v>
      </c>
      <c r="G1547" s="3">
        <f t="shared" si="154"/>
        <v>6.129156376665482</v>
      </c>
      <c r="H1547" s="3">
        <f t="shared" si="157"/>
        <v>4.4759655757595551</v>
      </c>
      <c r="I1547" s="3">
        <f t="shared" si="158"/>
        <v>81.738380452450286</v>
      </c>
    </row>
    <row r="1548" spans="1:9" ht="15.75" customHeight="1">
      <c r="A1548" s="14">
        <v>36373</v>
      </c>
      <c r="B1548">
        <v>1327.49</v>
      </c>
      <c r="C1548" s="3">
        <f t="shared" si="159"/>
        <v>-53.5</v>
      </c>
      <c r="D1548" s="3">
        <f t="shared" si="155"/>
        <v>0</v>
      </c>
      <c r="E1548" s="3">
        <f t="shared" si="156"/>
        <v>53.5</v>
      </c>
      <c r="F1548" s="3">
        <f t="shared" si="154"/>
        <v>25.474329168230302</v>
      </c>
      <c r="G1548" s="3">
        <f t="shared" si="154"/>
        <v>9.5127880640465197</v>
      </c>
      <c r="H1548" s="3">
        <f t="shared" si="157"/>
        <v>2.6779035753471954</v>
      </c>
      <c r="I1548" s="3">
        <f t="shared" si="158"/>
        <v>72.810597681164069</v>
      </c>
    </row>
    <row r="1549" spans="1:9" ht="15.75" customHeight="1">
      <c r="A1549" s="14">
        <v>36404</v>
      </c>
      <c r="B1549">
        <v>1318.17</v>
      </c>
      <c r="C1549" s="3">
        <f t="shared" si="159"/>
        <v>-9.3199999999999363</v>
      </c>
      <c r="D1549" s="3">
        <f t="shared" si="155"/>
        <v>0</v>
      </c>
      <c r="E1549" s="3">
        <f t="shared" si="156"/>
        <v>9.3199999999999363</v>
      </c>
      <c r="F1549" s="3">
        <f t="shared" si="154"/>
        <v>23.654734227642422</v>
      </c>
      <c r="G1549" s="3">
        <f t="shared" si="154"/>
        <v>9.4990174880431937</v>
      </c>
      <c r="H1549" s="3">
        <f t="shared" si="157"/>
        <v>2.4902295692599381</v>
      </c>
      <c r="I1549" s="3">
        <f t="shared" si="158"/>
        <v>71.348589536703798</v>
      </c>
    </row>
    <row r="1550" spans="1:9" ht="15.75" customHeight="1">
      <c r="A1550" s="14">
        <v>36434</v>
      </c>
      <c r="B1550">
        <v>1300.01</v>
      </c>
      <c r="C1550" s="3">
        <f t="shared" si="159"/>
        <v>-18.160000000000082</v>
      </c>
      <c r="D1550" s="3">
        <f t="shared" si="155"/>
        <v>0</v>
      </c>
      <c r="E1550" s="3">
        <f t="shared" si="156"/>
        <v>18.160000000000082</v>
      </c>
      <c r="F1550" s="3">
        <f t="shared" si="154"/>
        <v>21.965110354239389</v>
      </c>
      <c r="G1550" s="3">
        <f t="shared" si="154"/>
        <v>10.117659096040114</v>
      </c>
      <c r="H1550" s="3">
        <f t="shared" si="157"/>
        <v>2.1709676265764055</v>
      </c>
      <c r="I1550" s="3">
        <f t="shared" si="158"/>
        <v>68.463884915795603</v>
      </c>
    </row>
    <row r="1551" spans="1:9" ht="15.75" customHeight="1">
      <c r="A1551" s="14">
        <v>36465</v>
      </c>
      <c r="B1551">
        <v>1391</v>
      </c>
      <c r="C1551" s="3">
        <f t="shared" si="159"/>
        <v>90.990000000000009</v>
      </c>
      <c r="D1551" s="3">
        <f t="shared" si="155"/>
        <v>90.990000000000009</v>
      </c>
      <c r="E1551" s="3">
        <f t="shared" si="156"/>
        <v>0</v>
      </c>
      <c r="F1551" s="3">
        <f t="shared" si="154"/>
        <v>26.895459614650861</v>
      </c>
      <c r="G1551" s="3">
        <f t="shared" si="154"/>
        <v>9.394969160608678</v>
      </c>
      <c r="H1551" s="3">
        <f t="shared" si="157"/>
        <v>2.8627512400379573</v>
      </c>
      <c r="I1551" s="3">
        <f t="shared" si="158"/>
        <v>74.111716290843162</v>
      </c>
    </row>
    <row r="1552" spans="1:9" ht="15.75" customHeight="1">
      <c r="A1552" s="14">
        <v>36495</v>
      </c>
      <c r="B1552">
        <v>1428.68</v>
      </c>
      <c r="C1552" s="3">
        <f t="shared" si="159"/>
        <v>37.680000000000064</v>
      </c>
      <c r="D1552" s="3">
        <f t="shared" si="155"/>
        <v>37.680000000000064</v>
      </c>
      <c r="E1552" s="3">
        <f t="shared" si="156"/>
        <v>0</v>
      </c>
      <c r="F1552" s="3">
        <f t="shared" si="154"/>
        <v>27.665783927890089</v>
      </c>
      <c r="G1552" s="3">
        <f t="shared" si="154"/>
        <v>8.7238999348509161</v>
      </c>
      <c r="H1552" s="3">
        <f t="shared" si="157"/>
        <v>3.171263326550624</v>
      </c>
      <c r="I1552" s="3">
        <f t="shared" si="158"/>
        <v>76.026447583999982</v>
      </c>
    </row>
    <row r="1553" spans="1:9" ht="15.75" customHeight="1">
      <c r="A1553" s="14">
        <v>36526</v>
      </c>
      <c r="B1553">
        <v>1425.59</v>
      </c>
      <c r="C1553" s="3">
        <f t="shared" si="159"/>
        <v>-3.0900000000001455</v>
      </c>
      <c r="D1553" s="3">
        <f t="shared" si="155"/>
        <v>0</v>
      </c>
      <c r="E1553" s="3">
        <f t="shared" si="156"/>
        <v>3.0900000000001455</v>
      </c>
      <c r="F1553" s="3">
        <f t="shared" si="154"/>
        <v>25.689656504469365</v>
      </c>
      <c r="G1553" s="3">
        <f t="shared" si="154"/>
        <v>8.3214785109330034</v>
      </c>
      <c r="H1553" s="3">
        <f t="shared" si="157"/>
        <v>3.087150495037335</v>
      </c>
      <c r="I1553" s="3">
        <f t="shared" si="158"/>
        <v>75.533076131788846</v>
      </c>
    </row>
    <row r="1554" spans="1:9" ht="15.75" customHeight="1">
      <c r="A1554" s="14">
        <v>36557</v>
      </c>
      <c r="B1554">
        <v>1388.87</v>
      </c>
      <c r="C1554" s="3">
        <f t="shared" si="159"/>
        <v>-36.720000000000027</v>
      </c>
      <c r="D1554" s="3">
        <f t="shared" si="155"/>
        <v>0</v>
      </c>
      <c r="E1554" s="3">
        <f t="shared" si="156"/>
        <v>36.720000000000027</v>
      </c>
      <c r="F1554" s="3">
        <f t="shared" ref="F1554:G1617" si="160">((F1553*13)+D1554)/14</f>
        <v>23.85468103986441</v>
      </c>
      <c r="G1554" s="3">
        <f t="shared" si="160"/>
        <v>10.349944331580648</v>
      </c>
      <c r="H1554" s="3">
        <f t="shared" si="157"/>
        <v>2.3048124971143022</v>
      </c>
      <c r="I1554" s="3">
        <f t="shared" si="158"/>
        <v>69.741097237039</v>
      </c>
    </row>
    <row r="1555" spans="1:9" ht="15.75" customHeight="1">
      <c r="A1555" s="14">
        <v>36586</v>
      </c>
      <c r="B1555">
        <v>1442.21</v>
      </c>
      <c r="C1555" s="3">
        <f t="shared" si="159"/>
        <v>53.340000000000146</v>
      </c>
      <c r="D1555" s="3">
        <f t="shared" si="155"/>
        <v>53.340000000000146</v>
      </c>
      <c r="E1555" s="3">
        <f t="shared" si="156"/>
        <v>0</v>
      </c>
      <c r="F1555" s="3">
        <f t="shared" si="160"/>
        <v>25.960775251302675</v>
      </c>
      <c r="G1555" s="3">
        <f t="shared" si="160"/>
        <v>9.610662593610602</v>
      </c>
      <c r="H1555" s="3">
        <f t="shared" si="157"/>
        <v>2.701247182328721</v>
      </c>
      <c r="I1555" s="3">
        <f t="shared" si="158"/>
        <v>72.982080073592158</v>
      </c>
    </row>
    <row r="1556" spans="1:9" ht="15.75" customHeight="1">
      <c r="A1556" s="14">
        <v>36617</v>
      </c>
      <c r="B1556">
        <v>1461.36</v>
      </c>
      <c r="C1556" s="3">
        <f t="shared" si="159"/>
        <v>19.149999999999864</v>
      </c>
      <c r="D1556" s="3">
        <f t="shared" si="155"/>
        <v>19.149999999999864</v>
      </c>
      <c r="E1556" s="3">
        <f t="shared" si="156"/>
        <v>0</v>
      </c>
      <c r="F1556" s="3">
        <f t="shared" si="160"/>
        <v>25.474291304781044</v>
      </c>
      <c r="G1556" s="3">
        <f t="shared" si="160"/>
        <v>8.9241866940669876</v>
      </c>
      <c r="H1556" s="3">
        <f t="shared" si="157"/>
        <v>2.8545224543225838</v>
      </c>
      <c r="I1556" s="3">
        <f t="shared" si="158"/>
        <v>74.056448967405331</v>
      </c>
    </row>
    <row r="1557" spans="1:9" ht="15.75" customHeight="1">
      <c r="A1557" s="14">
        <v>36647</v>
      </c>
      <c r="B1557">
        <v>1418.48</v>
      </c>
      <c r="C1557" s="3">
        <f t="shared" si="159"/>
        <v>-42.879999999999882</v>
      </c>
      <c r="D1557" s="3">
        <f t="shared" si="155"/>
        <v>0</v>
      </c>
      <c r="E1557" s="3">
        <f t="shared" si="156"/>
        <v>42.879999999999882</v>
      </c>
      <c r="F1557" s="3">
        <f t="shared" si="160"/>
        <v>23.654699068725254</v>
      </c>
      <c r="G1557" s="3">
        <f t="shared" si="160"/>
        <v>11.349601930205052</v>
      </c>
      <c r="H1557" s="3">
        <f t="shared" si="157"/>
        <v>2.084187552496644</v>
      </c>
      <c r="I1557" s="3">
        <f t="shared" si="158"/>
        <v>67.576550291485944</v>
      </c>
    </row>
    <row r="1558" spans="1:9" ht="15.75" customHeight="1">
      <c r="A1558" s="14">
        <v>36678</v>
      </c>
      <c r="B1558">
        <v>1461.96</v>
      </c>
      <c r="C1558" s="3">
        <f t="shared" si="159"/>
        <v>43.480000000000018</v>
      </c>
      <c r="D1558" s="3">
        <f t="shared" si="155"/>
        <v>43.480000000000018</v>
      </c>
      <c r="E1558" s="3">
        <f t="shared" si="156"/>
        <v>0</v>
      </c>
      <c r="F1558" s="3">
        <f t="shared" si="160"/>
        <v>25.070791992387736</v>
      </c>
      <c r="G1558" s="3">
        <f t="shared" si="160"/>
        <v>10.538916078047549</v>
      </c>
      <c r="H1558" s="3">
        <f t="shared" si="157"/>
        <v>2.378877657505019</v>
      </c>
      <c r="I1558" s="3">
        <f t="shared" si="158"/>
        <v>70.404373837601298</v>
      </c>
    </row>
    <row r="1559" spans="1:9" ht="15.75" customHeight="1">
      <c r="A1559" s="14">
        <v>36708</v>
      </c>
      <c r="B1559">
        <v>1473</v>
      </c>
      <c r="C1559" s="3">
        <f t="shared" si="159"/>
        <v>11.039999999999964</v>
      </c>
      <c r="D1559" s="3">
        <f t="shared" si="155"/>
        <v>11.039999999999964</v>
      </c>
      <c r="E1559" s="3">
        <f t="shared" si="156"/>
        <v>0</v>
      </c>
      <c r="F1559" s="3">
        <f t="shared" si="160"/>
        <v>24.068592564360038</v>
      </c>
      <c r="G1559" s="3">
        <f t="shared" si="160"/>
        <v>9.7861363581870098</v>
      </c>
      <c r="H1559" s="3">
        <f t="shared" si="157"/>
        <v>2.4594581235550055</v>
      </c>
      <c r="I1559" s="3">
        <f t="shared" si="158"/>
        <v>71.093738837561631</v>
      </c>
    </row>
    <row r="1560" spans="1:9" ht="15.75" customHeight="1">
      <c r="A1560" s="14">
        <v>36739</v>
      </c>
      <c r="B1560">
        <v>1485.46</v>
      </c>
      <c r="C1560" s="3">
        <f t="shared" si="159"/>
        <v>12.460000000000036</v>
      </c>
      <c r="D1560" s="3">
        <f t="shared" si="155"/>
        <v>12.460000000000036</v>
      </c>
      <c r="E1560" s="3">
        <f t="shared" si="156"/>
        <v>0</v>
      </c>
      <c r="F1560" s="3">
        <f t="shared" si="160"/>
        <v>23.239407381191466</v>
      </c>
      <c r="G1560" s="3">
        <f t="shared" si="160"/>
        <v>9.0871266183165087</v>
      </c>
      <c r="H1560" s="3">
        <f t="shared" si="157"/>
        <v>2.5573988739574562</v>
      </c>
      <c r="I1560" s="3">
        <f t="shared" si="158"/>
        <v>71.889573381251395</v>
      </c>
    </row>
    <row r="1561" spans="1:9" ht="15.75" customHeight="1">
      <c r="A1561" s="14">
        <v>36770</v>
      </c>
      <c r="B1561">
        <v>1468.05</v>
      </c>
      <c r="C1561" s="3">
        <f t="shared" si="159"/>
        <v>-17.410000000000082</v>
      </c>
      <c r="D1561" s="3">
        <f t="shared" si="155"/>
        <v>0</v>
      </c>
      <c r="E1561" s="3">
        <f t="shared" si="156"/>
        <v>17.410000000000082</v>
      </c>
      <c r="F1561" s="3">
        <f t="shared" si="160"/>
        <v>21.57944971110636</v>
      </c>
      <c r="G1561" s="3">
        <f t="shared" si="160"/>
        <v>9.6816175741510495</v>
      </c>
      <c r="H1561" s="3">
        <f t="shared" si="157"/>
        <v>2.2289095335392437</v>
      </c>
      <c r="I1561" s="3">
        <f t="shared" si="158"/>
        <v>69.029791958776599</v>
      </c>
    </row>
    <row r="1562" spans="1:9" ht="15.75" customHeight="1">
      <c r="A1562" s="14">
        <v>36800</v>
      </c>
      <c r="B1562">
        <v>1390.14</v>
      </c>
      <c r="C1562" s="3">
        <f t="shared" si="159"/>
        <v>-77.909999999999854</v>
      </c>
      <c r="D1562" s="3">
        <f t="shared" si="155"/>
        <v>0</v>
      </c>
      <c r="E1562" s="3">
        <f t="shared" si="156"/>
        <v>77.909999999999854</v>
      </c>
      <c r="F1562" s="3">
        <f t="shared" si="160"/>
        <v>20.038060446027334</v>
      </c>
      <c r="G1562" s="3">
        <f t="shared" si="160"/>
        <v>14.555073461711677</v>
      </c>
      <c r="H1562" s="3">
        <f t="shared" si="157"/>
        <v>1.3767062391501566</v>
      </c>
      <c r="I1562" s="3">
        <f t="shared" si="158"/>
        <v>57.92496424137078</v>
      </c>
    </row>
    <row r="1563" spans="1:9" ht="15.75" customHeight="1">
      <c r="A1563" s="14">
        <v>36831</v>
      </c>
      <c r="B1563">
        <v>1378.04</v>
      </c>
      <c r="C1563" s="3">
        <f t="shared" si="159"/>
        <v>-12.100000000000136</v>
      </c>
      <c r="D1563" s="3">
        <f t="shared" si="155"/>
        <v>0</v>
      </c>
      <c r="E1563" s="3">
        <f t="shared" si="156"/>
        <v>12.100000000000136</v>
      </c>
      <c r="F1563" s="3">
        <f t="shared" si="160"/>
        <v>18.606770414168238</v>
      </c>
      <c r="G1563" s="3">
        <f t="shared" si="160"/>
        <v>14.379711071589425</v>
      </c>
      <c r="H1563" s="3">
        <f t="shared" si="157"/>
        <v>1.2939599635579873</v>
      </c>
      <c r="I1563" s="3">
        <f t="shared" si="158"/>
        <v>56.407260114122657</v>
      </c>
    </row>
    <row r="1564" spans="1:9" ht="15.75" customHeight="1">
      <c r="A1564" s="14">
        <v>36861</v>
      </c>
      <c r="B1564">
        <v>1330.93</v>
      </c>
      <c r="C1564" s="3">
        <f t="shared" si="159"/>
        <v>-47.1099999999999</v>
      </c>
      <c r="D1564" s="3">
        <f t="shared" si="155"/>
        <v>0</v>
      </c>
      <c r="E1564" s="3">
        <f t="shared" si="156"/>
        <v>47.1099999999999</v>
      </c>
      <c r="F1564" s="3">
        <f t="shared" si="160"/>
        <v>17.277715384584791</v>
      </c>
      <c r="G1564" s="3">
        <f t="shared" si="160"/>
        <v>16.717588852190172</v>
      </c>
      <c r="H1564" s="3">
        <f t="shared" si="157"/>
        <v>1.0335052223946299</v>
      </c>
      <c r="I1564" s="3">
        <f t="shared" si="158"/>
        <v>50.823829268438622</v>
      </c>
    </row>
    <row r="1565" spans="1:9" ht="15.75" customHeight="1">
      <c r="A1565" s="14">
        <v>36892</v>
      </c>
      <c r="B1565">
        <v>1335.63</v>
      </c>
      <c r="C1565" s="3">
        <f t="shared" si="159"/>
        <v>4.7000000000000455</v>
      </c>
      <c r="D1565" s="3">
        <f t="shared" si="155"/>
        <v>4.7000000000000455</v>
      </c>
      <c r="E1565" s="3">
        <f t="shared" si="156"/>
        <v>0</v>
      </c>
      <c r="F1565" s="3">
        <f t="shared" si="160"/>
        <v>16.37930714282874</v>
      </c>
      <c r="G1565" s="3">
        <f t="shared" si="160"/>
        <v>15.523475362748016</v>
      </c>
      <c r="H1565" s="3">
        <f t="shared" si="157"/>
        <v>1.0551314547858581</v>
      </c>
      <c r="I1565" s="3">
        <f t="shared" si="158"/>
        <v>51.341312125252898</v>
      </c>
    </row>
    <row r="1566" spans="1:9" ht="15.75" customHeight="1">
      <c r="A1566" s="14">
        <v>36923</v>
      </c>
      <c r="B1566">
        <v>1305.75</v>
      </c>
      <c r="C1566" s="3">
        <f t="shared" si="159"/>
        <v>-29.880000000000109</v>
      </c>
      <c r="D1566" s="3">
        <f t="shared" si="155"/>
        <v>0</v>
      </c>
      <c r="E1566" s="3">
        <f t="shared" si="156"/>
        <v>29.880000000000109</v>
      </c>
      <c r="F1566" s="3">
        <f t="shared" si="160"/>
        <v>15.209356632626688</v>
      </c>
      <c r="G1566" s="3">
        <f t="shared" si="160"/>
        <v>16.548941408266021</v>
      </c>
      <c r="H1566" s="3">
        <f t="shared" si="157"/>
        <v>0.91905314408991601</v>
      </c>
      <c r="I1566" s="3">
        <f t="shared" si="158"/>
        <v>47.890968883290824</v>
      </c>
    </row>
    <row r="1567" spans="1:9" ht="15.75" customHeight="1">
      <c r="A1567" s="14">
        <v>36951</v>
      </c>
      <c r="B1567">
        <v>1185.8499999999999</v>
      </c>
      <c r="C1567" s="3">
        <f t="shared" si="159"/>
        <v>-119.90000000000009</v>
      </c>
      <c r="D1567" s="3">
        <f t="shared" si="155"/>
        <v>0</v>
      </c>
      <c r="E1567" s="3">
        <f t="shared" si="156"/>
        <v>119.90000000000009</v>
      </c>
      <c r="F1567" s="3">
        <f t="shared" si="160"/>
        <v>14.122974016010497</v>
      </c>
      <c r="G1567" s="3">
        <f t="shared" si="160"/>
        <v>23.931159879104168</v>
      </c>
      <c r="H1567" s="3">
        <f t="shared" si="157"/>
        <v>0.59015000055814981</v>
      </c>
      <c r="I1567" s="3">
        <f t="shared" si="158"/>
        <v>37.112851010974097</v>
      </c>
    </row>
    <row r="1568" spans="1:9" ht="15.75" customHeight="1">
      <c r="A1568" s="14">
        <v>36982</v>
      </c>
      <c r="B1568">
        <v>1189.8399999999999</v>
      </c>
      <c r="C1568" s="3">
        <f t="shared" si="159"/>
        <v>3.9900000000000091</v>
      </c>
      <c r="D1568" s="3">
        <f t="shared" si="155"/>
        <v>3.9900000000000091</v>
      </c>
      <c r="E1568" s="3">
        <f t="shared" si="156"/>
        <v>0</v>
      </c>
      <c r="F1568" s="3">
        <f t="shared" si="160"/>
        <v>13.399190157724034</v>
      </c>
      <c r="G1568" s="3">
        <f t="shared" si="160"/>
        <v>22.221791316311016</v>
      </c>
      <c r="H1568" s="3">
        <f t="shared" si="157"/>
        <v>0.60297524924954604</v>
      </c>
      <c r="I1568" s="3">
        <f t="shared" si="158"/>
        <v>37.616004959018355</v>
      </c>
    </row>
    <row r="1569" spans="1:9" ht="15.75" customHeight="1">
      <c r="A1569" s="14">
        <v>37012</v>
      </c>
      <c r="B1569">
        <v>1270.3699999999999</v>
      </c>
      <c r="C1569" s="3">
        <f t="shared" si="159"/>
        <v>80.529999999999973</v>
      </c>
      <c r="D1569" s="3">
        <f t="shared" si="155"/>
        <v>80.529999999999973</v>
      </c>
      <c r="E1569" s="3">
        <f t="shared" si="156"/>
        <v>0</v>
      </c>
      <c r="F1569" s="3">
        <f t="shared" si="160"/>
        <v>18.194248003600887</v>
      </c>
      <c r="G1569" s="3">
        <f t="shared" si="160"/>
        <v>20.634520508003085</v>
      </c>
      <c r="H1569" s="3">
        <f t="shared" si="157"/>
        <v>0.88173834698723719</v>
      </c>
      <c r="I1569" s="3">
        <f t="shared" si="158"/>
        <v>46.857648854260049</v>
      </c>
    </row>
    <row r="1570" spans="1:9" ht="15.75" customHeight="1">
      <c r="A1570" s="14">
        <v>37043</v>
      </c>
      <c r="B1570">
        <v>1238.71</v>
      </c>
      <c r="C1570" s="3">
        <f t="shared" si="159"/>
        <v>-31.659999999999854</v>
      </c>
      <c r="D1570" s="3">
        <f t="shared" si="155"/>
        <v>0</v>
      </c>
      <c r="E1570" s="3">
        <f t="shared" si="156"/>
        <v>31.659999999999854</v>
      </c>
      <c r="F1570" s="3">
        <f t="shared" si="160"/>
        <v>16.894658860486537</v>
      </c>
      <c r="G1570" s="3">
        <f t="shared" si="160"/>
        <v>21.422054757431425</v>
      </c>
      <c r="H1570" s="3">
        <f t="shared" si="157"/>
        <v>0.78865725308753076</v>
      </c>
      <c r="I1570" s="3">
        <f t="shared" si="158"/>
        <v>44.09213960506812</v>
      </c>
    </row>
    <row r="1571" spans="1:9" ht="15.75" customHeight="1">
      <c r="A1571" s="14">
        <v>37073</v>
      </c>
      <c r="B1571">
        <v>1204.45</v>
      </c>
      <c r="C1571" s="3">
        <f t="shared" si="159"/>
        <v>-34.259999999999991</v>
      </c>
      <c r="D1571" s="3">
        <f t="shared" si="155"/>
        <v>0</v>
      </c>
      <c r="E1571" s="3">
        <f t="shared" si="156"/>
        <v>34.259999999999991</v>
      </c>
      <c r="F1571" s="3">
        <f t="shared" si="160"/>
        <v>15.687897513308927</v>
      </c>
      <c r="G1571" s="3">
        <f t="shared" si="160"/>
        <v>22.339050846186321</v>
      </c>
      <c r="H1571" s="3">
        <f t="shared" si="157"/>
        <v>0.70226338716566972</v>
      </c>
      <c r="I1571" s="3">
        <f t="shared" si="158"/>
        <v>41.254684349110256</v>
      </c>
    </row>
    <row r="1572" spans="1:9" ht="15.75" customHeight="1">
      <c r="A1572" s="14">
        <v>37104</v>
      </c>
      <c r="B1572">
        <v>1178.5</v>
      </c>
      <c r="C1572" s="3">
        <f t="shared" si="159"/>
        <v>-25.950000000000045</v>
      </c>
      <c r="D1572" s="3">
        <f t="shared" si="155"/>
        <v>0</v>
      </c>
      <c r="E1572" s="3">
        <f t="shared" si="156"/>
        <v>25.950000000000045</v>
      </c>
      <c r="F1572" s="3">
        <f t="shared" si="160"/>
        <v>14.567333405215432</v>
      </c>
      <c r="G1572" s="3">
        <f t="shared" si="160"/>
        <v>22.596975785744444</v>
      </c>
      <c r="H1572" s="3">
        <f t="shared" si="157"/>
        <v>0.64465853941417228</v>
      </c>
      <c r="I1572" s="3">
        <f t="shared" si="158"/>
        <v>39.19710529358877</v>
      </c>
    </row>
    <row r="1573" spans="1:9" ht="15.75" customHeight="1">
      <c r="A1573" s="14">
        <v>37135</v>
      </c>
      <c r="B1573">
        <v>1044.6400000000001</v>
      </c>
      <c r="C1573" s="3">
        <f t="shared" si="159"/>
        <v>-133.8599999999999</v>
      </c>
      <c r="D1573" s="3">
        <f t="shared" si="155"/>
        <v>0</v>
      </c>
      <c r="E1573" s="3">
        <f t="shared" si="156"/>
        <v>133.8599999999999</v>
      </c>
      <c r="F1573" s="3">
        <f t="shared" si="160"/>
        <v>13.526809590557187</v>
      </c>
      <c r="G1573" s="3">
        <f t="shared" si="160"/>
        <v>30.544334658191264</v>
      </c>
      <c r="H1573" s="3">
        <f t="shared" si="157"/>
        <v>0.4428582171433752</v>
      </c>
      <c r="I1573" s="3">
        <f t="shared" si="158"/>
        <v>30.693120909701193</v>
      </c>
    </row>
    <row r="1574" spans="1:9" ht="15.75" customHeight="1">
      <c r="A1574" s="14">
        <v>37165</v>
      </c>
      <c r="B1574">
        <v>1076.5899999999999</v>
      </c>
      <c r="C1574" s="3">
        <f t="shared" si="159"/>
        <v>31.949999999999818</v>
      </c>
      <c r="D1574" s="3">
        <f t="shared" ref="D1574:D1637" si="161">IF(C1574&gt;0,C1574,0)</f>
        <v>31.949999999999818</v>
      </c>
      <c r="E1574" s="3">
        <f t="shared" ref="E1574:E1637" si="162">IF(C1574&lt;0,-C1574,0)</f>
        <v>0</v>
      </c>
      <c r="F1574" s="3">
        <f t="shared" si="160"/>
        <v>14.842751762660232</v>
      </c>
      <c r="G1574" s="3">
        <f t="shared" si="160"/>
        <v>28.362596468320458</v>
      </c>
      <c r="H1574" s="3">
        <f t="shared" ref="H1574:H1637" si="163">F1574/G1574</f>
        <v>0.52332133199577868</v>
      </c>
      <c r="I1574" s="3">
        <f t="shared" ref="I1574:I1637" si="164">IF(G1574=0,100,100-(100/(1+H1574)))</f>
        <v>34.353968595066505</v>
      </c>
    </row>
    <row r="1575" spans="1:9" ht="15.75" customHeight="1">
      <c r="A1575" s="14">
        <v>37196</v>
      </c>
      <c r="B1575">
        <v>1129.68</v>
      </c>
      <c r="C1575" s="3">
        <f t="shared" si="159"/>
        <v>53.090000000000146</v>
      </c>
      <c r="D1575" s="3">
        <f t="shared" si="161"/>
        <v>53.090000000000146</v>
      </c>
      <c r="E1575" s="3">
        <f t="shared" si="162"/>
        <v>0</v>
      </c>
      <c r="F1575" s="3">
        <f t="shared" si="160"/>
        <v>17.574698065327368</v>
      </c>
      <c r="G1575" s="3">
        <f t="shared" si="160"/>
        <v>26.336696720583284</v>
      </c>
      <c r="H1575" s="3">
        <f t="shared" si="163"/>
        <v>0.66730836641301228</v>
      </c>
      <c r="I1575" s="3">
        <f t="shared" si="164"/>
        <v>40.023092299874655</v>
      </c>
    </row>
    <row r="1576" spans="1:9" ht="15.75" customHeight="1">
      <c r="A1576" s="14">
        <v>37226</v>
      </c>
      <c r="B1576">
        <v>1144.93</v>
      </c>
      <c r="C1576" s="3">
        <f t="shared" si="159"/>
        <v>15.25</v>
      </c>
      <c r="D1576" s="3">
        <f t="shared" si="161"/>
        <v>15.25</v>
      </c>
      <c r="E1576" s="3">
        <f t="shared" si="162"/>
        <v>0</v>
      </c>
      <c r="F1576" s="3">
        <f t="shared" si="160"/>
        <v>17.408648203518272</v>
      </c>
      <c r="G1576" s="3">
        <f t="shared" si="160"/>
        <v>24.455504097684475</v>
      </c>
      <c r="H1576" s="3">
        <f t="shared" si="163"/>
        <v>0.71184990233616074</v>
      </c>
      <c r="I1576" s="3">
        <f t="shared" si="164"/>
        <v>41.583663460487955</v>
      </c>
    </row>
    <row r="1577" spans="1:9" ht="15.75" customHeight="1">
      <c r="A1577" s="14">
        <v>37257</v>
      </c>
      <c r="B1577">
        <v>1140.21</v>
      </c>
      <c r="C1577" s="3">
        <f t="shared" si="159"/>
        <v>-4.7200000000000273</v>
      </c>
      <c r="D1577" s="3">
        <f t="shared" si="161"/>
        <v>0</v>
      </c>
      <c r="E1577" s="3">
        <f t="shared" si="162"/>
        <v>4.7200000000000273</v>
      </c>
      <c r="F1577" s="3">
        <f t="shared" si="160"/>
        <v>16.165173331838396</v>
      </c>
      <c r="G1577" s="3">
        <f t="shared" si="160"/>
        <v>23.045825233564159</v>
      </c>
      <c r="H1577" s="3">
        <f t="shared" si="163"/>
        <v>0.7014360808523048</v>
      </c>
      <c r="I1577" s="3">
        <f t="shared" si="164"/>
        <v>41.226120025674582</v>
      </c>
    </row>
    <row r="1578" spans="1:9" ht="15.75" customHeight="1">
      <c r="A1578" s="14">
        <v>37288</v>
      </c>
      <c r="B1578">
        <v>1100.67</v>
      </c>
      <c r="C1578" s="3">
        <f t="shared" si="159"/>
        <v>-39.539999999999964</v>
      </c>
      <c r="D1578" s="3">
        <f t="shared" si="161"/>
        <v>0</v>
      </c>
      <c r="E1578" s="3">
        <f t="shared" si="162"/>
        <v>39.539999999999964</v>
      </c>
      <c r="F1578" s="3">
        <f t="shared" si="160"/>
        <v>15.010518093849939</v>
      </c>
      <c r="G1578" s="3">
        <f t="shared" si="160"/>
        <v>24.223980574023862</v>
      </c>
      <c r="H1578" s="3">
        <f t="shared" si="163"/>
        <v>0.61965530594695861</v>
      </c>
      <c r="I1578" s="3">
        <f t="shared" si="164"/>
        <v>38.258467938933883</v>
      </c>
    </row>
    <row r="1579" spans="1:9" ht="15.75" customHeight="1">
      <c r="A1579" s="14">
        <v>37316</v>
      </c>
      <c r="B1579">
        <v>1153.79</v>
      </c>
      <c r="C1579" s="3">
        <f t="shared" ref="C1579:C1642" si="165">B1579-B1578</f>
        <v>53.119999999999891</v>
      </c>
      <c r="D1579" s="3">
        <f t="shared" si="161"/>
        <v>53.119999999999891</v>
      </c>
      <c r="E1579" s="3">
        <f t="shared" si="162"/>
        <v>0</v>
      </c>
      <c r="F1579" s="3">
        <f t="shared" si="160"/>
        <v>17.732623944289223</v>
      </c>
      <c r="G1579" s="3">
        <f t="shared" si="160"/>
        <v>22.49369624730787</v>
      </c>
      <c r="H1579" s="3">
        <f t="shared" si="163"/>
        <v>0.78833748572609674</v>
      </c>
      <c r="I1579" s="3">
        <f t="shared" si="164"/>
        <v>44.082142885128739</v>
      </c>
    </row>
    <row r="1580" spans="1:9" ht="15.75" customHeight="1">
      <c r="A1580" s="14">
        <v>37347</v>
      </c>
      <c r="B1580">
        <v>1111.93</v>
      </c>
      <c r="C1580" s="3">
        <f t="shared" si="165"/>
        <v>-41.8599999999999</v>
      </c>
      <c r="D1580" s="3">
        <f t="shared" si="161"/>
        <v>0</v>
      </c>
      <c r="E1580" s="3">
        <f t="shared" si="162"/>
        <v>41.8599999999999</v>
      </c>
      <c r="F1580" s="3">
        <f t="shared" si="160"/>
        <v>16.466007948268565</v>
      </c>
      <c r="G1580" s="3">
        <f t="shared" si="160"/>
        <v>23.877003658214445</v>
      </c>
      <c r="H1580" s="3">
        <f t="shared" si="163"/>
        <v>0.68961785088154215</v>
      </c>
      <c r="I1580" s="3">
        <f t="shared" si="164"/>
        <v>40.81501923773714</v>
      </c>
    </row>
    <row r="1581" spans="1:9" ht="15.75" customHeight="1">
      <c r="A1581" s="14">
        <v>37377</v>
      </c>
      <c r="B1581">
        <v>1079.25</v>
      </c>
      <c r="C1581" s="3">
        <f t="shared" si="165"/>
        <v>-32.680000000000064</v>
      </c>
      <c r="D1581" s="3">
        <f t="shared" si="161"/>
        <v>0</v>
      </c>
      <c r="E1581" s="3">
        <f t="shared" si="162"/>
        <v>32.680000000000064</v>
      </c>
      <c r="F1581" s="3">
        <f t="shared" si="160"/>
        <v>15.289864523392239</v>
      </c>
      <c r="G1581" s="3">
        <f t="shared" si="160"/>
        <v>24.505789111199132</v>
      </c>
      <c r="H1581" s="3">
        <f t="shared" si="163"/>
        <v>0.6239286747311793</v>
      </c>
      <c r="I1581" s="3">
        <f t="shared" si="164"/>
        <v>38.420940798675325</v>
      </c>
    </row>
    <row r="1582" spans="1:9" ht="15.75" customHeight="1">
      <c r="A1582" s="14">
        <v>37408</v>
      </c>
      <c r="B1582">
        <v>1014.02</v>
      </c>
      <c r="C1582" s="3">
        <f t="shared" si="165"/>
        <v>-65.230000000000018</v>
      </c>
      <c r="D1582" s="3">
        <f t="shared" si="161"/>
        <v>0</v>
      </c>
      <c r="E1582" s="3">
        <f t="shared" si="162"/>
        <v>65.230000000000018</v>
      </c>
      <c r="F1582" s="3">
        <f t="shared" si="160"/>
        <v>14.197731343149936</v>
      </c>
      <c r="G1582" s="3">
        <f t="shared" si="160"/>
        <v>27.414661317542052</v>
      </c>
      <c r="H1582" s="3">
        <f t="shared" si="163"/>
        <v>0.51788826346233618</v>
      </c>
      <c r="I1582" s="3">
        <f t="shared" si="164"/>
        <v>34.118997816151605</v>
      </c>
    </row>
    <row r="1583" spans="1:9" ht="15.75" customHeight="1">
      <c r="A1583" s="14">
        <v>37438</v>
      </c>
      <c r="B1583">
        <v>903.59</v>
      </c>
      <c r="C1583" s="3">
        <f t="shared" si="165"/>
        <v>-110.42999999999995</v>
      </c>
      <c r="D1583" s="3">
        <f t="shared" si="161"/>
        <v>0</v>
      </c>
      <c r="E1583" s="3">
        <f t="shared" si="162"/>
        <v>110.42999999999995</v>
      </c>
      <c r="F1583" s="3">
        <f t="shared" si="160"/>
        <v>13.183607675782083</v>
      </c>
      <c r="G1583" s="3">
        <f t="shared" si="160"/>
        <v>33.344328366289048</v>
      </c>
      <c r="H1583" s="3">
        <f t="shared" si="163"/>
        <v>0.39537781451044746</v>
      </c>
      <c r="I1583" s="3">
        <f t="shared" si="164"/>
        <v>28.334821608810032</v>
      </c>
    </row>
    <row r="1584" spans="1:9" ht="15.75" customHeight="1">
      <c r="A1584" s="14">
        <v>37469</v>
      </c>
      <c r="B1584">
        <v>912.55</v>
      </c>
      <c r="C1584" s="3">
        <f t="shared" si="165"/>
        <v>8.9599999999999227</v>
      </c>
      <c r="D1584" s="3">
        <f t="shared" si="161"/>
        <v>8.9599999999999227</v>
      </c>
      <c r="E1584" s="3">
        <f t="shared" si="162"/>
        <v>0</v>
      </c>
      <c r="F1584" s="3">
        <f t="shared" si="160"/>
        <v>12.881921413226214</v>
      </c>
      <c r="G1584" s="3">
        <f t="shared" si="160"/>
        <v>30.96259062583983</v>
      </c>
      <c r="H1584" s="3">
        <f t="shared" si="163"/>
        <v>0.4160479195327928</v>
      </c>
      <c r="I1584" s="3">
        <f t="shared" si="164"/>
        <v>29.380920927454397</v>
      </c>
    </row>
    <row r="1585" spans="1:9" ht="15.75" customHeight="1">
      <c r="A1585" s="14">
        <v>37500</v>
      </c>
      <c r="B1585">
        <v>867.81</v>
      </c>
      <c r="C1585" s="3">
        <f t="shared" si="165"/>
        <v>-44.740000000000009</v>
      </c>
      <c r="D1585" s="3">
        <f t="shared" si="161"/>
        <v>0</v>
      </c>
      <c r="E1585" s="3">
        <f t="shared" si="162"/>
        <v>44.740000000000009</v>
      </c>
      <c r="F1585" s="3">
        <f t="shared" si="160"/>
        <v>11.961784169424343</v>
      </c>
      <c r="G1585" s="3">
        <f t="shared" si="160"/>
        <v>31.946691295422703</v>
      </c>
      <c r="H1585" s="3">
        <f t="shared" si="163"/>
        <v>0.37442951630919658</v>
      </c>
      <c r="I1585" s="3">
        <f t="shared" si="164"/>
        <v>27.242540404302815</v>
      </c>
    </row>
    <row r="1586" spans="1:9" ht="15.75" customHeight="1">
      <c r="A1586" s="14">
        <v>37530</v>
      </c>
      <c r="B1586">
        <v>854.63</v>
      </c>
      <c r="C1586" s="3">
        <f t="shared" si="165"/>
        <v>-13.17999999999995</v>
      </c>
      <c r="D1586" s="3">
        <f t="shared" si="161"/>
        <v>0</v>
      </c>
      <c r="E1586" s="3">
        <f t="shared" si="162"/>
        <v>13.17999999999995</v>
      </c>
      <c r="F1586" s="3">
        <f t="shared" si="160"/>
        <v>11.10737101446546</v>
      </c>
      <c r="G1586" s="3">
        <f t="shared" si="160"/>
        <v>30.606213345749648</v>
      </c>
      <c r="H1586" s="3">
        <f t="shared" si="163"/>
        <v>0.36291229133733938</v>
      </c>
      <c r="I1586" s="3">
        <f t="shared" si="164"/>
        <v>26.627706980412981</v>
      </c>
    </row>
    <row r="1587" spans="1:9" ht="15.75" customHeight="1">
      <c r="A1587" s="14">
        <v>37561</v>
      </c>
      <c r="B1587">
        <v>909.93</v>
      </c>
      <c r="C1587" s="3">
        <f t="shared" si="165"/>
        <v>55.299999999999955</v>
      </c>
      <c r="D1587" s="3">
        <f t="shared" si="161"/>
        <v>55.299999999999955</v>
      </c>
      <c r="E1587" s="3">
        <f t="shared" si="162"/>
        <v>0</v>
      </c>
      <c r="F1587" s="3">
        <f t="shared" si="160"/>
        <v>14.263987370575068</v>
      </c>
      <c r="G1587" s="3">
        <f t="shared" si="160"/>
        <v>28.420055249624674</v>
      </c>
      <c r="H1587" s="3">
        <f t="shared" si="163"/>
        <v>0.50189865027667191</v>
      </c>
      <c r="I1587" s="3">
        <f t="shared" si="164"/>
        <v>33.417611114053187</v>
      </c>
    </row>
    <row r="1588" spans="1:9" ht="15.75" customHeight="1">
      <c r="A1588" s="14">
        <v>37591</v>
      </c>
      <c r="B1588">
        <v>899.18</v>
      </c>
      <c r="C1588" s="3">
        <f t="shared" si="165"/>
        <v>-10.75</v>
      </c>
      <c r="D1588" s="3">
        <f t="shared" si="161"/>
        <v>0</v>
      </c>
      <c r="E1588" s="3">
        <f t="shared" si="162"/>
        <v>10.75</v>
      </c>
      <c r="F1588" s="3">
        <f t="shared" si="160"/>
        <v>13.245131129819706</v>
      </c>
      <c r="G1588" s="3">
        <f t="shared" si="160"/>
        <v>27.157908446080054</v>
      </c>
      <c r="H1588" s="3">
        <f t="shared" si="163"/>
        <v>0.48770807060186167</v>
      </c>
      <c r="I1588" s="3">
        <f t="shared" si="164"/>
        <v>32.782511585391632</v>
      </c>
    </row>
    <row r="1589" spans="1:9" ht="15.75" customHeight="1">
      <c r="A1589" s="14">
        <v>37622</v>
      </c>
      <c r="B1589">
        <v>895.84</v>
      </c>
      <c r="C1589" s="3">
        <f t="shared" si="165"/>
        <v>-3.3399999999999181</v>
      </c>
      <c r="D1589" s="3">
        <f t="shared" si="161"/>
        <v>0</v>
      </c>
      <c r="E1589" s="3">
        <f t="shared" si="162"/>
        <v>3.3399999999999181</v>
      </c>
      <c r="F1589" s="3">
        <f t="shared" si="160"/>
        <v>12.299050334832584</v>
      </c>
      <c r="G1589" s="3">
        <f t="shared" si="160"/>
        <v>25.456629271360043</v>
      </c>
      <c r="H1589" s="3">
        <f t="shared" si="163"/>
        <v>0.48313742576553992</v>
      </c>
      <c r="I1589" s="3">
        <f t="shared" si="164"/>
        <v>32.575364721590958</v>
      </c>
    </row>
    <row r="1590" spans="1:9" ht="15.75" customHeight="1">
      <c r="A1590" s="14">
        <v>37653</v>
      </c>
      <c r="B1590">
        <v>837.03</v>
      </c>
      <c r="C1590" s="3">
        <f t="shared" si="165"/>
        <v>-58.810000000000059</v>
      </c>
      <c r="D1590" s="3">
        <f t="shared" si="161"/>
        <v>0</v>
      </c>
      <c r="E1590" s="3">
        <f t="shared" si="162"/>
        <v>58.810000000000059</v>
      </c>
      <c r="F1590" s="3">
        <f t="shared" si="160"/>
        <v>11.420546739487401</v>
      </c>
      <c r="G1590" s="3">
        <f t="shared" si="160"/>
        <v>27.83901289483433</v>
      </c>
      <c r="H1590" s="3">
        <f t="shared" si="163"/>
        <v>0.41023533350949171</v>
      </c>
      <c r="I1590" s="3">
        <f t="shared" si="164"/>
        <v>29.089849315332771</v>
      </c>
    </row>
    <row r="1591" spans="1:9" ht="15.75" customHeight="1">
      <c r="A1591" s="14">
        <v>37681</v>
      </c>
      <c r="B1591">
        <v>846.63</v>
      </c>
      <c r="C1591" s="3">
        <f t="shared" si="165"/>
        <v>9.6000000000000227</v>
      </c>
      <c r="D1591" s="3">
        <f t="shared" si="161"/>
        <v>9.6000000000000227</v>
      </c>
      <c r="E1591" s="3">
        <f t="shared" si="162"/>
        <v>0</v>
      </c>
      <c r="F1591" s="3">
        <f t="shared" si="160"/>
        <v>11.290507686666874</v>
      </c>
      <c r="G1591" s="3">
        <f t="shared" si="160"/>
        <v>25.850511973774733</v>
      </c>
      <c r="H1591" s="3">
        <f t="shared" si="163"/>
        <v>0.43676147296893231</v>
      </c>
      <c r="I1591" s="3">
        <f t="shared" si="164"/>
        <v>30.399024555301153</v>
      </c>
    </row>
    <row r="1592" spans="1:9" ht="15.75" customHeight="1">
      <c r="A1592" s="14">
        <v>37712</v>
      </c>
      <c r="B1592">
        <v>890.03</v>
      </c>
      <c r="C1592" s="3">
        <f t="shared" si="165"/>
        <v>43.399999999999977</v>
      </c>
      <c r="D1592" s="3">
        <f t="shared" si="161"/>
        <v>43.399999999999977</v>
      </c>
      <c r="E1592" s="3">
        <f t="shared" si="162"/>
        <v>0</v>
      </c>
      <c r="F1592" s="3">
        <f t="shared" si="160"/>
        <v>13.584042851904954</v>
      </c>
      <c r="G1592" s="3">
        <f t="shared" si="160"/>
        <v>24.004046832790824</v>
      </c>
      <c r="H1592" s="3">
        <f t="shared" si="163"/>
        <v>0.56590636347819556</v>
      </c>
      <c r="I1592" s="3">
        <f t="shared" si="164"/>
        <v>36.139221135879595</v>
      </c>
    </row>
    <row r="1593" spans="1:9" ht="15.75" customHeight="1">
      <c r="A1593" s="14">
        <v>37742</v>
      </c>
      <c r="B1593">
        <v>935.96</v>
      </c>
      <c r="C1593" s="3">
        <f t="shared" si="165"/>
        <v>45.930000000000064</v>
      </c>
      <c r="D1593" s="3">
        <f t="shared" si="161"/>
        <v>45.930000000000064</v>
      </c>
      <c r="E1593" s="3">
        <f t="shared" si="162"/>
        <v>0</v>
      </c>
      <c r="F1593" s="3">
        <f t="shared" si="160"/>
        <v>15.894468362483176</v>
      </c>
      <c r="G1593" s="3">
        <f t="shared" si="160"/>
        <v>22.289472059020053</v>
      </c>
      <c r="H1593" s="3">
        <f t="shared" si="163"/>
        <v>0.71309308360450996</v>
      </c>
      <c r="I1593" s="3">
        <f t="shared" si="164"/>
        <v>41.626055841874901</v>
      </c>
    </row>
    <row r="1594" spans="1:9" ht="15.75" customHeight="1">
      <c r="A1594" s="14">
        <v>37773</v>
      </c>
      <c r="B1594">
        <v>988</v>
      </c>
      <c r="C1594" s="3">
        <f t="shared" si="165"/>
        <v>52.039999999999964</v>
      </c>
      <c r="D1594" s="3">
        <f t="shared" si="161"/>
        <v>52.039999999999964</v>
      </c>
      <c r="E1594" s="3">
        <f t="shared" si="162"/>
        <v>0</v>
      </c>
      <c r="F1594" s="3">
        <f t="shared" si="160"/>
        <v>18.47629205087723</v>
      </c>
      <c r="G1594" s="3">
        <f t="shared" si="160"/>
        <v>20.697366911947192</v>
      </c>
      <c r="H1594" s="3">
        <f t="shared" si="163"/>
        <v>0.89268804720334327</v>
      </c>
      <c r="I1594" s="3">
        <f t="shared" si="164"/>
        <v>47.165091390648811</v>
      </c>
    </row>
    <row r="1595" spans="1:9" ht="15.75" customHeight="1">
      <c r="A1595" s="14">
        <v>37803</v>
      </c>
      <c r="B1595">
        <v>992.54</v>
      </c>
      <c r="C1595" s="3">
        <f t="shared" si="165"/>
        <v>4.5399999999999636</v>
      </c>
      <c r="D1595" s="3">
        <f t="shared" si="161"/>
        <v>4.5399999999999636</v>
      </c>
      <c r="E1595" s="3">
        <f t="shared" si="162"/>
        <v>0</v>
      </c>
      <c r="F1595" s="3">
        <f t="shared" si="160"/>
        <v>17.480842618671712</v>
      </c>
      <c r="G1595" s="3">
        <f t="shared" si="160"/>
        <v>19.218983561093818</v>
      </c>
      <c r="H1595" s="3">
        <f t="shared" si="163"/>
        <v>0.90956124516695391</v>
      </c>
      <c r="I1595" s="3">
        <f t="shared" si="164"/>
        <v>47.631949353236401</v>
      </c>
    </row>
    <row r="1596" spans="1:9" ht="15.75" customHeight="1">
      <c r="A1596" s="14">
        <v>37834</v>
      </c>
      <c r="B1596">
        <v>989.53</v>
      </c>
      <c r="C1596" s="3">
        <f t="shared" si="165"/>
        <v>-3.0099999999999909</v>
      </c>
      <c r="D1596" s="3">
        <f t="shared" si="161"/>
        <v>0</v>
      </c>
      <c r="E1596" s="3">
        <f t="shared" si="162"/>
        <v>3.0099999999999909</v>
      </c>
      <c r="F1596" s="3">
        <f t="shared" si="160"/>
        <v>16.232211003052303</v>
      </c>
      <c r="G1596" s="3">
        <f t="shared" si="160"/>
        <v>18.061199021015689</v>
      </c>
      <c r="H1596" s="3">
        <f t="shared" si="163"/>
        <v>0.89873385394650662</v>
      </c>
      <c r="I1596" s="3">
        <f t="shared" si="164"/>
        <v>47.33332436657691</v>
      </c>
    </row>
    <row r="1597" spans="1:9" ht="15.75" customHeight="1">
      <c r="A1597" s="14">
        <v>37865</v>
      </c>
      <c r="B1597">
        <v>1019.44</v>
      </c>
      <c r="C1597" s="3">
        <f t="shared" si="165"/>
        <v>29.910000000000082</v>
      </c>
      <c r="D1597" s="3">
        <f t="shared" si="161"/>
        <v>29.910000000000082</v>
      </c>
      <c r="E1597" s="3">
        <f t="shared" si="162"/>
        <v>0</v>
      </c>
      <c r="F1597" s="3">
        <f t="shared" si="160"/>
        <v>17.209195931405716</v>
      </c>
      <c r="G1597" s="3">
        <f t="shared" si="160"/>
        <v>16.771113376657425</v>
      </c>
      <c r="H1597" s="3">
        <f t="shared" si="163"/>
        <v>1.0261212565265958</v>
      </c>
      <c r="I1597" s="3">
        <f t="shared" si="164"/>
        <v>50.644612370618326</v>
      </c>
    </row>
    <row r="1598" spans="1:9" ht="15.75" customHeight="1">
      <c r="A1598" s="14">
        <v>37895</v>
      </c>
      <c r="B1598">
        <v>1038.73</v>
      </c>
      <c r="C1598" s="3">
        <f t="shared" si="165"/>
        <v>19.289999999999964</v>
      </c>
      <c r="D1598" s="3">
        <f t="shared" si="161"/>
        <v>19.289999999999964</v>
      </c>
      <c r="E1598" s="3">
        <f t="shared" si="162"/>
        <v>0</v>
      </c>
      <c r="F1598" s="3">
        <f t="shared" si="160"/>
        <v>17.357824793448163</v>
      </c>
      <c r="G1598" s="3">
        <f t="shared" si="160"/>
        <v>15.573176706896179</v>
      </c>
      <c r="H1598" s="3">
        <f t="shared" si="163"/>
        <v>1.1145975622148883</v>
      </c>
      <c r="I1598" s="3">
        <f t="shared" si="164"/>
        <v>52.709677819141518</v>
      </c>
    </row>
    <row r="1599" spans="1:9" ht="15.75" customHeight="1">
      <c r="A1599" s="14">
        <v>37926</v>
      </c>
      <c r="B1599">
        <v>1049.9000000000001</v>
      </c>
      <c r="C1599" s="3">
        <f t="shared" si="165"/>
        <v>11.170000000000073</v>
      </c>
      <c r="D1599" s="3">
        <f t="shared" si="161"/>
        <v>11.170000000000073</v>
      </c>
      <c r="E1599" s="3">
        <f t="shared" si="162"/>
        <v>0</v>
      </c>
      <c r="F1599" s="3">
        <f t="shared" si="160"/>
        <v>16.915837308201869</v>
      </c>
      <c r="G1599" s="3">
        <f t="shared" si="160"/>
        <v>14.46080694211788</v>
      </c>
      <c r="H1599" s="3">
        <f t="shared" si="163"/>
        <v>1.1697713257573186</v>
      </c>
      <c r="I1599" s="3">
        <f t="shared" si="164"/>
        <v>53.912193965833318</v>
      </c>
    </row>
    <row r="1600" spans="1:9" ht="15.75" customHeight="1">
      <c r="A1600" s="14">
        <v>37956</v>
      </c>
      <c r="B1600">
        <v>1080.6400000000001</v>
      </c>
      <c r="C1600" s="3">
        <f t="shared" si="165"/>
        <v>30.740000000000009</v>
      </c>
      <c r="D1600" s="3">
        <f t="shared" si="161"/>
        <v>30.740000000000009</v>
      </c>
      <c r="E1600" s="3">
        <f t="shared" si="162"/>
        <v>0</v>
      </c>
      <c r="F1600" s="3">
        <f t="shared" si="160"/>
        <v>17.903277500473163</v>
      </c>
      <c r="G1600" s="3">
        <f t="shared" si="160"/>
        <v>13.427892160538033</v>
      </c>
      <c r="H1600" s="3">
        <f t="shared" si="163"/>
        <v>1.3332902354613345</v>
      </c>
      <c r="I1600" s="3">
        <f t="shared" si="164"/>
        <v>57.142065534668411</v>
      </c>
    </row>
    <row r="1601" spans="1:9" ht="15.75" customHeight="1">
      <c r="A1601" s="14">
        <v>37987</v>
      </c>
      <c r="B1601">
        <v>1132.52</v>
      </c>
      <c r="C1601" s="3">
        <f t="shared" si="165"/>
        <v>51.879999999999882</v>
      </c>
      <c r="D1601" s="3">
        <f t="shared" si="161"/>
        <v>51.879999999999882</v>
      </c>
      <c r="E1601" s="3">
        <f t="shared" si="162"/>
        <v>0</v>
      </c>
      <c r="F1601" s="3">
        <f t="shared" si="160"/>
        <v>20.330186250439358</v>
      </c>
      <c r="G1601" s="3">
        <f t="shared" si="160"/>
        <v>12.468757006213888</v>
      </c>
      <c r="H1601" s="3">
        <f t="shared" si="163"/>
        <v>1.6304902116792936</v>
      </c>
      <c r="I1601" s="3">
        <f t="shared" si="164"/>
        <v>61.984272149729676</v>
      </c>
    </row>
    <row r="1602" spans="1:9" ht="15.75" customHeight="1">
      <c r="A1602" s="14">
        <v>38018</v>
      </c>
      <c r="B1602">
        <v>1143.3599999999999</v>
      </c>
      <c r="C1602" s="3">
        <f t="shared" si="165"/>
        <v>10.839999999999918</v>
      </c>
      <c r="D1602" s="3">
        <f t="shared" si="161"/>
        <v>10.839999999999918</v>
      </c>
      <c r="E1602" s="3">
        <f t="shared" si="162"/>
        <v>0</v>
      </c>
      <c r="F1602" s="3">
        <f t="shared" si="160"/>
        <v>19.652315803979398</v>
      </c>
      <c r="G1602" s="3">
        <f t="shared" si="160"/>
        <v>11.57813150577004</v>
      </c>
      <c r="H1602" s="3">
        <f t="shared" si="163"/>
        <v>1.6973650536086531</v>
      </c>
      <c r="I1602" s="3">
        <f t="shared" si="164"/>
        <v>62.926782985411776</v>
      </c>
    </row>
    <row r="1603" spans="1:9" ht="15.75" customHeight="1">
      <c r="A1603" s="14">
        <v>38047</v>
      </c>
      <c r="B1603">
        <v>1123.98</v>
      </c>
      <c r="C1603" s="3">
        <f t="shared" si="165"/>
        <v>-19.379999999999882</v>
      </c>
      <c r="D1603" s="3">
        <f t="shared" si="161"/>
        <v>0</v>
      </c>
      <c r="E1603" s="3">
        <f t="shared" si="162"/>
        <v>19.379999999999882</v>
      </c>
      <c r="F1603" s="3">
        <f t="shared" si="160"/>
        <v>18.248578960838014</v>
      </c>
      <c r="G1603" s="3">
        <f t="shared" si="160"/>
        <v>12.135407826786459</v>
      </c>
      <c r="H1603" s="3">
        <f t="shared" si="163"/>
        <v>1.5037466578220771</v>
      </c>
      <c r="I1603" s="3">
        <f t="shared" si="164"/>
        <v>60.05985681994418</v>
      </c>
    </row>
    <row r="1604" spans="1:9" ht="15.75" customHeight="1">
      <c r="A1604" s="14">
        <v>38078</v>
      </c>
      <c r="B1604">
        <v>1133.3599999999999</v>
      </c>
      <c r="C1604" s="3">
        <f t="shared" si="165"/>
        <v>9.3799999999998818</v>
      </c>
      <c r="D1604" s="3">
        <f t="shared" si="161"/>
        <v>9.3799999999998818</v>
      </c>
      <c r="E1604" s="3">
        <f t="shared" si="162"/>
        <v>0</v>
      </c>
      <c r="F1604" s="3">
        <f t="shared" si="160"/>
        <v>17.61510903506386</v>
      </c>
      <c r="G1604" s="3">
        <f t="shared" si="160"/>
        <v>11.268592982015997</v>
      </c>
      <c r="H1604" s="3">
        <f t="shared" si="163"/>
        <v>1.5632039477489801</v>
      </c>
      <c r="I1604" s="3">
        <f t="shared" si="164"/>
        <v>60.98632725350609</v>
      </c>
    </row>
    <row r="1605" spans="1:9" ht="15.75" customHeight="1">
      <c r="A1605" s="14">
        <v>38108</v>
      </c>
      <c r="B1605">
        <v>1102.78</v>
      </c>
      <c r="C1605" s="3">
        <f t="shared" si="165"/>
        <v>-30.579999999999927</v>
      </c>
      <c r="D1605" s="3">
        <f t="shared" si="161"/>
        <v>0</v>
      </c>
      <c r="E1605" s="3">
        <f t="shared" si="162"/>
        <v>30.579999999999927</v>
      </c>
      <c r="F1605" s="3">
        <f t="shared" si="160"/>
        <v>16.356886961130726</v>
      </c>
      <c r="G1605" s="3">
        <f t="shared" si="160"/>
        <v>12.647979197586279</v>
      </c>
      <c r="H1605" s="3">
        <f t="shared" si="163"/>
        <v>1.2932411340660845</v>
      </c>
      <c r="I1605" s="3">
        <f t="shared" si="164"/>
        <v>56.393595721574783</v>
      </c>
    </row>
    <row r="1606" spans="1:9" ht="15.75" customHeight="1">
      <c r="A1606" s="14">
        <v>38139</v>
      </c>
      <c r="B1606">
        <v>1132.76</v>
      </c>
      <c r="C1606" s="3">
        <f t="shared" si="165"/>
        <v>29.980000000000018</v>
      </c>
      <c r="D1606" s="3">
        <f t="shared" si="161"/>
        <v>29.980000000000018</v>
      </c>
      <c r="E1606" s="3">
        <f t="shared" si="162"/>
        <v>0</v>
      </c>
      <c r="F1606" s="3">
        <f t="shared" si="160"/>
        <v>17.329966463907105</v>
      </c>
      <c r="G1606" s="3">
        <f t="shared" si="160"/>
        <v>11.744552112044403</v>
      </c>
      <c r="H1606" s="3">
        <f t="shared" si="163"/>
        <v>1.4755749132514544</v>
      </c>
      <c r="I1606" s="3">
        <f t="shared" si="164"/>
        <v>59.605342797460082</v>
      </c>
    </row>
    <row r="1607" spans="1:9" ht="15.75" customHeight="1">
      <c r="A1607" s="14">
        <v>38169</v>
      </c>
      <c r="B1607">
        <v>1105.8499999999999</v>
      </c>
      <c r="C1607" s="3">
        <f t="shared" si="165"/>
        <v>-26.910000000000082</v>
      </c>
      <c r="D1607" s="3">
        <f t="shared" si="161"/>
        <v>0</v>
      </c>
      <c r="E1607" s="3">
        <f t="shared" si="162"/>
        <v>26.910000000000082</v>
      </c>
      <c r="F1607" s="3">
        <f t="shared" si="160"/>
        <v>16.092111716485171</v>
      </c>
      <c r="G1607" s="3">
        <f t="shared" si="160"/>
        <v>12.827798389755523</v>
      </c>
      <c r="H1607" s="3">
        <f t="shared" si="163"/>
        <v>1.2544718296583597</v>
      </c>
      <c r="I1607" s="3">
        <f t="shared" si="164"/>
        <v>55.643712782539446</v>
      </c>
    </row>
    <row r="1608" spans="1:9" ht="15.75" customHeight="1">
      <c r="A1608" s="14">
        <v>38200</v>
      </c>
      <c r="B1608">
        <v>1088.94</v>
      </c>
      <c r="C1608" s="3">
        <f t="shared" si="165"/>
        <v>-16.909999999999854</v>
      </c>
      <c r="D1608" s="3">
        <f t="shared" si="161"/>
        <v>0</v>
      </c>
      <c r="E1608" s="3">
        <f t="shared" si="162"/>
        <v>16.909999999999854</v>
      </c>
      <c r="F1608" s="3">
        <f t="shared" si="160"/>
        <v>14.942675165307659</v>
      </c>
      <c r="G1608" s="3">
        <f t="shared" si="160"/>
        <v>13.11938421905869</v>
      </c>
      <c r="H1608" s="3">
        <f t="shared" si="163"/>
        <v>1.1389768693259439</v>
      </c>
      <c r="I1608" s="3">
        <f t="shared" si="164"/>
        <v>53.248676302183199</v>
      </c>
    </row>
    <row r="1609" spans="1:9" ht="15.75" customHeight="1">
      <c r="A1609" s="14">
        <v>38231</v>
      </c>
      <c r="B1609">
        <v>1117.6600000000001</v>
      </c>
      <c r="C1609" s="3">
        <f t="shared" si="165"/>
        <v>28.720000000000027</v>
      </c>
      <c r="D1609" s="3">
        <f t="shared" si="161"/>
        <v>28.720000000000027</v>
      </c>
      <c r="E1609" s="3">
        <f t="shared" si="162"/>
        <v>0</v>
      </c>
      <c r="F1609" s="3">
        <f t="shared" si="160"/>
        <v>15.926769796357112</v>
      </c>
      <c r="G1609" s="3">
        <f t="shared" si="160"/>
        <v>12.182285346268783</v>
      </c>
      <c r="H1609" s="3">
        <f t="shared" si="163"/>
        <v>1.3073712643937698</v>
      </c>
      <c r="I1609" s="3">
        <f t="shared" si="164"/>
        <v>56.660637348158346</v>
      </c>
    </row>
    <row r="1610" spans="1:9" ht="15.75" customHeight="1">
      <c r="A1610" s="14">
        <v>38261</v>
      </c>
      <c r="B1610">
        <v>1117.21</v>
      </c>
      <c r="C1610" s="3">
        <f t="shared" si="165"/>
        <v>-0.45000000000004547</v>
      </c>
      <c r="D1610" s="3">
        <f t="shared" si="161"/>
        <v>0</v>
      </c>
      <c r="E1610" s="3">
        <f t="shared" si="162"/>
        <v>0.45000000000004547</v>
      </c>
      <c r="F1610" s="3">
        <f t="shared" si="160"/>
        <v>14.789143382331604</v>
      </c>
      <c r="G1610" s="3">
        <f t="shared" si="160"/>
        <v>11.344264964392446</v>
      </c>
      <c r="H1610" s="3">
        <f t="shared" si="163"/>
        <v>1.3036669567179535</v>
      </c>
      <c r="I1610" s="3">
        <f t="shared" si="164"/>
        <v>56.590947442129163</v>
      </c>
    </row>
    <row r="1611" spans="1:9" ht="15.75" customHeight="1">
      <c r="A1611" s="14">
        <v>38292</v>
      </c>
      <c r="B1611">
        <v>1168.94</v>
      </c>
      <c r="C1611" s="3">
        <f t="shared" si="165"/>
        <v>51.730000000000018</v>
      </c>
      <c r="D1611" s="3">
        <f t="shared" si="161"/>
        <v>51.730000000000018</v>
      </c>
      <c r="E1611" s="3">
        <f t="shared" si="162"/>
        <v>0</v>
      </c>
      <c r="F1611" s="3">
        <f t="shared" si="160"/>
        <v>17.427775997879348</v>
      </c>
      <c r="G1611" s="3">
        <f t="shared" si="160"/>
        <v>10.5339603240787</v>
      </c>
      <c r="H1611" s="3">
        <f t="shared" si="163"/>
        <v>1.6544372165559282</v>
      </c>
      <c r="I1611" s="3">
        <f t="shared" si="164"/>
        <v>62.327231031763596</v>
      </c>
    </row>
    <row r="1612" spans="1:9" ht="15.75" customHeight="1">
      <c r="A1612" s="14">
        <v>38322</v>
      </c>
      <c r="B1612">
        <v>1199.21</v>
      </c>
      <c r="C1612" s="3">
        <f t="shared" si="165"/>
        <v>30.269999999999982</v>
      </c>
      <c r="D1612" s="3">
        <f t="shared" si="161"/>
        <v>30.269999999999982</v>
      </c>
      <c r="E1612" s="3">
        <f t="shared" si="162"/>
        <v>0</v>
      </c>
      <c r="F1612" s="3">
        <f t="shared" si="160"/>
        <v>18.345077712316538</v>
      </c>
      <c r="G1612" s="3">
        <f t="shared" si="160"/>
        <v>9.7815345866445078</v>
      </c>
      <c r="H1612" s="3">
        <f t="shared" si="163"/>
        <v>1.875480534247101</v>
      </c>
      <c r="I1612" s="3">
        <f t="shared" si="164"/>
        <v>65.223203979649469</v>
      </c>
    </row>
    <row r="1613" spans="1:9" ht="15.75" customHeight="1">
      <c r="A1613" s="14">
        <v>38353</v>
      </c>
      <c r="B1613">
        <v>1181.4100000000001</v>
      </c>
      <c r="C1613" s="3">
        <f t="shared" si="165"/>
        <v>-17.799999999999955</v>
      </c>
      <c r="D1613" s="3">
        <f t="shared" si="161"/>
        <v>0</v>
      </c>
      <c r="E1613" s="3">
        <f t="shared" si="162"/>
        <v>17.799999999999955</v>
      </c>
      <c r="F1613" s="3">
        <f t="shared" si="160"/>
        <v>17.034715018579643</v>
      </c>
      <c r="G1613" s="3">
        <f t="shared" si="160"/>
        <v>10.354282116169896</v>
      </c>
      <c r="H1613" s="3">
        <f t="shared" si="163"/>
        <v>1.6451855210683475</v>
      </c>
      <c r="I1613" s="3">
        <f t="shared" si="164"/>
        <v>62.19546825599906</v>
      </c>
    </row>
    <row r="1614" spans="1:9" ht="15.75" customHeight="1">
      <c r="A1614" s="14">
        <v>38384</v>
      </c>
      <c r="B1614">
        <v>1199.6300000000001</v>
      </c>
      <c r="C1614" s="3">
        <f t="shared" si="165"/>
        <v>18.220000000000027</v>
      </c>
      <c r="D1614" s="3">
        <f t="shared" si="161"/>
        <v>18.220000000000027</v>
      </c>
      <c r="E1614" s="3">
        <f t="shared" si="162"/>
        <v>0</v>
      </c>
      <c r="F1614" s="3">
        <f t="shared" si="160"/>
        <v>17.119378231538242</v>
      </c>
      <c r="G1614" s="3">
        <f t="shared" si="160"/>
        <v>9.6146905364434758</v>
      </c>
      <c r="H1614" s="3">
        <f t="shared" si="163"/>
        <v>1.7805438632318986</v>
      </c>
      <c r="I1614" s="3">
        <f t="shared" si="164"/>
        <v>64.035812805424541</v>
      </c>
    </row>
    <row r="1615" spans="1:9" ht="15.75" customHeight="1">
      <c r="A1615" s="14">
        <v>38412</v>
      </c>
      <c r="B1615">
        <v>1194.9000000000001</v>
      </c>
      <c r="C1615" s="3">
        <f t="shared" si="165"/>
        <v>-4.7300000000000182</v>
      </c>
      <c r="D1615" s="3">
        <f t="shared" si="161"/>
        <v>0</v>
      </c>
      <c r="E1615" s="3">
        <f t="shared" si="162"/>
        <v>4.7300000000000182</v>
      </c>
      <c r="F1615" s="3">
        <f t="shared" si="160"/>
        <v>15.896565500714081</v>
      </c>
      <c r="G1615" s="3">
        <f t="shared" si="160"/>
        <v>9.2657840695546572</v>
      </c>
      <c r="H1615" s="3">
        <f t="shared" si="163"/>
        <v>1.7156201117341729</v>
      </c>
      <c r="I1615" s="3">
        <f t="shared" si="164"/>
        <v>63.175998156774284</v>
      </c>
    </row>
    <row r="1616" spans="1:9" ht="15.75" customHeight="1">
      <c r="A1616" s="14">
        <v>38443</v>
      </c>
      <c r="B1616">
        <v>1164.43</v>
      </c>
      <c r="C1616" s="3">
        <f t="shared" si="165"/>
        <v>-30.470000000000027</v>
      </c>
      <c r="D1616" s="3">
        <f t="shared" si="161"/>
        <v>0</v>
      </c>
      <c r="E1616" s="3">
        <f t="shared" si="162"/>
        <v>30.470000000000027</v>
      </c>
      <c r="F1616" s="3">
        <f t="shared" si="160"/>
        <v>14.761096536377361</v>
      </c>
      <c r="G1616" s="3">
        <f t="shared" si="160"/>
        <v>10.780370921729327</v>
      </c>
      <c r="H1616" s="3">
        <f t="shared" si="163"/>
        <v>1.3692568320283238</v>
      </c>
      <c r="I1616" s="3">
        <f t="shared" si="164"/>
        <v>57.792672095245209</v>
      </c>
    </row>
    <row r="1617" spans="1:9" ht="15.75" customHeight="1">
      <c r="A1617" s="14">
        <v>38473</v>
      </c>
      <c r="B1617">
        <v>1178.28</v>
      </c>
      <c r="C1617" s="3">
        <f t="shared" si="165"/>
        <v>13.849999999999909</v>
      </c>
      <c r="D1617" s="3">
        <f t="shared" si="161"/>
        <v>13.849999999999909</v>
      </c>
      <c r="E1617" s="3">
        <f t="shared" si="162"/>
        <v>0</v>
      </c>
      <c r="F1617" s="3">
        <f t="shared" si="160"/>
        <v>14.696018212350399</v>
      </c>
      <c r="G1617" s="3">
        <f t="shared" si="160"/>
        <v>10.01034442732009</v>
      </c>
      <c r="H1617" s="3">
        <f t="shared" si="163"/>
        <v>1.4680831732664696</v>
      </c>
      <c r="I1617" s="3">
        <f t="shared" si="164"/>
        <v>59.482726885718542</v>
      </c>
    </row>
    <row r="1618" spans="1:9" ht="15.75" customHeight="1">
      <c r="A1618" s="14">
        <v>38504</v>
      </c>
      <c r="B1618">
        <v>1202.25</v>
      </c>
      <c r="C1618" s="3">
        <f t="shared" si="165"/>
        <v>23.970000000000027</v>
      </c>
      <c r="D1618" s="3">
        <f t="shared" si="161"/>
        <v>23.970000000000027</v>
      </c>
      <c r="E1618" s="3">
        <f t="shared" si="162"/>
        <v>0</v>
      </c>
      <c r="F1618" s="3">
        <f t="shared" ref="F1618:G1681" si="166">((F1617*13)+D1618)/14</f>
        <v>15.358445482896801</v>
      </c>
      <c r="G1618" s="3">
        <f t="shared" si="166"/>
        <v>9.2953198253686544</v>
      </c>
      <c r="H1618" s="3">
        <f t="shared" si="163"/>
        <v>1.6522772504266878</v>
      </c>
      <c r="I1618" s="3">
        <f t="shared" si="164"/>
        <v>62.296551017088284</v>
      </c>
    </row>
    <row r="1619" spans="1:9" ht="15.75" customHeight="1">
      <c r="A1619" s="14">
        <v>38534</v>
      </c>
      <c r="B1619">
        <v>1222.24</v>
      </c>
      <c r="C1619" s="3">
        <f t="shared" si="165"/>
        <v>19.990000000000009</v>
      </c>
      <c r="D1619" s="3">
        <f t="shared" si="161"/>
        <v>19.990000000000009</v>
      </c>
      <c r="E1619" s="3">
        <f t="shared" si="162"/>
        <v>0</v>
      </c>
      <c r="F1619" s="3">
        <f t="shared" si="166"/>
        <v>15.68927080554703</v>
      </c>
      <c r="G1619" s="3">
        <f t="shared" si="166"/>
        <v>8.6313684092708929</v>
      </c>
      <c r="H1619" s="3">
        <f t="shared" si="163"/>
        <v>1.8177037593129837</v>
      </c>
      <c r="I1619" s="3">
        <f t="shared" si="164"/>
        <v>64.510108747421299</v>
      </c>
    </row>
    <row r="1620" spans="1:9" ht="15.75" customHeight="1">
      <c r="A1620" s="14">
        <v>38565</v>
      </c>
      <c r="B1620">
        <v>1224.27</v>
      </c>
      <c r="C1620" s="3">
        <f t="shared" si="165"/>
        <v>2.0299999999999727</v>
      </c>
      <c r="D1620" s="3">
        <f t="shared" si="161"/>
        <v>2.0299999999999727</v>
      </c>
      <c r="E1620" s="3">
        <f t="shared" si="162"/>
        <v>0</v>
      </c>
      <c r="F1620" s="3">
        <f t="shared" si="166"/>
        <v>14.713608605150812</v>
      </c>
      <c r="G1620" s="3">
        <f t="shared" si="166"/>
        <v>8.0148420943229723</v>
      </c>
      <c r="H1620" s="3">
        <f t="shared" si="163"/>
        <v>1.8357951949636877</v>
      </c>
      <c r="I1620" s="3">
        <f t="shared" si="164"/>
        <v>64.736522518411107</v>
      </c>
    </row>
    <row r="1621" spans="1:9" ht="15.75" customHeight="1">
      <c r="A1621" s="14">
        <v>38596</v>
      </c>
      <c r="B1621">
        <v>1225.92</v>
      </c>
      <c r="C1621" s="3">
        <f t="shared" si="165"/>
        <v>1.6500000000000909</v>
      </c>
      <c r="D1621" s="3">
        <f t="shared" si="161"/>
        <v>1.6500000000000909</v>
      </c>
      <c r="E1621" s="3">
        <f t="shared" si="162"/>
        <v>0</v>
      </c>
      <c r="F1621" s="3">
        <f t="shared" si="166"/>
        <v>13.780493704782902</v>
      </c>
      <c r="G1621" s="3">
        <f t="shared" si="166"/>
        <v>7.4423533732999028</v>
      </c>
      <c r="H1621" s="3">
        <f t="shared" si="163"/>
        <v>1.8516311996446764</v>
      </c>
      <c r="I1621" s="3">
        <f t="shared" si="164"/>
        <v>64.932351696649846</v>
      </c>
    </row>
    <row r="1622" spans="1:9" ht="15.75" customHeight="1">
      <c r="A1622" s="14">
        <v>38626</v>
      </c>
      <c r="B1622">
        <v>1191.96</v>
      </c>
      <c r="C1622" s="3">
        <f t="shared" si="165"/>
        <v>-33.960000000000036</v>
      </c>
      <c r="D1622" s="3">
        <f t="shared" si="161"/>
        <v>0</v>
      </c>
      <c r="E1622" s="3">
        <f t="shared" si="162"/>
        <v>33.960000000000036</v>
      </c>
      <c r="F1622" s="3">
        <f t="shared" si="166"/>
        <v>12.796172725869837</v>
      </c>
      <c r="G1622" s="3">
        <f t="shared" si="166"/>
        <v>9.3364709894927689</v>
      </c>
      <c r="H1622" s="3">
        <f t="shared" si="163"/>
        <v>1.370557755737752</v>
      </c>
      <c r="I1622" s="3">
        <f t="shared" si="164"/>
        <v>57.815834793327554</v>
      </c>
    </row>
    <row r="1623" spans="1:9" ht="15.75" customHeight="1">
      <c r="A1623" s="14">
        <v>38657</v>
      </c>
      <c r="B1623">
        <v>1237.3699999999999</v>
      </c>
      <c r="C1623" s="3">
        <f t="shared" si="165"/>
        <v>45.409999999999854</v>
      </c>
      <c r="D1623" s="3">
        <f t="shared" si="161"/>
        <v>45.409999999999854</v>
      </c>
      <c r="E1623" s="3">
        <f t="shared" si="162"/>
        <v>0</v>
      </c>
      <c r="F1623" s="3">
        <f t="shared" si="166"/>
        <v>15.125731816879124</v>
      </c>
      <c r="G1623" s="3">
        <f t="shared" si="166"/>
        <v>8.6695802045289998</v>
      </c>
      <c r="H1623" s="3">
        <f t="shared" si="163"/>
        <v>1.7446902225989469</v>
      </c>
      <c r="I1623" s="3">
        <f t="shared" si="164"/>
        <v>63.566015874348828</v>
      </c>
    </row>
    <row r="1624" spans="1:9" ht="15.75" customHeight="1">
      <c r="A1624" s="14">
        <v>38687</v>
      </c>
      <c r="B1624">
        <v>1262.07</v>
      </c>
      <c r="C1624" s="3">
        <f t="shared" si="165"/>
        <v>24.700000000000045</v>
      </c>
      <c r="D1624" s="3">
        <f t="shared" si="161"/>
        <v>24.700000000000045</v>
      </c>
      <c r="E1624" s="3">
        <f t="shared" si="162"/>
        <v>0</v>
      </c>
      <c r="F1624" s="3">
        <f t="shared" si="166"/>
        <v>15.809608115673475</v>
      </c>
      <c r="G1624" s="3">
        <f t="shared" si="166"/>
        <v>8.0503244756340724</v>
      </c>
      <c r="H1624" s="3">
        <f t="shared" si="163"/>
        <v>1.9638473161578067</v>
      </c>
      <c r="I1624" s="3">
        <f t="shared" si="164"/>
        <v>66.260070329926663</v>
      </c>
    </row>
    <row r="1625" spans="1:9" ht="15.75" customHeight="1">
      <c r="A1625" s="14">
        <v>38718</v>
      </c>
      <c r="B1625">
        <v>1278.73</v>
      </c>
      <c r="C1625" s="3">
        <f t="shared" si="165"/>
        <v>16.660000000000082</v>
      </c>
      <c r="D1625" s="3">
        <f t="shared" si="161"/>
        <v>16.660000000000082</v>
      </c>
      <c r="E1625" s="3">
        <f t="shared" si="162"/>
        <v>0</v>
      </c>
      <c r="F1625" s="3">
        <f t="shared" si="166"/>
        <v>15.870350393125376</v>
      </c>
      <c r="G1625" s="3">
        <f t="shared" si="166"/>
        <v>7.4753012988030676</v>
      </c>
      <c r="H1625" s="3">
        <f t="shared" si="163"/>
        <v>2.1230382239798828</v>
      </c>
      <c r="I1625" s="3">
        <f t="shared" si="164"/>
        <v>67.979898794653963</v>
      </c>
    </row>
    <row r="1626" spans="1:9" ht="15.75" customHeight="1">
      <c r="A1626" s="14">
        <v>38749</v>
      </c>
      <c r="B1626">
        <v>1276.6500000000001</v>
      </c>
      <c r="C1626" s="3">
        <f t="shared" si="165"/>
        <v>-2.0799999999999272</v>
      </c>
      <c r="D1626" s="3">
        <f t="shared" si="161"/>
        <v>0</v>
      </c>
      <c r="E1626" s="3">
        <f t="shared" si="162"/>
        <v>2.0799999999999272</v>
      </c>
      <c r="F1626" s="3">
        <f t="shared" si="166"/>
        <v>14.736753936473564</v>
      </c>
      <c r="G1626" s="3">
        <f t="shared" si="166"/>
        <v>7.0899226346028428</v>
      </c>
      <c r="H1626" s="3">
        <f t="shared" si="163"/>
        <v>2.0785493292338408</v>
      </c>
      <c r="I1626" s="3">
        <f t="shared" si="164"/>
        <v>67.517168216080847</v>
      </c>
    </row>
    <row r="1627" spans="1:9" ht="15.75" customHeight="1">
      <c r="A1627" s="14">
        <v>38777</v>
      </c>
      <c r="B1627">
        <v>1293.74</v>
      </c>
      <c r="C1627" s="3">
        <f t="shared" si="165"/>
        <v>17.089999999999918</v>
      </c>
      <c r="D1627" s="3">
        <f t="shared" si="161"/>
        <v>17.089999999999918</v>
      </c>
      <c r="E1627" s="3">
        <f t="shared" si="162"/>
        <v>0</v>
      </c>
      <c r="F1627" s="3">
        <f t="shared" si="166"/>
        <v>14.904842941011159</v>
      </c>
      <c r="G1627" s="3">
        <f t="shared" si="166"/>
        <v>6.5834995892740684</v>
      </c>
      <c r="H1627" s="3">
        <f t="shared" si="163"/>
        <v>2.263969601409916</v>
      </c>
      <c r="I1627" s="3">
        <f t="shared" si="164"/>
        <v>69.362459761633914</v>
      </c>
    </row>
    <row r="1628" spans="1:9" ht="15.75" customHeight="1">
      <c r="A1628" s="14">
        <v>38808</v>
      </c>
      <c r="B1628">
        <v>1302.17</v>
      </c>
      <c r="C1628" s="3">
        <f t="shared" si="165"/>
        <v>8.4300000000000637</v>
      </c>
      <c r="D1628" s="3">
        <f t="shared" si="161"/>
        <v>8.4300000000000637</v>
      </c>
      <c r="E1628" s="3">
        <f t="shared" si="162"/>
        <v>0</v>
      </c>
      <c r="F1628" s="3">
        <f t="shared" si="166"/>
        <v>14.442354159510367</v>
      </c>
      <c r="G1628" s="3">
        <f t="shared" si="166"/>
        <v>6.1132496186116345</v>
      </c>
      <c r="H1628" s="3">
        <f t="shared" si="163"/>
        <v>2.3624676007897638</v>
      </c>
      <c r="I1628" s="3">
        <f t="shared" si="164"/>
        <v>70.259936489347183</v>
      </c>
    </row>
    <row r="1629" spans="1:9" ht="15.75" customHeight="1">
      <c r="A1629" s="14">
        <v>38838</v>
      </c>
      <c r="B1629">
        <v>1290.01</v>
      </c>
      <c r="C1629" s="3">
        <f t="shared" si="165"/>
        <v>-12.160000000000082</v>
      </c>
      <c r="D1629" s="3">
        <f t="shared" si="161"/>
        <v>0</v>
      </c>
      <c r="E1629" s="3">
        <f t="shared" si="162"/>
        <v>12.160000000000082</v>
      </c>
      <c r="F1629" s="3">
        <f t="shared" si="166"/>
        <v>13.410757433831055</v>
      </c>
      <c r="G1629" s="3">
        <f t="shared" si="166"/>
        <v>6.5451603601393815</v>
      </c>
      <c r="H1629" s="3">
        <f t="shared" si="163"/>
        <v>2.0489578094226353</v>
      </c>
      <c r="I1629" s="3">
        <f t="shared" si="164"/>
        <v>67.20190758594444</v>
      </c>
    </row>
    <row r="1630" spans="1:9" ht="15.75" customHeight="1">
      <c r="A1630" s="14">
        <v>38869</v>
      </c>
      <c r="B1630">
        <v>1253.17</v>
      </c>
      <c r="C1630" s="3">
        <f t="shared" si="165"/>
        <v>-36.839999999999918</v>
      </c>
      <c r="D1630" s="3">
        <f t="shared" si="161"/>
        <v>0</v>
      </c>
      <c r="E1630" s="3">
        <f t="shared" si="162"/>
        <v>36.839999999999918</v>
      </c>
      <c r="F1630" s="3">
        <f t="shared" si="166"/>
        <v>12.452846188557407</v>
      </c>
      <c r="G1630" s="3">
        <f t="shared" si="166"/>
        <v>8.7090774772722774</v>
      </c>
      <c r="H1630" s="3">
        <f t="shared" si="163"/>
        <v>1.4298697216846548</v>
      </c>
      <c r="I1630" s="3">
        <f t="shared" si="164"/>
        <v>58.845530232514307</v>
      </c>
    </row>
    <row r="1631" spans="1:9" ht="15.75" customHeight="1">
      <c r="A1631" s="14">
        <v>38899</v>
      </c>
      <c r="B1631">
        <v>1260.24</v>
      </c>
      <c r="C1631" s="3">
        <f t="shared" si="165"/>
        <v>7.0699999999999363</v>
      </c>
      <c r="D1631" s="3">
        <f t="shared" si="161"/>
        <v>7.0699999999999363</v>
      </c>
      <c r="E1631" s="3">
        <f t="shared" si="162"/>
        <v>0</v>
      </c>
      <c r="F1631" s="3">
        <f t="shared" si="166"/>
        <v>12.068357175089016</v>
      </c>
      <c r="G1631" s="3">
        <f t="shared" si="166"/>
        <v>8.0870005146099722</v>
      </c>
      <c r="H1631" s="3">
        <f t="shared" si="163"/>
        <v>1.4923156185394482</v>
      </c>
      <c r="I1631" s="3">
        <f t="shared" si="164"/>
        <v>59.876670813224607</v>
      </c>
    </row>
    <row r="1632" spans="1:9" ht="15.75" customHeight="1">
      <c r="A1632" s="14">
        <v>38930</v>
      </c>
      <c r="B1632">
        <v>1287.1500000000001</v>
      </c>
      <c r="C1632" s="3">
        <f t="shared" si="165"/>
        <v>26.910000000000082</v>
      </c>
      <c r="D1632" s="3">
        <f t="shared" si="161"/>
        <v>26.910000000000082</v>
      </c>
      <c r="E1632" s="3">
        <f t="shared" si="162"/>
        <v>0</v>
      </c>
      <c r="F1632" s="3">
        <f t="shared" si="166"/>
        <v>13.12847451972552</v>
      </c>
      <c r="G1632" s="3">
        <f t="shared" si="166"/>
        <v>7.5093576207092596</v>
      </c>
      <c r="H1632" s="3">
        <f t="shared" si="163"/>
        <v>1.7482819680234558</v>
      </c>
      <c r="I1632" s="3">
        <f t="shared" si="164"/>
        <v>63.613631656609357</v>
      </c>
    </row>
    <row r="1633" spans="1:9" ht="15.75" customHeight="1">
      <c r="A1633" s="14">
        <v>38961</v>
      </c>
      <c r="B1633">
        <v>1317.74</v>
      </c>
      <c r="C1633" s="3">
        <f t="shared" si="165"/>
        <v>30.589999999999918</v>
      </c>
      <c r="D1633" s="3">
        <f t="shared" si="161"/>
        <v>30.589999999999918</v>
      </c>
      <c r="E1633" s="3">
        <f t="shared" si="162"/>
        <v>0</v>
      </c>
      <c r="F1633" s="3">
        <f t="shared" si="166"/>
        <v>14.375726339745119</v>
      </c>
      <c r="G1633" s="3">
        <f t="shared" si="166"/>
        <v>6.9729749335157418</v>
      </c>
      <c r="H1633" s="3">
        <f t="shared" si="163"/>
        <v>2.0616345930985505</v>
      </c>
      <c r="I1633" s="3">
        <f t="shared" si="164"/>
        <v>67.337709005046804</v>
      </c>
    </row>
    <row r="1634" spans="1:9" ht="15.75" customHeight="1">
      <c r="A1634" s="14">
        <v>38991</v>
      </c>
      <c r="B1634">
        <v>1363.38</v>
      </c>
      <c r="C1634" s="3">
        <f t="shared" si="165"/>
        <v>45.6400000000001</v>
      </c>
      <c r="D1634" s="3">
        <f t="shared" si="161"/>
        <v>45.6400000000001</v>
      </c>
      <c r="E1634" s="3">
        <f t="shared" si="162"/>
        <v>0</v>
      </c>
      <c r="F1634" s="3">
        <f t="shared" si="166"/>
        <v>16.608888744049047</v>
      </c>
      <c r="G1634" s="3">
        <f t="shared" si="166"/>
        <v>6.4749052954074742</v>
      </c>
      <c r="H1634" s="3">
        <f t="shared" si="163"/>
        <v>2.5651168606017158</v>
      </c>
      <c r="I1634" s="3">
        <f t="shared" si="164"/>
        <v>71.950428580587356</v>
      </c>
    </row>
    <row r="1635" spans="1:9" ht="15.75" customHeight="1">
      <c r="A1635" s="14">
        <v>39022</v>
      </c>
      <c r="B1635">
        <v>1388.64</v>
      </c>
      <c r="C1635" s="3">
        <f t="shared" si="165"/>
        <v>25.259999999999991</v>
      </c>
      <c r="D1635" s="3">
        <f t="shared" si="161"/>
        <v>25.259999999999991</v>
      </c>
      <c r="E1635" s="3">
        <f t="shared" si="162"/>
        <v>0</v>
      </c>
      <c r="F1635" s="3">
        <f t="shared" si="166"/>
        <v>17.226825262331257</v>
      </c>
      <c r="G1635" s="3">
        <f t="shared" si="166"/>
        <v>6.0124120600212256</v>
      </c>
      <c r="H1635" s="3">
        <f t="shared" si="163"/>
        <v>2.8652103499157775</v>
      </c>
      <c r="I1635" s="3">
        <f t="shared" si="164"/>
        <v>74.128186839254681</v>
      </c>
    </row>
    <row r="1636" spans="1:9" ht="15.75" customHeight="1">
      <c r="A1636" s="14">
        <v>39052</v>
      </c>
      <c r="B1636">
        <v>1416.42</v>
      </c>
      <c r="C1636" s="3">
        <f t="shared" si="165"/>
        <v>27.779999999999973</v>
      </c>
      <c r="D1636" s="3">
        <f t="shared" si="161"/>
        <v>27.779999999999973</v>
      </c>
      <c r="E1636" s="3">
        <f t="shared" si="162"/>
        <v>0</v>
      </c>
      <c r="F1636" s="3">
        <f t="shared" si="166"/>
        <v>17.980623457879023</v>
      </c>
      <c r="G1636" s="3">
        <f t="shared" si="166"/>
        <v>5.5829540557339952</v>
      </c>
      <c r="H1636" s="3">
        <f t="shared" si="163"/>
        <v>3.2206289499036718</v>
      </c>
      <c r="I1636" s="3">
        <f t="shared" si="164"/>
        <v>76.30684876900105</v>
      </c>
    </row>
    <row r="1637" spans="1:9" ht="15.75" customHeight="1">
      <c r="A1637" s="14">
        <v>39083</v>
      </c>
      <c r="B1637">
        <v>1424.16</v>
      </c>
      <c r="C1637" s="3">
        <f t="shared" si="165"/>
        <v>7.7400000000000091</v>
      </c>
      <c r="D1637" s="3">
        <f t="shared" si="161"/>
        <v>7.7400000000000091</v>
      </c>
      <c r="E1637" s="3">
        <f t="shared" si="162"/>
        <v>0</v>
      </c>
      <c r="F1637" s="3">
        <f t="shared" si="166"/>
        <v>17.249150353744806</v>
      </c>
      <c r="G1637" s="3">
        <f t="shared" si="166"/>
        <v>5.1841716231815669</v>
      </c>
      <c r="H1637" s="3">
        <f t="shared" si="163"/>
        <v>3.3272722447330683</v>
      </c>
      <c r="I1637" s="3">
        <f t="shared" si="164"/>
        <v>76.890753725579714</v>
      </c>
    </row>
    <row r="1638" spans="1:9" ht="15.75" customHeight="1">
      <c r="A1638" s="14">
        <v>39114</v>
      </c>
      <c r="B1638">
        <v>1444.8</v>
      </c>
      <c r="C1638" s="3">
        <f t="shared" si="165"/>
        <v>20.639999999999873</v>
      </c>
      <c r="D1638" s="3">
        <f t="shared" ref="D1638:D1701" si="167">IF(C1638&gt;0,C1638,0)</f>
        <v>20.639999999999873</v>
      </c>
      <c r="E1638" s="3">
        <f t="shared" ref="E1638:E1701" si="168">IF(C1638&lt;0,-C1638,0)</f>
        <v>0</v>
      </c>
      <c r="F1638" s="3">
        <f t="shared" si="166"/>
        <v>17.491353899905882</v>
      </c>
      <c r="G1638" s="3">
        <f t="shared" si="166"/>
        <v>4.8138736500971699</v>
      </c>
      <c r="H1638" s="3">
        <f t="shared" ref="H1638:H1701" si="169">F1638/G1638</f>
        <v>3.633529911935435</v>
      </c>
      <c r="I1638" s="3">
        <f t="shared" ref="I1638:I1701" si="170">IF(G1638=0,100,100-(100/(1+H1638)))</f>
        <v>78.418181839635565</v>
      </c>
    </row>
    <row r="1639" spans="1:9" ht="15.75" customHeight="1">
      <c r="A1639" s="14">
        <v>39142</v>
      </c>
      <c r="B1639">
        <v>1406.95</v>
      </c>
      <c r="C1639" s="3">
        <f t="shared" si="165"/>
        <v>-37.849999999999909</v>
      </c>
      <c r="D1639" s="3">
        <f t="shared" si="167"/>
        <v>0</v>
      </c>
      <c r="E1639" s="3">
        <f t="shared" si="168"/>
        <v>37.849999999999909</v>
      </c>
      <c r="F1639" s="3">
        <f t="shared" si="166"/>
        <v>16.241971478484032</v>
      </c>
      <c r="G1639" s="3">
        <f t="shared" si="166"/>
        <v>7.1735969608045087</v>
      </c>
      <c r="H1639" s="3">
        <f t="shared" si="169"/>
        <v>2.2641321455927623</v>
      </c>
      <c r="I1639" s="3">
        <f t="shared" si="170"/>
        <v>69.363985421049762</v>
      </c>
    </row>
    <row r="1640" spans="1:9" ht="15.75" customHeight="1">
      <c r="A1640" s="14">
        <v>39173</v>
      </c>
      <c r="B1640">
        <v>1463.64</v>
      </c>
      <c r="C1640" s="3">
        <f t="shared" si="165"/>
        <v>56.690000000000055</v>
      </c>
      <c r="D1640" s="3">
        <f t="shared" si="167"/>
        <v>56.690000000000055</v>
      </c>
      <c r="E1640" s="3">
        <f t="shared" si="168"/>
        <v>0</v>
      </c>
      <c r="F1640" s="3">
        <f t="shared" si="166"/>
        <v>19.131116372878036</v>
      </c>
      <c r="G1640" s="3">
        <f t="shared" si="166"/>
        <v>6.6611971778899015</v>
      </c>
      <c r="H1640" s="3">
        <f t="shared" si="169"/>
        <v>2.8720237311663381</v>
      </c>
      <c r="I1640" s="3">
        <f t="shared" si="170"/>
        <v>74.173712006181887</v>
      </c>
    </row>
    <row r="1641" spans="1:9" ht="15.75" customHeight="1">
      <c r="A1641" s="14">
        <v>39203</v>
      </c>
      <c r="B1641">
        <v>1511.14</v>
      </c>
      <c r="C1641" s="3">
        <f t="shared" si="165"/>
        <v>47.5</v>
      </c>
      <c r="D1641" s="3">
        <f t="shared" si="167"/>
        <v>47.5</v>
      </c>
      <c r="E1641" s="3">
        <f t="shared" si="168"/>
        <v>0</v>
      </c>
      <c r="F1641" s="3">
        <f t="shared" si="166"/>
        <v>21.157465203386746</v>
      </c>
      <c r="G1641" s="3">
        <f t="shared" si="166"/>
        <v>6.1853973794691939</v>
      </c>
      <c r="H1641" s="3">
        <f t="shared" si="169"/>
        <v>3.4205506785406237</v>
      </c>
      <c r="I1641" s="3">
        <f t="shared" si="170"/>
        <v>77.378383990608739</v>
      </c>
    </row>
    <row r="1642" spans="1:9" ht="15.75" customHeight="1">
      <c r="A1642" s="14">
        <v>39234</v>
      </c>
      <c r="B1642">
        <v>1514.19</v>
      </c>
      <c r="C1642" s="3">
        <f t="shared" si="165"/>
        <v>3.0499999999999545</v>
      </c>
      <c r="D1642" s="3">
        <f t="shared" si="167"/>
        <v>3.0499999999999545</v>
      </c>
      <c r="E1642" s="3">
        <f t="shared" si="168"/>
        <v>0</v>
      </c>
      <c r="F1642" s="3">
        <f t="shared" si="166"/>
        <v>19.864074831716263</v>
      </c>
      <c r="G1642" s="3">
        <f t="shared" si="166"/>
        <v>5.7435832809356802</v>
      </c>
      <c r="H1642" s="3">
        <f t="shared" si="169"/>
        <v>3.4584812059137113</v>
      </c>
      <c r="I1642" s="3">
        <f t="shared" si="170"/>
        <v>77.570837381267779</v>
      </c>
    </row>
    <row r="1643" spans="1:9" ht="15.75" customHeight="1">
      <c r="A1643" s="14">
        <v>39264</v>
      </c>
      <c r="B1643">
        <v>1520.71</v>
      </c>
      <c r="C1643" s="3">
        <f t="shared" ref="C1643:C1706" si="171">B1643-B1642</f>
        <v>6.5199999999999818</v>
      </c>
      <c r="D1643" s="3">
        <f t="shared" si="167"/>
        <v>6.5199999999999818</v>
      </c>
      <c r="E1643" s="3">
        <f t="shared" si="168"/>
        <v>0</v>
      </c>
      <c r="F1643" s="3">
        <f t="shared" si="166"/>
        <v>18.910926629450813</v>
      </c>
      <c r="G1643" s="3">
        <f t="shared" si="166"/>
        <v>5.3333273322974168</v>
      </c>
      <c r="H1643" s="3">
        <f t="shared" si="169"/>
        <v>3.5458027327388186</v>
      </c>
      <c r="I1643" s="3">
        <f t="shared" si="170"/>
        <v>78.0016850973754</v>
      </c>
    </row>
    <row r="1644" spans="1:9" ht="15.75" customHeight="1">
      <c r="A1644" s="14">
        <v>39295</v>
      </c>
      <c r="B1644">
        <v>1454.62</v>
      </c>
      <c r="C1644" s="3">
        <f t="shared" si="171"/>
        <v>-66.090000000000146</v>
      </c>
      <c r="D1644" s="3">
        <f t="shared" si="167"/>
        <v>0</v>
      </c>
      <c r="E1644" s="3">
        <f t="shared" si="168"/>
        <v>66.090000000000146</v>
      </c>
      <c r="F1644" s="3">
        <f t="shared" si="166"/>
        <v>17.560146155918613</v>
      </c>
      <c r="G1644" s="3">
        <f t="shared" si="166"/>
        <v>9.6730896657047545</v>
      </c>
      <c r="H1644" s="3">
        <f t="shared" si="169"/>
        <v>1.815360630655255</v>
      </c>
      <c r="I1644" s="3">
        <f t="shared" si="170"/>
        <v>64.480571721028255</v>
      </c>
    </row>
    <row r="1645" spans="1:9" ht="15.75" customHeight="1">
      <c r="A1645" s="14">
        <v>39326</v>
      </c>
      <c r="B1645">
        <v>1497.12</v>
      </c>
      <c r="C1645" s="3">
        <f t="shared" si="171"/>
        <v>42.5</v>
      </c>
      <c r="D1645" s="3">
        <f t="shared" si="167"/>
        <v>42.5</v>
      </c>
      <c r="E1645" s="3">
        <f t="shared" si="168"/>
        <v>0</v>
      </c>
      <c r="F1645" s="3">
        <f t="shared" si="166"/>
        <v>19.341564287638711</v>
      </c>
      <c r="G1645" s="3">
        <f t="shared" si="166"/>
        <v>8.9821546895829858</v>
      </c>
      <c r="H1645" s="3">
        <f t="shared" si="169"/>
        <v>2.1533323524332091</v>
      </c>
      <c r="I1645" s="3">
        <f t="shared" si="170"/>
        <v>68.287516562332257</v>
      </c>
    </row>
    <row r="1646" spans="1:9" ht="15.75" customHeight="1">
      <c r="A1646" s="14">
        <v>39356</v>
      </c>
      <c r="B1646">
        <v>1539.66</v>
      </c>
      <c r="C1646" s="3">
        <f t="shared" si="171"/>
        <v>42.540000000000191</v>
      </c>
      <c r="D1646" s="3">
        <f t="shared" si="167"/>
        <v>42.540000000000191</v>
      </c>
      <c r="E1646" s="3">
        <f t="shared" si="168"/>
        <v>0</v>
      </c>
      <c r="F1646" s="3">
        <f t="shared" si="166"/>
        <v>20.998595409950244</v>
      </c>
      <c r="G1646" s="3">
        <f t="shared" si="166"/>
        <v>8.3405722117556298</v>
      </c>
      <c r="H1646" s="3">
        <f t="shared" si="169"/>
        <v>2.5176444585365196</v>
      </c>
      <c r="I1646" s="3">
        <f t="shared" si="170"/>
        <v>71.571885340110811</v>
      </c>
    </row>
    <row r="1647" spans="1:9" ht="15.75" customHeight="1">
      <c r="A1647" s="14">
        <v>39387</v>
      </c>
      <c r="B1647">
        <v>1463.39</v>
      </c>
      <c r="C1647" s="3">
        <f t="shared" si="171"/>
        <v>-76.269999999999982</v>
      </c>
      <c r="D1647" s="3">
        <f t="shared" si="167"/>
        <v>0</v>
      </c>
      <c r="E1647" s="3">
        <f t="shared" si="168"/>
        <v>76.269999999999982</v>
      </c>
      <c r="F1647" s="3">
        <f t="shared" si="166"/>
        <v>19.498695737810941</v>
      </c>
      <c r="G1647" s="3">
        <f t="shared" si="166"/>
        <v>13.192674196630227</v>
      </c>
      <c r="H1647" s="3">
        <f t="shared" si="169"/>
        <v>1.4779941842868709</v>
      </c>
      <c r="I1647" s="3">
        <f t="shared" si="170"/>
        <v>59.644780187900849</v>
      </c>
    </row>
    <row r="1648" spans="1:9" ht="15.75" customHeight="1">
      <c r="A1648" s="14">
        <v>39417</v>
      </c>
      <c r="B1648">
        <v>1479.22</v>
      </c>
      <c r="C1648" s="3">
        <f t="shared" si="171"/>
        <v>15.829999999999927</v>
      </c>
      <c r="D1648" s="3">
        <f t="shared" si="167"/>
        <v>15.829999999999927</v>
      </c>
      <c r="E1648" s="3">
        <f t="shared" si="168"/>
        <v>0</v>
      </c>
      <c r="F1648" s="3">
        <f t="shared" si="166"/>
        <v>19.23664604225301</v>
      </c>
      <c r="G1648" s="3">
        <f t="shared" si="166"/>
        <v>12.250340325442354</v>
      </c>
      <c r="H1648" s="3">
        <f t="shared" si="169"/>
        <v>1.5702948270180719</v>
      </c>
      <c r="I1648" s="3">
        <f t="shared" si="170"/>
        <v>61.093957413432207</v>
      </c>
    </row>
    <row r="1649" spans="1:9" ht="15.75" customHeight="1">
      <c r="A1649" s="14">
        <v>39448</v>
      </c>
      <c r="B1649">
        <v>1378.76</v>
      </c>
      <c r="C1649" s="3">
        <f t="shared" si="171"/>
        <v>-100.46000000000004</v>
      </c>
      <c r="D1649" s="3">
        <f t="shared" si="167"/>
        <v>0</v>
      </c>
      <c r="E1649" s="3">
        <f t="shared" si="168"/>
        <v>100.46000000000004</v>
      </c>
      <c r="F1649" s="3">
        <f t="shared" si="166"/>
        <v>17.862599896377795</v>
      </c>
      <c r="G1649" s="3">
        <f t="shared" si="166"/>
        <v>18.551030302196473</v>
      </c>
      <c r="H1649" s="3">
        <f t="shared" si="169"/>
        <v>0.96288990990774415</v>
      </c>
      <c r="I1649" s="3">
        <f t="shared" si="170"/>
        <v>49.054707808498542</v>
      </c>
    </row>
    <row r="1650" spans="1:9" ht="15.75" customHeight="1">
      <c r="A1650" s="14">
        <v>39479</v>
      </c>
      <c r="B1650">
        <v>1354.87</v>
      </c>
      <c r="C1650" s="3">
        <f t="shared" si="171"/>
        <v>-23.8900000000001</v>
      </c>
      <c r="D1650" s="3">
        <f t="shared" si="167"/>
        <v>0</v>
      </c>
      <c r="E1650" s="3">
        <f t="shared" si="168"/>
        <v>23.8900000000001</v>
      </c>
      <c r="F1650" s="3">
        <f t="shared" si="166"/>
        <v>16.58669990377938</v>
      </c>
      <c r="G1650" s="3">
        <f t="shared" si="166"/>
        <v>18.932385280611015</v>
      </c>
      <c r="H1650" s="3">
        <f t="shared" si="169"/>
        <v>0.87610196274455221</v>
      </c>
      <c r="I1650" s="3">
        <f t="shared" si="170"/>
        <v>46.697992973841437</v>
      </c>
    </row>
    <row r="1651" spans="1:9" ht="15.75" customHeight="1">
      <c r="A1651" s="14">
        <v>39508</v>
      </c>
      <c r="B1651">
        <v>1316.94</v>
      </c>
      <c r="C1651" s="3">
        <f t="shared" si="171"/>
        <v>-37.929999999999836</v>
      </c>
      <c r="D1651" s="3">
        <f t="shared" si="167"/>
        <v>0</v>
      </c>
      <c r="E1651" s="3">
        <f t="shared" si="168"/>
        <v>37.929999999999836</v>
      </c>
      <c r="F1651" s="3">
        <f t="shared" si="166"/>
        <v>15.401935624937995</v>
      </c>
      <c r="G1651" s="3">
        <f t="shared" si="166"/>
        <v>20.289357760567359</v>
      </c>
      <c r="H1651" s="3">
        <f t="shared" si="169"/>
        <v>0.75911400482433522</v>
      </c>
      <c r="I1651" s="3">
        <f t="shared" si="170"/>
        <v>43.153201142306877</v>
      </c>
    </row>
    <row r="1652" spans="1:9" ht="15.75" customHeight="1">
      <c r="A1652" s="14">
        <v>39539</v>
      </c>
      <c r="B1652">
        <v>1370.47</v>
      </c>
      <c r="C1652" s="3">
        <f t="shared" si="171"/>
        <v>53.529999999999973</v>
      </c>
      <c r="D1652" s="3">
        <f t="shared" si="167"/>
        <v>53.529999999999973</v>
      </c>
      <c r="E1652" s="3">
        <f t="shared" si="168"/>
        <v>0</v>
      </c>
      <c r="F1652" s="3">
        <f t="shared" si="166"/>
        <v>18.125368794585277</v>
      </c>
      <c r="G1652" s="3">
        <f t="shared" si="166"/>
        <v>18.840117920526833</v>
      </c>
      <c r="H1652" s="3">
        <f t="shared" si="169"/>
        <v>0.9620623857580628</v>
      </c>
      <c r="I1652" s="3">
        <f t="shared" si="170"/>
        <v>49.033220999563689</v>
      </c>
    </row>
    <row r="1653" spans="1:9" ht="15.75" customHeight="1">
      <c r="A1653" s="14">
        <v>39569</v>
      </c>
      <c r="B1653">
        <v>1403.22</v>
      </c>
      <c r="C1653" s="3">
        <f t="shared" si="171"/>
        <v>32.75</v>
      </c>
      <c r="D1653" s="3">
        <f t="shared" si="167"/>
        <v>32.75</v>
      </c>
      <c r="E1653" s="3">
        <f t="shared" si="168"/>
        <v>0</v>
      </c>
      <c r="F1653" s="3">
        <f t="shared" si="166"/>
        <v>19.169985309257758</v>
      </c>
      <c r="G1653" s="3">
        <f t="shared" si="166"/>
        <v>17.494395211917773</v>
      </c>
      <c r="H1653" s="3">
        <f t="shared" si="169"/>
        <v>1.0957786809456846</v>
      </c>
      <c r="I1653" s="3">
        <f t="shared" si="170"/>
        <v>52.285038058085085</v>
      </c>
    </row>
    <row r="1654" spans="1:9" ht="15.75" customHeight="1">
      <c r="A1654" s="14">
        <v>39600</v>
      </c>
      <c r="B1654">
        <v>1341.25</v>
      </c>
      <c r="C1654" s="3">
        <f t="shared" si="171"/>
        <v>-61.970000000000027</v>
      </c>
      <c r="D1654" s="3">
        <f t="shared" si="167"/>
        <v>0</v>
      </c>
      <c r="E1654" s="3">
        <f t="shared" si="168"/>
        <v>61.970000000000027</v>
      </c>
      <c r="F1654" s="3">
        <f t="shared" si="166"/>
        <v>17.800700644310776</v>
      </c>
      <c r="G1654" s="3">
        <f t="shared" si="166"/>
        <v>20.671224125352218</v>
      </c>
      <c r="H1654" s="3">
        <f t="shared" si="169"/>
        <v>0.86113432549353042</v>
      </c>
      <c r="I1654" s="3">
        <f t="shared" si="170"/>
        <v>46.269326920569114</v>
      </c>
    </row>
    <row r="1655" spans="1:9" ht="15.75" customHeight="1">
      <c r="A1655" s="14">
        <v>39630</v>
      </c>
      <c r="B1655">
        <v>1257.33</v>
      </c>
      <c r="C1655" s="3">
        <f t="shared" si="171"/>
        <v>-83.920000000000073</v>
      </c>
      <c r="D1655" s="3">
        <f t="shared" si="167"/>
        <v>0</v>
      </c>
      <c r="E1655" s="3">
        <f t="shared" si="168"/>
        <v>83.920000000000073</v>
      </c>
      <c r="F1655" s="3">
        <f t="shared" si="166"/>
        <v>16.529222026860005</v>
      </c>
      <c r="G1655" s="3">
        <f t="shared" si="166"/>
        <v>25.188993830684208</v>
      </c>
      <c r="H1655" s="3">
        <f t="shared" si="169"/>
        <v>0.65620810969927579</v>
      </c>
      <c r="I1655" s="3">
        <f t="shared" si="170"/>
        <v>39.621114391139294</v>
      </c>
    </row>
    <row r="1656" spans="1:9" ht="15.75" customHeight="1">
      <c r="A1656" s="14">
        <v>39661</v>
      </c>
      <c r="B1656">
        <v>1281.47</v>
      </c>
      <c r="C1656" s="3">
        <f t="shared" si="171"/>
        <v>24.1400000000001</v>
      </c>
      <c r="D1656" s="3">
        <f t="shared" si="167"/>
        <v>24.1400000000001</v>
      </c>
      <c r="E1656" s="3">
        <f t="shared" si="168"/>
        <v>0</v>
      </c>
      <c r="F1656" s="3">
        <f t="shared" si="166"/>
        <v>17.072849024941441</v>
      </c>
      <c r="G1656" s="3">
        <f t="shared" si="166"/>
        <v>23.389779985635336</v>
      </c>
      <c r="H1656" s="3">
        <f t="shared" si="169"/>
        <v>0.72992773063391825</v>
      </c>
      <c r="I1656" s="3">
        <f t="shared" si="170"/>
        <v>42.194116997387056</v>
      </c>
    </row>
    <row r="1657" spans="1:9" ht="15.75" customHeight="1">
      <c r="A1657" s="14">
        <v>39692</v>
      </c>
      <c r="B1657">
        <v>1216.95</v>
      </c>
      <c r="C1657" s="3">
        <f t="shared" si="171"/>
        <v>-64.519999999999982</v>
      </c>
      <c r="D1657" s="3">
        <f t="shared" si="167"/>
        <v>0</v>
      </c>
      <c r="E1657" s="3">
        <f t="shared" si="168"/>
        <v>64.519999999999982</v>
      </c>
      <c r="F1657" s="3">
        <f t="shared" si="166"/>
        <v>15.853359808874194</v>
      </c>
      <c r="G1657" s="3">
        <f t="shared" si="166"/>
        <v>26.327652843804238</v>
      </c>
      <c r="H1657" s="3">
        <f t="shared" si="169"/>
        <v>0.6021562158589846</v>
      </c>
      <c r="I1657" s="3">
        <f t="shared" si="170"/>
        <v>37.584113827261397</v>
      </c>
    </row>
    <row r="1658" spans="1:9" ht="15.75" customHeight="1">
      <c r="A1658" s="14">
        <v>39722</v>
      </c>
      <c r="B1658">
        <v>968.8</v>
      </c>
      <c r="C1658" s="3">
        <f t="shared" si="171"/>
        <v>-248.15000000000009</v>
      </c>
      <c r="D1658" s="3">
        <f t="shared" si="167"/>
        <v>0</v>
      </c>
      <c r="E1658" s="3">
        <f t="shared" si="168"/>
        <v>248.15000000000009</v>
      </c>
      <c r="F1658" s="3">
        <f t="shared" si="166"/>
        <v>14.720976965383178</v>
      </c>
      <c r="G1658" s="3">
        <f t="shared" si="166"/>
        <v>42.172106212103941</v>
      </c>
      <c r="H1658" s="3">
        <f t="shared" si="169"/>
        <v>0.34906904794710175</v>
      </c>
      <c r="I1658" s="3">
        <f t="shared" si="170"/>
        <v>25.87480963100333</v>
      </c>
    </row>
    <row r="1659" spans="1:9" ht="15.75" customHeight="1">
      <c r="A1659" s="14">
        <v>39753</v>
      </c>
      <c r="B1659">
        <v>883.04</v>
      </c>
      <c r="C1659" s="3">
        <f t="shared" si="171"/>
        <v>-85.759999999999991</v>
      </c>
      <c r="D1659" s="3">
        <f t="shared" si="167"/>
        <v>0</v>
      </c>
      <c r="E1659" s="3">
        <f t="shared" si="168"/>
        <v>85.759999999999991</v>
      </c>
      <c r="F1659" s="3">
        <f t="shared" si="166"/>
        <v>13.669478610712952</v>
      </c>
      <c r="G1659" s="3">
        <f t="shared" si="166"/>
        <v>45.285527196953659</v>
      </c>
      <c r="H1659" s="3">
        <f t="shared" si="169"/>
        <v>0.30185093244608385</v>
      </c>
      <c r="I1659" s="3">
        <f t="shared" si="170"/>
        <v>23.186289990892263</v>
      </c>
    </row>
    <row r="1660" spans="1:9" ht="15.75" customHeight="1">
      <c r="A1660" s="14">
        <v>39783</v>
      </c>
      <c r="B1660">
        <v>877.56</v>
      </c>
      <c r="C1660" s="3">
        <f t="shared" si="171"/>
        <v>-5.4800000000000182</v>
      </c>
      <c r="D1660" s="3">
        <f t="shared" si="167"/>
        <v>0</v>
      </c>
      <c r="E1660" s="3">
        <f t="shared" si="168"/>
        <v>5.4800000000000182</v>
      </c>
      <c r="F1660" s="3">
        <f t="shared" si="166"/>
        <v>12.693087281376313</v>
      </c>
      <c r="G1660" s="3">
        <f t="shared" si="166"/>
        <v>42.442275254314112</v>
      </c>
      <c r="H1660" s="3">
        <f t="shared" si="169"/>
        <v>0.29906707888112344</v>
      </c>
      <c r="I1660" s="3">
        <f t="shared" si="170"/>
        <v>23.021681000392036</v>
      </c>
    </row>
    <row r="1661" spans="1:9" ht="15.75" customHeight="1">
      <c r="A1661" s="14">
        <v>39814</v>
      </c>
      <c r="B1661">
        <v>865.58</v>
      </c>
      <c r="C1661" s="3">
        <f t="shared" si="171"/>
        <v>-11.979999999999905</v>
      </c>
      <c r="D1661" s="3">
        <f t="shared" si="167"/>
        <v>0</v>
      </c>
      <c r="E1661" s="3">
        <f t="shared" si="168"/>
        <v>11.979999999999905</v>
      </c>
      <c r="F1661" s="3">
        <f t="shared" si="166"/>
        <v>11.786438189849433</v>
      </c>
      <c r="G1661" s="3">
        <f t="shared" si="166"/>
        <v>40.266398450434522</v>
      </c>
      <c r="H1661" s="3">
        <f t="shared" si="169"/>
        <v>0.29271150744603641</v>
      </c>
      <c r="I1661" s="3">
        <f t="shared" si="170"/>
        <v>22.643219756304021</v>
      </c>
    </row>
    <row r="1662" spans="1:9" ht="15.75" customHeight="1">
      <c r="A1662" s="14">
        <v>39845</v>
      </c>
      <c r="B1662">
        <v>805.23</v>
      </c>
      <c r="C1662" s="3">
        <f t="shared" si="171"/>
        <v>-60.350000000000023</v>
      </c>
      <c r="D1662" s="3">
        <f t="shared" si="167"/>
        <v>0</v>
      </c>
      <c r="E1662" s="3">
        <f t="shared" si="168"/>
        <v>60.350000000000023</v>
      </c>
      <c r="F1662" s="3">
        <f t="shared" si="166"/>
        <v>10.94454974771733</v>
      </c>
      <c r="G1662" s="3">
        <f t="shared" si="166"/>
        <v>41.700941418260633</v>
      </c>
      <c r="H1662" s="3">
        <f t="shared" si="169"/>
        <v>0.26245330142414403</v>
      </c>
      <c r="I1662" s="3">
        <f t="shared" si="170"/>
        <v>20.789149280062617</v>
      </c>
    </row>
    <row r="1663" spans="1:9" ht="15.75" customHeight="1">
      <c r="A1663" s="14">
        <v>39873</v>
      </c>
      <c r="B1663">
        <v>757.13</v>
      </c>
      <c r="C1663" s="3">
        <f t="shared" si="171"/>
        <v>-48.100000000000023</v>
      </c>
      <c r="D1663" s="3">
        <f t="shared" si="167"/>
        <v>0</v>
      </c>
      <c r="E1663" s="3">
        <f t="shared" si="168"/>
        <v>48.100000000000023</v>
      </c>
      <c r="F1663" s="3">
        <f t="shared" si="166"/>
        <v>10.16279619430895</v>
      </c>
      <c r="G1663" s="3">
        <f t="shared" si="166"/>
        <v>42.158017031242018</v>
      </c>
      <c r="H1663" s="3">
        <f t="shared" si="169"/>
        <v>0.24106437897156338</v>
      </c>
      <c r="I1663" s="3">
        <f t="shared" si="170"/>
        <v>19.42400273959413</v>
      </c>
    </row>
    <row r="1664" spans="1:9" ht="15.75" customHeight="1">
      <c r="A1664" s="14">
        <v>39904</v>
      </c>
      <c r="B1664">
        <v>848.15</v>
      </c>
      <c r="C1664" s="3">
        <f t="shared" si="171"/>
        <v>91.019999999999982</v>
      </c>
      <c r="D1664" s="3">
        <f t="shared" si="167"/>
        <v>91.019999999999982</v>
      </c>
      <c r="E1664" s="3">
        <f t="shared" si="168"/>
        <v>0</v>
      </c>
      <c r="F1664" s="3">
        <f t="shared" si="166"/>
        <v>15.938310751858308</v>
      </c>
      <c r="G1664" s="3">
        <f t="shared" si="166"/>
        <v>39.146730100439015</v>
      </c>
      <c r="H1664" s="3">
        <f t="shared" si="169"/>
        <v>0.40714283698703013</v>
      </c>
      <c r="I1664" s="3">
        <f t="shared" si="170"/>
        <v>28.934009134339419</v>
      </c>
    </row>
    <row r="1665" spans="1:9" ht="15.75" customHeight="1">
      <c r="A1665" s="14">
        <v>39934</v>
      </c>
      <c r="B1665">
        <v>902.41</v>
      </c>
      <c r="C1665" s="3">
        <f t="shared" si="171"/>
        <v>54.259999999999991</v>
      </c>
      <c r="D1665" s="3">
        <f t="shared" si="167"/>
        <v>54.259999999999991</v>
      </c>
      <c r="E1665" s="3">
        <f t="shared" si="168"/>
        <v>0</v>
      </c>
      <c r="F1665" s="3">
        <f t="shared" si="166"/>
        <v>18.675574269582714</v>
      </c>
      <c r="G1665" s="3">
        <f t="shared" si="166"/>
        <v>36.350535093264803</v>
      </c>
      <c r="H1665" s="3">
        <f t="shared" si="169"/>
        <v>0.51376339362451395</v>
      </c>
      <c r="I1665" s="3">
        <f t="shared" si="170"/>
        <v>33.939477978415951</v>
      </c>
    </row>
    <row r="1666" spans="1:9" ht="15.75" customHeight="1">
      <c r="A1666" s="14">
        <v>39965</v>
      </c>
      <c r="B1666">
        <v>926.12</v>
      </c>
      <c r="C1666" s="3">
        <f t="shared" si="171"/>
        <v>23.710000000000036</v>
      </c>
      <c r="D1666" s="3">
        <f t="shared" si="167"/>
        <v>23.710000000000036</v>
      </c>
      <c r="E1666" s="3">
        <f t="shared" si="168"/>
        <v>0</v>
      </c>
      <c r="F1666" s="3">
        <f t="shared" si="166"/>
        <v>19.035176107469663</v>
      </c>
      <c r="G1666" s="3">
        <f t="shared" si="166"/>
        <v>33.754068300888747</v>
      </c>
      <c r="H1666" s="3">
        <f t="shared" si="169"/>
        <v>0.56393723973617915</v>
      </c>
      <c r="I1666" s="3">
        <f t="shared" si="170"/>
        <v>36.05881523937046</v>
      </c>
    </row>
    <row r="1667" spans="1:9" ht="15.75" customHeight="1">
      <c r="A1667" s="14">
        <v>39995</v>
      </c>
      <c r="B1667">
        <v>935.82</v>
      </c>
      <c r="C1667" s="3">
        <f t="shared" si="171"/>
        <v>9.7000000000000455</v>
      </c>
      <c r="D1667" s="3">
        <f t="shared" si="167"/>
        <v>9.7000000000000455</v>
      </c>
      <c r="E1667" s="3">
        <f t="shared" si="168"/>
        <v>0</v>
      </c>
      <c r="F1667" s="3">
        <f t="shared" si="166"/>
        <v>18.368377814078976</v>
      </c>
      <c r="G1667" s="3">
        <f t="shared" si="166"/>
        <v>31.343063422253838</v>
      </c>
      <c r="H1667" s="3">
        <f t="shared" si="169"/>
        <v>0.58604283718601902</v>
      </c>
      <c r="I1667" s="3">
        <f t="shared" si="170"/>
        <v>36.950000557726746</v>
      </c>
    </row>
    <row r="1668" spans="1:9" ht="15.75" customHeight="1">
      <c r="A1668" s="14">
        <v>40026</v>
      </c>
      <c r="B1668">
        <v>1009.73</v>
      </c>
      <c r="C1668" s="3">
        <f t="shared" si="171"/>
        <v>73.909999999999968</v>
      </c>
      <c r="D1668" s="3">
        <f t="shared" si="167"/>
        <v>73.909999999999968</v>
      </c>
      <c r="E1668" s="3">
        <f t="shared" si="168"/>
        <v>0</v>
      </c>
      <c r="F1668" s="3">
        <f t="shared" si="166"/>
        <v>22.33563654164476</v>
      </c>
      <c r="G1668" s="3">
        <f t="shared" si="166"/>
        <v>29.104273177807134</v>
      </c>
      <c r="H1668" s="3">
        <f t="shared" si="169"/>
        <v>0.76743495380177851</v>
      </c>
      <c r="I1668" s="3">
        <f t="shared" si="170"/>
        <v>43.420831536177033</v>
      </c>
    </row>
    <row r="1669" spans="1:9" ht="15.75" customHeight="1">
      <c r="A1669" s="14">
        <v>40057</v>
      </c>
      <c r="B1669">
        <v>1044.55</v>
      </c>
      <c r="C1669" s="3">
        <f t="shared" si="171"/>
        <v>34.819999999999936</v>
      </c>
      <c r="D1669" s="3">
        <f t="shared" si="167"/>
        <v>34.819999999999936</v>
      </c>
      <c r="E1669" s="3">
        <f t="shared" si="168"/>
        <v>0</v>
      </c>
      <c r="F1669" s="3">
        <f t="shared" si="166"/>
        <v>23.227376788670131</v>
      </c>
      <c r="G1669" s="3">
        <f t="shared" si="166"/>
        <v>27.02539652224948</v>
      </c>
      <c r="H1669" s="3">
        <f t="shared" si="169"/>
        <v>0.85946479155439914</v>
      </c>
      <c r="I1669" s="3">
        <f t="shared" si="170"/>
        <v>46.221084446344314</v>
      </c>
    </row>
    <row r="1670" spans="1:9" ht="15.75" customHeight="1">
      <c r="A1670" s="14">
        <v>40087</v>
      </c>
      <c r="B1670">
        <v>1067.6600000000001</v>
      </c>
      <c r="C1670" s="3">
        <f t="shared" si="171"/>
        <v>23.110000000000127</v>
      </c>
      <c r="D1670" s="3">
        <f t="shared" si="167"/>
        <v>23.110000000000127</v>
      </c>
      <c r="E1670" s="3">
        <f t="shared" si="168"/>
        <v>0</v>
      </c>
      <c r="F1670" s="3">
        <f t="shared" si="166"/>
        <v>23.218992732336563</v>
      </c>
      <c r="G1670" s="3">
        <f t="shared" si="166"/>
        <v>25.095011056374517</v>
      </c>
      <c r="H1670" s="3">
        <f t="shared" si="169"/>
        <v>0.92524337527393052</v>
      </c>
      <c r="I1670" s="3">
        <f t="shared" si="170"/>
        <v>48.058514947092526</v>
      </c>
    </row>
    <row r="1671" spans="1:9" ht="15.75" customHeight="1">
      <c r="A1671" s="14">
        <v>40118</v>
      </c>
      <c r="B1671">
        <v>1088.07</v>
      </c>
      <c r="C1671" s="3">
        <f t="shared" si="171"/>
        <v>20.409999999999854</v>
      </c>
      <c r="D1671" s="3">
        <f t="shared" si="167"/>
        <v>20.409999999999854</v>
      </c>
      <c r="E1671" s="3">
        <f t="shared" si="168"/>
        <v>0</v>
      </c>
      <c r="F1671" s="3">
        <f t="shared" si="166"/>
        <v>23.018350394312513</v>
      </c>
      <c r="G1671" s="3">
        <f t="shared" si="166"/>
        <v>23.30251026663348</v>
      </c>
      <c r="H1671" s="3">
        <f t="shared" si="169"/>
        <v>0.98780561110929532</v>
      </c>
      <c r="I1671" s="3">
        <f t="shared" si="170"/>
        <v>49.69327008580332</v>
      </c>
    </row>
    <row r="1672" spans="1:9" ht="15.75" customHeight="1">
      <c r="A1672" s="14">
        <v>40148</v>
      </c>
      <c r="B1672">
        <v>1110.3800000000001</v>
      </c>
      <c r="C1672" s="3">
        <f t="shared" si="171"/>
        <v>22.310000000000173</v>
      </c>
      <c r="D1672" s="3">
        <f t="shared" si="167"/>
        <v>22.310000000000173</v>
      </c>
      <c r="E1672" s="3">
        <f t="shared" si="168"/>
        <v>0</v>
      </c>
      <c r="F1672" s="3">
        <f t="shared" si="166"/>
        <v>22.967753937575917</v>
      </c>
      <c r="G1672" s="3">
        <f t="shared" si="166"/>
        <v>21.638045247588231</v>
      </c>
      <c r="H1672" s="3">
        <f t="shared" si="169"/>
        <v>1.0614523481568141</v>
      </c>
      <c r="I1672" s="3">
        <f t="shared" si="170"/>
        <v>51.490511003365171</v>
      </c>
    </row>
    <row r="1673" spans="1:9" ht="15.75" customHeight="1">
      <c r="A1673" s="14">
        <v>40179</v>
      </c>
      <c r="B1673">
        <v>1123.58</v>
      </c>
      <c r="C1673" s="3">
        <f t="shared" si="171"/>
        <v>13.199999999999818</v>
      </c>
      <c r="D1673" s="3">
        <f t="shared" si="167"/>
        <v>13.199999999999818</v>
      </c>
      <c r="E1673" s="3">
        <f t="shared" si="168"/>
        <v>0</v>
      </c>
      <c r="F1673" s="3">
        <f t="shared" si="166"/>
        <v>22.270057227749053</v>
      </c>
      <c r="G1673" s="3">
        <f t="shared" si="166"/>
        <v>20.092470587046215</v>
      </c>
      <c r="H1673" s="3">
        <f t="shared" si="169"/>
        <v>1.1083782420518633</v>
      </c>
      <c r="I1673" s="3">
        <f t="shared" si="170"/>
        <v>52.570180243047609</v>
      </c>
    </row>
    <row r="1674" spans="1:9" ht="15.75" customHeight="1">
      <c r="A1674" s="14">
        <v>40210</v>
      </c>
      <c r="B1674">
        <v>1089.1600000000001</v>
      </c>
      <c r="C1674" s="3">
        <f t="shared" si="171"/>
        <v>-34.419999999999845</v>
      </c>
      <c r="D1674" s="3">
        <f t="shared" si="167"/>
        <v>0</v>
      </c>
      <c r="E1674" s="3">
        <f t="shared" si="168"/>
        <v>34.419999999999845</v>
      </c>
      <c r="F1674" s="3">
        <f t="shared" si="166"/>
        <v>20.679338854338404</v>
      </c>
      <c r="G1674" s="3">
        <f t="shared" si="166"/>
        <v>21.115865545114332</v>
      </c>
      <c r="H1674" s="3">
        <f t="shared" si="169"/>
        <v>0.97932707566056043</v>
      </c>
      <c r="I1674" s="3">
        <f t="shared" si="170"/>
        <v>49.477778973630713</v>
      </c>
    </row>
    <row r="1675" spans="1:9" ht="15.75" customHeight="1">
      <c r="A1675" s="14">
        <v>40238</v>
      </c>
      <c r="B1675">
        <v>1152.05</v>
      </c>
      <c r="C1675" s="3">
        <f t="shared" si="171"/>
        <v>62.889999999999873</v>
      </c>
      <c r="D1675" s="3">
        <f t="shared" si="167"/>
        <v>62.889999999999873</v>
      </c>
      <c r="E1675" s="3">
        <f t="shared" si="168"/>
        <v>0</v>
      </c>
      <c r="F1675" s="3">
        <f t="shared" si="166"/>
        <v>23.694386079028508</v>
      </c>
      <c r="G1675" s="3">
        <f t="shared" si="166"/>
        <v>19.607589434749023</v>
      </c>
      <c r="H1675" s="3">
        <f t="shared" si="169"/>
        <v>1.2084293256894072</v>
      </c>
      <c r="I1675" s="3">
        <f t="shared" si="170"/>
        <v>54.718949419500703</v>
      </c>
    </row>
    <row r="1676" spans="1:9" ht="15.75" customHeight="1">
      <c r="A1676" s="14">
        <v>40269</v>
      </c>
      <c r="B1676">
        <v>1197.32</v>
      </c>
      <c r="C1676" s="3">
        <f t="shared" si="171"/>
        <v>45.269999999999982</v>
      </c>
      <c r="D1676" s="3">
        <f t="shared" si="167"/>
        <v>45.269999999999982</v>
      </c>
      <c r="E1676" s="3">
        <f t="shared" si="168"/>
        <v>0</v>
      </c>
      <c r="F1676" s="3">
        <f t="shared" si="166"/>
        <v>25.235501359097899</v>
      </c>
      <c r="G1676" s="3">
        <f t="shared" si="166"/>
        <v>18.207047332266949</v>
      </c>
      <c r="H1676" s="3">
        <f t="shared" si="169"/>
        <v>1.3860293159327906</v>
      </c>
      <c r="I1676" s="3">
        <f t="shared" si="170"/>
        <v>58.08936657557112</v>
      </c>
    </row>
    <row r="1677" spans="1:9" ht="15.75" customHeight="1">
      <c r="A1677" s="14">
        <v>40299</v>
      </c>
      <c r="B1677">
        <v>1125.06</v>
      </c>
      <c r="C1677" s="3">
        <f t="shared" si="171"/>
        <v>-72.259999999999991</v>
      </c>
      <c r="D1677" s="3">
        <f t="shared" si="167"/>
        <v>0</v>
      </c>
      <c r="E1677" s="3">
        <f t="shared" si="168"/>
        <v>72.259999999999991</v>
      </c>
      <c r="F1677" s="3">
        <f t="shared" si="166"/>
        <v>23.432965547733765</v>
      </c>
      <c r="G1677" s="3">
        <f t="shared" si="166"/>
        <v>22.067972522819307</v>
      </c>
      <c r="H1677" s="3">
        <f t="shared" si="169"/>
        <v>1.0618540295671925</v>
      </c>
      <c r="I1677" s="3">
        <f t="shared" si="170"/>
        <v>51.499961410463584</v>
      </c>
    </row>
    <row r="1678" spans="1:9" ht="15.75" customHeight="1">
      <c r="A1678" s="14">
        <v>40330</v>
      </c>
      <c r="B1678">
        <v>1083.3599999999999</v>
      </c>
      <c r="C1678" s="3">
        <f t="shared" si="171"/>
        <v>-41.700000000000045</v>
      </c>
      <c r="D1678" s="3">
        <f t="shared" si="167"/>
        <v>0</v>
      </c>
      <c r="E1678" s="3">
        <f t="shared" si="168"/>
        <v>41.700000000000045</v>
      </c>
      <c r="F1678" s="3">
        <f t="shared" si="166"/>
        <v>21.759182294324209</v>
      </c>
      <c r="G1678" s="3">
        <f t="shared" si="166"/>
        <v>23.470260199760787</v>
      </c>
      <c r="H1678" s="3">
        <f t="shared" si="169"/>
        <v>0.92709591240688427</v>
      </c>
      <c r="I1678" s="3">
        <f t="shared" si="170"/>
        <v>48.108446831220228</v>
      </c>
    </row>
    <row r="1679" spans="1:9" ht="15.75" customHeight="1">
      <c r="A1679" s="14">
        <v>40360</v>
      </c>
      <c r="B1679">
        <v>1079.8</v>
      </c>
      <c r="C1679" s="3">
        <f t="shared" si="171"/>
        <v>-3.5599999999999454</v>
      </c>
      <c r="D1679" s="3">
        <f t="shared" si="167"/>
        <v>0</v>
      </c>
      <c r="E1679" s="3">
        <f t="shared" si="168"/>
        <v>3.5599999999999454</v>
      </c>
      <c r="F1679" s="3">
        <f t="shared" si="166"/>
        <v>20.204954987586767</v>
      </c>
      <c r="G1679" s="3">
        <f t="shared" si="166"/>
        <v>22.048098756920727</v>
      </c>
      <c r="H1679" s="3">
        <f t="shared" si="169"/>
        <v>0.91640350537003057</v>
      </c>
      <c r="I1679" s="3">
        <f t="shared" si="170"/>
        <v>47.818922413893517</v>
      </c>
    </row>
    <row r="1680" spans="1:9" ht="15.75" customHeight="1">
      <c r="A1680" s="14">
        <v>40391</v>
      </c>
      <c r="B1680">
        <v>1087.28</v>
      </c>
      <c r="C1680" s="3">
        <f t="shared" si="171"/>
        <v>7.4800000000000182</v>
      </c>
      <c r="D1680" s="3">
        <f t="shared" si="167"/>
        <v>7.4800000000000182</v>
      </c>
      <c r="E1680" s="3">
        <f t="shared" si="168"/>
        <v>0</v>
      </c>
      <c r="F1680" s="3">
        <f t="shared" si="166"/>
        <v>19.296029631330573</v>
      </c>
      <c r="G1680" s="3">
        <f t="shared" si="166"/>
        <v>20.473234559997817</v>
      </c>
      <c r="H1680" s="3">
        <f t="shared" si="169"/>
        <v>0.94250029592454543</v>
      </c>
      <c r="I1680" s="3">
        <f t="shared" si="170"/>
        <v>48.519956362526905</v>
      </c>
    </row>
    <row r="1681" spans="1:9" ht="15.75" customHeight="1">
      <c r="A1681" s="14">
        <v>40422</v>
      </c>
      <c r="B1681">
        <v>1122.08</v>
      </c>
      <c r="C1681" s="3">
        <f t="shared" si="171"/>
        <v>34.799999999999955</v>
      </c>
      <c r="D1681" s="3">
        <f t="shared" si="167"/>
        <v>34.799999999999955</v>
      </c>
      <c r="E1681" s="3">
        <f t="shared" si="168"/>
        <v>0</v>
      </c>
      <c r="F1681" s="3">
        <f t="shared" si="166"/>
        <v>20.403456086235529</v>
      </c>
      <c r="G1681" s="3">
        <f t="shared" si="166"/>
        <v>19.010860662855116</v>
      </c>
      <c r="H1681" s="3">
        <f t="shared" si="169"/>
        <v>1.0732526237542404</v>
      </c>
      <c r="I1681" s="3">
        <f t="shared" si="170"/>
        <v>51.766611143161001</v>
      </c>
    </row>
    <row r="1682" spans="1:9" ht="15.75" customHeight="1">
      <c r="A1682" s="14">
        <v>40452</v>
      </c>
      <c r="B1682">
        <v>1171.58</v>
      </c>
      <c r="C1682" s="3">
        <f t="shared" si="171"/>
        <v>49.5</v>
      </c>
      <c r="D1682" s="3">
        <f t="shared" si="167"/>
        <v>49.5</v>
      </c>
      <c r="E1682" s="3">
        <f t="shared" si="168"/>
        <v>0</v>
      </c>
      <c r="F1682" s="3">
        <f t="shared" ref="F1682:G1745" si="172">((F1681*13)+D1682)/14</f>
        <v>22.481780651504419</v>
      </c>
      <c r="G1682" s="3">
        <f t="shared" si="172"/>
        <v>17.652942044079751</v>
      </c>
      <c r="H1682" s="3">
        <f t="shared" si="169"/>
        <v>1.2735429933076856</v>
      </c>
      <c r="I1682" s="3">
        <f t="shared" si="170"/>
        <v>56.015786684326542</v>
      </c>
    </row>
    <row r="1683" spans="1:9" ht="15.75" customHeight="1">
      <c r="A1683" s="14">
        <v>40483</v>
      </c>
      <c r="B1683">
        <v>1198.8900000000001</v>
      </c>
      <c r="C1683" s="3">
        <f t="shared" si="171"/>
        <v>27.310000000000173</v>
      </c>
      <c r="D1683" s="3">
        <f t="shared" si="167"/>
        <v>27.310000000000173</v>
      </c>
      <c r="E1683" s="3">
        <f t="shared" si="168"/>
        <v>0</v>
      </c>
      <c r="F1683" s="3">
        <f t="shared" si="172"/>
        <v>22.82665346211126</v>
      </c>
      <c r="G1683" s="3">
        <f t="shared" si="172"/>
        <v>16.392017612359769</v>
      </c>
      <c r="H1683" s="3">
        <f t="shared" si="169"/>
        <v>1.3925469092285321</v>
      </c>
      <c r="I1683" s="3">
        <f t="shared" si="170"/>
        <v>58.203536317603636</v>
      </c>
    </row>
    <row r="1684" spans="1:9" ht="15.75" customHeight="1">
      <c r="A1684" s="14">
        <v>40513</v>
      </c>
      <c r="B1684">
        <v>1241.53</v>
      </c>
      <c r="C1684" s="3">
        <f t="shared" si="171"/>
        <v>42.639999999999873</v>
      </c>
      <c r="D1684" s="3">
        <f t="shared" si="167"/>
        <v>42.639999999999873</v>
      </c>
      <c r="E1684" s="3">
        <f t="shared" si="168"/>
        <v>0</v>
      </c>
      <c r="F1684" s="3">
        <f t="shared" si="172"/>
        <v>24.241892500531872</v>
      </c>
      <c r="G1684" s="3">
        <f t="shared" si="172"/>
        <v>15.221159211476929</v>
      </c>
      <c r="H1684" s="3">
        <f t="shared" si="169"/>
        <v>1.5926443028237434</v>
      </c>
      <c r="I1684" s="3">
        <f t="shared" si="170"/>
        <v>61.429340734829552</v>
      </c>
    </row>
    <row r="1685" spans="1:9" ht="15.75" customHeight="1">
      <c r="A1685" s="14">
        <v>40544</v>
      </c>
      <c r="B1685">
        <v>1282.6199999999999</v>
      </c>
      <c r="C1685" s="3">
        <f t="shared" si="171"/>
        <v>41.089999999999918</v>
      </c>
      <c r="D1685" s="3">
        <f t="shared" si="167"/>
        <v>41.089999999999918</v>
      </c>
      <c r="E1685" s="3">
        <f t="shared" si="168"/>
        <v>0</v>
      </c>
      <c r="F1685" s="3">
        <f t="shared" si="172"/>
        <v>25.445328750493875</v>
      </c>
      <c r="G1685" s="3">
        <f t="shared" si="172"/>
        <v>14.133933553514291</v>
      </c>
      <c r="H1685" s="3">
        <f t="shared" si="169"/>
        <v>1.8003005783317196</v>
      </c>
      <c r="I1685" s="3">
        <f t="shared" si="170"/>
        <v>64.289547781483137</v>
      </c>
    </row>
    <row r="1686" spans="1:9" ht="15.75" customHeight="1">
      <c r="A1686" s="14">
        <v>40575</v>
      </c>
      <c r="B1686">
        <v>1321.12</v>
      </c>
      <c r="C1686" s="3">
        <f t="shared" si="171"/>
        <v>38.5</v>
      </c>
      <c r="D1686" s="3">
        <f t="shared" si="167"/>
        <v>38.5</v>
      </c>
      <c r="E1686" s="3">
        <f t="shared" si="168"/>
        <v>0</v>
      </c>
      <c r="F1686" s="3">
        <f t="shared" si="172"/>
        <v>26.37780526831574</v>
      </c>
      <c r="G1686" s="3">
        <f t="shared" si="172"/>
        <v>13.124366871120413</v>
      </c>
      <c r="H1686" s="3">
        <f t="shared" si="169"/>
        <v>2.0098344954345135</v>
      </c>
      <c r="I1686" s="3">
        <f t="shared" si="170"/>
        <v>66.775581796379299</v>
      </c>
    </row>
    <row r="1687" spans="1:9" ht="15.75" customHeight="1">
      <c r="A1687" s="14">
        <v>40603</v>
      </c>
      <c r="B1687">
        <v>1304.49</v>
      </c>
      <c r="C1687" s="3">
        <f t="shared" si="171"/>
        <v>-16.629999999999882</v>
      </c>
      <c r="D1687" s="3">
        <f t="shared" si="167"/>
        <v>0</v>
      </c>
      <c r="E1687" s="3">
        <f t="shared" si="168"/>
        <v>16.629999999999882</v>
      </c>
      <c r="F1687" s="3">
        <f t="shared" si="172"/>
        <v>24.493676320578903</v>
      </c>
      <c r="G1687" s="3">
        <f t="shared" si="172"/>
        <v>13.374769237468948</v>
      </c>
      <c r="H1687" s="3">
        <f t="shared" si="169"/>
        <v>1.8313344989878948</v>
      </c>
      <c r="I1687" s="3">
        <f t="shared" si="170"/>
        <v>64.680965800492103</v>
      </c>
    </row>
    <row r="1688" spans="1:9" ht="15.75" customHeight="1">
      <c r="A1688" s="14">
        <v>40634</v>
      </c>
      <c r="B1688">
        <v>1331.51</v>
      </c>
      <c r="C1688" s="3">
        <f t="shared" si="171"/>
        <v>27.019999999999982</v>
      </c>
      <c r="D1688" s="3">
        <f t="shared" si="167"/>
        <v>27.019999999999982</v>
      </c>
      <c r="E1688" s="3">
        <f t="shared" si="168"/>
        <v>0</v>
      </c>
      <c r="F1688" s="3">
        <f t="shared" si="172"/>
        <v>24.674128011966125</v>
      </c>
      <c r="G1688" s="3">
        <f t="shared" si="172"/>
        <v>12.419428577649738</v>
      </c>
      <c r="H1688" s="3">
        <f t="shared" si="169"/>
        <v>1.9867361737053024</v>
      </c>
      <c r="I1688" s="3">
        <f t="shared" si="170"/>
        <v>66.518636336084072</v>
      </c>
    </row>
    <row r="1689" spans="1:9" ht="15.75" customHeight="1">
      <c r="A1689" s="14">
        <v>40664</v>
      </c>
      <c r="B1689">
        <v>1338.31</v>
      </c>
      <c r="C1689" s="3">
        <f t="shared" si="171"/>
        <v>6.7999999999999545</v>
      </c>
      <c r="D1689" s="3">
        <f t="shared" si="167"/>
        <v>6.7999999999999545</v>
      </c>
      <c r="E1689" s="3">
        <f t="shared" si="168"/>
        <v>0</v>
      </c>
      <c r="F1689" s="3">
        <f t="shared" si="172"/>
        <v>23.39740458253997</v>
      </c>
      <c r="G1689" s="3">
        <f t="shared" si="172"/>
        <v>11.532326536389041</v>
      </c>
      <c r="H1689" s="3">
        <f t="shared" si="169"/>
        <v>2.028853805753065</v>
      </c>
      <c r="I1689" s="3">
        <f t="shared" si="170"/>
        <v>66.984210393364634</v>
      </c>
    </row>
    <row r="1690" spans="1:9" ht="15.75" customHeight="1">
      <c r="A1690" s="14">
        <v>40695</v>
      </c>
      <c r="B1690">
        <v>1287.29</v>
      </c>
      <c r="C1690" s="3">
        <f t="shared" si="171"/>
        <v>-51.019999999999982</v>
      </c>
      <c r="D1690" s="3">
        <f t="shared" si="167"/>
        <v>0</v>
      </c>
      <c r="E1690" s="3">
        <f t="shared" si="168"/>
        <v>51.019999999999982</v>
      </c>
      <c r="F1690" s="3">
        <f t="shared" si="172"/>
        <v>21.726161398072829</v>
      </c>
      <c r="G1690" s="3">
        <f t="shared" si="172"/>
        <v>14.352874640932679</v>
      </c>
      <c r="H1690" s="3">
        <f t="shared" si="169"/>
        <v>1.5137149833464314</v>
      </c>
      <c r="I1690" s="3">
        <f t="shared" si="170"/>
        <v>60.218242456878272</v>
      </c>
    </row>
    <row r="1691" spans="1:9" ht="15.75" customHeight="1">
      <c r="A1691" s="14">
        <v>40725</v>
      </c>
      <c r="B1691">
        <v>1325.19</v>
      </c>
      <c r="C1691" s="3">
        <f t="shared" si="171"/>
        <v>37.900000000000091</v>
      </c>
      <c r="D1691" s="3">
        <f t="shared" si="167"/>
        <v>37.900000000000091</v>
      </c>
      <c r="E1691" s="3">
        <f t="shared" si="168"/>
        <v>0</v>
      </c>
      <c r="F1691" s="3">
        <f t="shared" si="172"/>
        <v>22.881435583924777</v>
      </c>
      <c r="G1691" s="3">
        <f t="shared" si="172"/>
        <v>13.327669309437487</v>
      </c>
      <c r="H1691" s="3">
        <f t="shared" si="169"/>
        <v>1.7168369842221511</v>
      </c>
      <c r="I1691" s="3">
        <f t="shared" si="170"/>
        <v>63.192491643501874</v>
      </c>
    </row>
    <row r="1692" spans="1:9" ht="15.75" customHeight="1">
      <c r="A1692" s="14">
        <v>40756</v>
      </c>
      <c r="B1692">
        <v>1185.31</v>
      </c>
      <c r="C1692" s="3">
        <f t="shared" si="171"/>
        <v>-139.88000000000011</v>
      </c>
      <c r="D1692" s="3">
        <f t="shared" si="167"/>
        <v>0</v>
      </c>
      <c r="E1692" s="3">
        <f t="shared" si="168"/>
        <v>139.88000000000011</v>
      </c>
      <c r="F1692" s="3">
        <f t="shared" si="172"/>
        <v>21.247047327930151</v>
      </c>
      <c r="G1692" s="3">
        <f t="shared" si="172"/>
        <v>22.367121501620527</v>
      </c>
      <c r="H1692" s="3">
        <f t="shared" si="169"/>
        <v>0.9499231864230171</v>
      </c>
      <c r="I1692" s="3">
        <f t="shared" si="170"/>
        <v>48.715928557451413</v>
      </c>
    </row>
    <row r="1693" spans="1:9" ht="15.75" customHeight="1">
      <c r="A1693" s="14">
        <v>40787</v>
      </c>
      <c r="B1693">
        <v>1173.8800000000001</v>
      </c>
      <c r="C1693" s="3">
        <f t="shared" si="171"/>
        <v>-11.429999999999836</v>
      </c>
      <c r="D1693" s="3">
        <f t="shared" si="167"/>
        <v>0</v>
      </c>
      <c r="E1693" s="3">
        <f t="shared" si="168"/>
        <v>11.429999999999836</v>
      </c>
      <c r="F1693" s="3">
        <f t="shared" si="172"/>
        <v>19.729401090220854</v>
      </c>
      <c r="G1693" s="3">
        <f t="shared" si="172"/>
        <v>21.585898537219048</v>
      </c>
      <c r="H1693" s="3">
        <f t="shared" si="169"/>
        <v>0.9139948960754557</v>
      </c>
      <c r="I1693" s="3">
        <f t="shared" si="170"/>
        <v>47.753256706669042</v>
      </c>
    </row>
    <row r="1694" spans="1:9" ht="15.75" customHeight="1">
      <c r="A1694" s="14">
        <v>40817</v>
      </c>
      <c r="B1694">
        <v>1207.22</v>
      </c>
      <c r="C1694" s="3">
        <f t="shared" si="171"/>
        <v>33.339999999999918</v>
      </c>
      <c r="D1694" s="3">
        <f t="shared" si="167"/>
        <v>33.339999999999918</v>
      </c>
      <c r="E1694" s="3">
        <f t="shared" si="168"/>
        <v>0</v>
      </c>
      <c r="F1694" s="3">
        <f t="shared" si="172"/>
        <v>20.701586726633646</v>
      </c>
      <c r="G1694" s="3">
        <f t="shared" si="172"/>
        <v>20.044048641703402</v>
      </c>
      <c r="H1694" s="3">
        <f t="shared" si="169"/>
        <v>1.0328046542235074</v>
      </c>
      <c r="I1694" s="3">
        <f t="shared" si="170"/>
        <v>50.806881619327022</v>
      </c>
    </row>
    <row r="1695" spans="1:9" ht="15.75" customHeight="1">
      <c r="A1695" s="14">
        <v>40848</v>
      </c>
      <c r="B1695">
        <v>1226.42</v>
      </c>
      <c r="C1695" s="3">
        <f t="shared" si="171"/>
        <v>19.200000000000045</v>
      </c>
      <c r="D1695" s="3">
        <f t="shared" si="167"/>
        <v>19.200000000000045</v>
      </c>
      <c r="E1695" s="3">
        <f t="shared" si="168"/>
        <v>0</v>
      </c>
      <c r="F1695" s="3">
        <f t="shared" si="172"/>
        <v>20.594330531874103</v>
      </c>
      <c r="G1695" s="3">
        <f t="shared" si="172"/>
        <v>18.61233088158173</v>
      </c>
      <c r="H1695" s="3">
        <f t="shared" si="169"/>
        <v>1.1064885243499356</v>
      </c>
      <c r="I1695" s="3">
        <f t="shared" si="170"/>
        <v>52.527631247903379</v>
      </c>
    </row>
    <row r="1696" spans="1:9" ht="15.75" customHeight="1">
      <c r="A1696" s="14">
        <v>40878</v>
      </c>
      <c r="B1696">
        <v>1243.32</v>
      </c>
      <c r="C1696" s="3">
        <f t="shared" si="171"/>
        <v>16.899999999999864</v>
      </c>
      <c r="D1696" s="3">
        <f t="shared" si="167"/>
        <v>16.899999999999864</v>
      </c>
      <c r="E1696" s="3">
        <f t="shared" si="168"/>
        <v>0</v>
      </c>
      <c r="F1696" s="3">
        <f t="shared" si="172"/>
        <v>20.33044977959737</v>
      </c>
      <c r="G1696" s="3">
        <f t="shared" si="172"/>
        <v>17.282878675754464</v>
      </c>
      <c r="H1696" s="3">
        <f t="shared" si="169"/>
        <v>1.176334692907278</v>
      </c>
      <c r="I1696" s="3">
        <f t="shared" si="170"/>
        <v>54.051185083846626</v>
      </c>
    </row>
    <row r="1697" spans="1:9" ht="15.75" customHeight="1">
      <c r="A1697" s="14">
        <v>40909</v>
      </c>
      <c r="B1697">
        <v>1300.58</v>
      </c>
      <c r="C1697" s="3">
        <f t="shared" si="171"/>
        <v>57.259999999999991</v>
      </c>
      <c r="D1697" s="3">
        <f t="shared" si="167"/>
        <v>57.259999999999991</v>
      </c>
      <c r="E1697" s="3">
        <f t="shared" si="168"/>
        <v>0</v>
      </c>
      <c r="F1697" s="3">
        <f t="shared" si="172"/>
        <v>22.968274795340413</v>
      </c>
      <c r="G1697" s="3">
        <f t="shared" si="172"/>
        <v>16.048387341772003</v>
      </c>
      <c r="H1697" s="3">
        <f t="shared" si="169"/>
        <v>1.4311889603734067</v>
      </c>
      <c r="I1697" s="3">
        <f t="shared" si="170"/>
        <v>58.867861926848754</v>
      </c>
    </row>
    <row r="1698" spans="1:9" ht="15.75" customHeight="1">
      <c r="A1698" s="14">
        <v>40940</v>
      </c>
      <c r="B1698">
        <v>1352.49</v>
      </c>
      <c r="C1698" s="3">
        <f t="shared" si="171"/>
        <v>51.910000000000082</v>
      </c>
      <c r="D1698" s="3">
        <f t="shared" si="167"/>
        <v>51.910000000000082</v>
      </c>
      <c r="E1698" s="3">
        <f t="shared" si="168"/>
        <v>0</v>
      </c>
      <c r="F1698" s="3">
        <f t="shared" si="172"/>
        <v>25.035540881387533</v>
      </c>
      <c r="G1698" s="3">
        <f t="shared" si="172"/>
        <v>14.902073960216859</v>
      </c>
      <c r="H1698" s="3">
        <f t="shared" si="169"/>
        <v>1.6800038000229607</v>
      </c>
      <c r="I1698" s="3">
        <f t="shared" si="170"/>
        <v>62.686620071530029</v>
      </c>
    </row>
    <row r="1699" spans="1:9" ht="15.75" customHeight="1">
      <c r="A1699" s="14">
        <v>40969</v>
      </c>
      <c r="B1699">
        <v>1389.24</v>
      </c>
      <c r="C1699" s="3">
        <f t="shared" si="171"/>
        <v>36.75</v>
      </c>
      <c r="D1699" s="3">
        <f t="shared" si="167"/>
        <v>36.75</v>
      </c>
      <c r="E1699" s="3">
        <f t="shared" si="168"/>
        <v>0</v>
      </c>
      <c r="F1699" s="3">
        <f t="shared" si="172"/>
        <v>25.872287961288425</v>
      </c>
      <c r="G1699" s="3">
        <f t="shared" si="172"/>
        <v>13.837640105915654</v>
      </c>
      <c r="H1699" s="3">
        <f t="shared" si="169"/>
        <v>1.8697037763128341</v>
      </c>
      <c r="I1699" s="3">
        <f t="shared" si="170"/>
        <v>65.153197753223878</v>
      </c>
    </row>
    <row r="1700" spans="1:9" ht="15.75" customHeight="1">
      <c r="A1700" s="14">
        <v>41000</v>
      </c>
      <c r="B1700">
        <v>1386.43</v>
      </c>
      <c r="C1700" s="3">
        <f t="shared" si="171"/>
        <v>-2.8099999999999454</v>
      </c>
      <c r="D1700" s="3">
        <f t="shared" si="167"/>
        <v>0</v>
      </c>
      <c r="E1700" s="3">
        <f t="shared" si="168"/>
        <v>2.8099999999999454</v>
      </c>
      <c r="F1700" s="3">
        <f t="shared" si="172"/>
        <v>24.024267392624967</v>
      </c>
      <c r="G1700" s="3">
        <f t="shared" si="172"/>
        <v>13.049951526921674</v>
      </c>
      <c r="H1700" s="3">
        <f t="shared" si="169"/>
        <v>1.8409468681215861</v>
      </c>
      <c r="I1700" s="3">
        <f t="shared" si="170"/>
        <v>64.80046806854952</v>
      </c>
    </row>
    <row r="1701" spans="1:9" ht="15.75" customHeight="1">
      <c r="A1701" s="14">
        <v>41030</v>
      </c>
      <c r="B1701">
        <v>1341.27</v>
      </c>
      <c r="C1701" s="3">
        <f t="shared" si="171"/>
        <v>-45.160000000000082</v>
      </c>
      <c r="D1701" s="3">
        <f t="shared" si="167"/>
        <v>0</v>
      </c>
      <c r="E1701" s="3">
        <f t="shared" si="168"/>
        <v>45.160000000000082</v>
      </c>
      <c r="F1701" s="3">
        <f t="shared" si="172"/>
        <v>22.308248293151756</v>
      </c>
      <c r="G1701" s="3">
        <f t="shared" si="172"/>
        <v>15.343526417855847</v>
      </c>
      <c r="H1701" s="3">
        <f t="shared" si="169"/>
        <v>1.4539192416151998</v>
      </c>
      <c r="I1701" s="3">
        <f t="shared" si="170"/>
        <v>59.248862674804748</v>
      </c>
    </row>
    <row r="1702" spans="1:9" ht="15.75" customHeight="1">
      <c r="A1702" s="14">
        <v>41061</v>
      </c>
      <c r="B1702">
        <v>1323.48</v>
      </c>
      <c r="C1702" s="3">
        <f t="shared" si="171"/>
        <v>-17.789999999999964</v>
      </c>
      <c r="D1702" s="3">
        <f t="shared" ref="D1702:D1765" si="173">IF(C1702&gt;0,C1702,0)</f>
        <v>0</v>
      </c>
      <c r="E1702" s="3">
        <f t="shared" ref="E1702:E1765" si="174">IF(C1702&lt;0,-C1702,0)</f>
        <v>17.789999999999964</v>
      </c>
      <c r="F1702" s="3">
        <f t="shared" si="172"/>
        <v>20.71480198649806</v>
      </c>
      <c r="G1702" s="3">
        <f t="shared" si="172"/>
        <v>15.51827453086614</v>
      </c>
      <c r="H1702" s="3">
        <f t="shared" ref="H1702:H1765" si="175">F1702/G1702</f>
        <v>1.3348650293108251</v>
      </c>
      <c r="I1702" s="3">
        <f t="shared" ref="I1702:I1765" si="176">IF(G1702=0,100,100-(100/(1+H1702)))</f>
        <v>57.170971878611461</v>
      </c>
    </row>
    <row r="1703" spans="1:9" ht="15.75" customHeight="1">
      <c r="A1703" s="14">
        <v>41091</v>
      </c>
      <c r="B1703">
        <v>1359.78</v>
      </c>
      <c r="C1703" s="3">
        <f t="shared" si="171"/>
        <v>36.299999999999955</v>
      </c>
      <c r="D1703" s="3">
        <f t="shared" si="173"/>
        <v>36.299999999999955</v>
      </c>
      <c r="E1703" s="3">
        <f t="shared" si="174"/>
        <v>0</v>
      </c>
      <c r="F1703" s="3">
        <f t="shared" si="172"/>
        <v>21.828030416033908</v>
      </c>
      <c r="G1703" s="3">
        <f t="shared" si="172"/>
        <v>14.409826350089988</v>
      </c>
      <c r="H1703" s="3">
        <f t="shared" si="175"/>
        <v>1.5148017669135614</v>
      </c>
      <c r="I1703" s="3">
        <f t="shared" si="176"/>
        <v>60.235434332968957</v>
      </c>
    </row>
    <row r="1704" spans="1:9" ht="15.75" customHeight="1">
      <c r="A1704" s="14">
        <v>41122</v>
      </c>
      <c r="B1704">
        <v>1403.45</v>
      </c>
      <c r="C1704" s="3">
        <f t="shared" si="171"/>
        <v>43.670000000000073</v>
      </c>
      <c r="D1704" s="3">
        <f t="shared" si="173"/>
        <v>43.670000000000073</v>
      </c>
      <c r="E1704" s="3">
        <f t="shared" si="174"/>
        <v>0</v>
      </c>
      <c r="F1704" s="3">
        <f t="shared" si="172"/>
        <v>23.388171100602921</v>
      </c>
      <c r="G1704" s="3">
        <f t="shared" si="172"/>
        <v>13.380553039369275</v>
      </c>
      <c r="H1704" s="3">
        <f t="shared" si="175"/>
        <v>1.7479226031830282</v>
      </c>
      <c r="I1704" s="3">
        <f t="shared" si="176"/>
        <v>63.608873159613005</v>
      </c>
    </row>
    <row r="1705" spans="1:9" ht="15.75" customHeight="1">
      <c r="A1705" s="14">
        <v>41153</v>
      </c>
      <c r="B1705">
        <v>1443.42</v>
      </c>
      <c r="C1705" s="3">
        <f t="shared" si="171"/>
        <v>39.970000000000027</v>
      </c>
      <c r="D1705" s="3">
        <f t="shared" si="173"/>
        <v>39.970000000000027</v>
      </c>
      <c r="E1705" s="3">
        <f t="shared" si="174"/>
        <v>0</v>
      </c>
      <c r="F1705" s="3">
        <f t="shared" si="172"/>
        <v>24.572587450559858</v>
      </c>
      <c r="G1705" s="3">
        <f t="shared" si="172"/>
        <v>12.424799250842897</v>
      </c>
      <c r="H1705" s="3">
        <f t="shared" si="175"/>
        <v>1.9777049877802135</v>
      </c>
      <c r="I1705" s="3">
        <f t="shared" si="176"/>
        <v>66.417089533591806</v>
      </c>
    </row>
    <row r="1706" spans="1:9" ht="15.75" customHeight="1">
      <c r="A1706" s="14">
        <v>41183</v>
      </c>
      <c r="B1706">
        <v>1437.82</v>
      </c>
      <c r="C1706" s="3">
        <f t="shared" si="171"/>
        <v>-5.6000000000001364</v>
      </c>
      <c r="D1706" s="3">
        <f t="shared" si="173"/>
        <v>0</v>
      </c>
      <c r="E1706" s="3">
        <f t="shared" si="174"/>
        <v>5.6000000000001364</v>
      </c>
      <c r="F1706" s="3">
        <f t="shared" si="172"/>
        <v>22.817402632662724</v>
      </c>
      <c r="G1706" s="3">
        <f t="shared" si="172"/>
        <v>11.937313590068413</v>
      </c>
      <c r="H1706" s="3">
        <f t="shared" si="175"/>
        <v>1.9114353041413195</v>
      </c>
      <c r="I1706" s="3">
        <f t="shared" si="176"/>
        <v>65.652680017393209</v>
      </c>
    </row>
    <row r="1707" spans="1:9" ht="15.75" customHeight="1">
      <c r="A1707" s="14">
        <v>41214</v>
      </c>
      <c r="B1707">
        <v>1394.51</v>
      </c>
      <c r="C1707" s="3">
        <f t="shared" ref="C1707:C1770" si="177">B1707-B1706</f>
        <v>-43.309999999999945</v>
      </c>
      <c r="D1707" s="3">
        <f t="shared" si="173"/>
        <v>0</v>
      </c>
      <c r="E1707" s="3">
        <f t="shared" si="174"/>
        <v>43.309999999999945</v>
      </c>
      <c r="F1707" s="3">
        <f t="shared" si="172"/>
        <v>21.1875881589011</v>
      </c>
      <c r="G1707" s="3">
        <f t="shared" si="172"/>
        <v>14.17821976220638</v>
      </c>
      <c r="H1707" s="3">
        <f t="shared" si="175"/>
        <v>1.4943757759615894</v>
      </c>
      <c r="I1707" s="3">
        <f t="shared" si="176"/>
        <v>59.90980951478744</v>
      </c>
    </row>
    <row r="1708" spans="1:9" ht="15.75" customHeight="1">
      <c r="A1708" s="14">
        <v>41244</v>
      </c>
      <c r="B1708">
        <v>1422.29</v>
      </c>
      <c r="C1708" s="3">
        <f t="shared" si="177"/>
        <v>27.779999999999973</v>
      </c>
      <c r="D1708" s="3">
        <f t="shared" si="173"/>
        <v>27.779999999999973</v>
      </c>
      <c r="E1708" s="3">
        <f t="shared" si="174"/>
        <v>0</v>
      </c>
      <c r="F1708" s="3">
        <f t="shared" si="172"/>
        <v>21.658474718979591</v>
      </c>
      <c r="G1708" s="3">
        <f t="shared" si="172"/>
        <v>13.16548977919164</v>
      </c>
      <c r="H1708" s="3">
        <f t="shared" si="175"/>
        <v>1.6450944919049886</v>
      </c>
      <c r="I1708" s="3">
        <f t="shared" si="176"/>
        <v>62.194167238244738</v>
      </c>
    </row>
    <row r="1709" spans="1:9" ht="15.75" customHeight="1">
      <c r="A1709" s="14">
        <v>41275</v>
      </c>
      <c r="B1709">
        <v>1480.4</v>
      </c>
      <c r="C1709" s="3">
        <f t="shared" si="177"/>
        <v>58.110000000000127</v>
      </c>
      <c r="D1709" s="3">
        <f t="shared" si="173"/>
        <v>58.110000000000127</v>
      </c>
      <c r="E1709" s="3">
        <f t="shared" si="174"/>
        <v>0</v>
      </c>
      <c r="F1709" s="3">
        <f t="shared" si="172"/>
        <v>24.262155096195347</v>
      </c>
      <c r="G1709" s="3">
        <f t="shared" si="172"/>
        <v>12.225097652106523</v>
      </c>
      <c r="H1709" s="3">
        <f t="shared" si="175"/>
        <v>1.9846185107580472</v>
      </c>
      <c r="I1709" s="3">
        <f t="shared" si="176"/>
        <v>66.494880454721311</v>
      </c>
    </row>
    <row r="1710" spans="1:9" ht="15.75" customHeight="1">
      <c r="A1710" s="14">
        <v>41306</v>
      </c>
      <c r="B1710">
        <v>1512.31</v>
      </c>
      <c r="C1710" s="3">
        <f t="shared" si="177"/>
        <v>31.909999999999854</v>
      </c>
      <c r="D1710" s="3">
        <f t="shared" si="173"/>
        <v>31.909999999999854</v>
      </c>
      <c r="E1710" s="3">
        <f t="shared" si="174"/>
        <v>0</v>
      </c>
      <c r="F1710" s="3">
        <f t="shared" si="172"/>
        <v>24.808429732181384</v>
      </c>
      <c r="G1710" s="3">
        <f t="shared" si="172"/>
        <v>11.351876391241772</v>
      </c>
      <c r="H1710" s="3">
        <f t="shared" si="175"/>
        <v>2.1854034414364878</v>
      </c>
      <c r="I1710" s="3">
        <f t="shared" si="176"/>
        <v>68.606802297261268</v>
      </c>
    </row>
    <row r="1711" spans="1:9" ht="15.75" customHeight="1">
      <c r="A1711" s="14">
        <v>41334</v>
      </c>
      <c r="B1711">
        <v>1550.83</v>
      </c>
      <c r="C1711" s="3">
        <f t="shared" si="177"/>
        <v>38.519999999999982</v>
      </c>
      <c r="D1711" s="3">
        <f t="shared" si="173"/>
        <v>38.519999999999982</v>
      </c>
      <c r="E1711" s="3">
        <f t="shared" si="174"/>
        <v>0</v>
      </c>
      <c r="F1711" s="3">
        <f t="shared" si="172"/>
        <v>25.78782760845414</v>
      </c>
      <c r="G1711" s="3">
        <f t="shared" si="172"/>
        <v>10.541028077581645</v>
      </c>
      <c r="H1711" s="3">
        <f t="shared" si="175"/>
        <v>2.4464243353358435</v>
      </c>
      <c r="I1711" s="3">
        <f t="shared" si="176"/>
        <v>70.984420294764632</v>
      </c>
    </row>
    <row r="1712" spans="1:9" ht="15.75" customHeight="1">
      <c r="A1712" s="14">
        <v>41365</v>
      </c>
      <c r="B1712">
        <v>1570.7</v>
      </c>
      <c r="C1712" s="3">
        <f t="shared" si="177"/>
        <v>19.870000000000118</v>
      </c>
      <c r="D1712" s="3">
        <f t="shared" si="173"/>
        <v>19.870000000000118</v>
      </c>
      <c r="E1712" s="3">
        <f t="shared" si="174"/>
        <v>0</v>
      </c>
      <c r="F1712" s="3">
        <f t="shared" si="172"/>
        <v>25.365125636421709</v>
      </c>
      <c r="G1712" s="3">
        <f t="shared" si="172"/>
        <v>9.7880975006115278</v>
      </c>
      <c r="H1712" s="3">
        <f t="shared" si="175"/>
        <v>2.5914255180679371</v>
      </c>
      <c r="I1712" s="3">
        <f t="shared" si="176"/>
        <v>72.155903137371325</v>
      </c>
    </row>
    <row r="1713" spans="1:9" ht="15.75" customHeight="1">
      <c r="A1713" s="14">
        <v>41395</v>
      </c>
      <c r="B1713">
        <v>1639.84</v>
      </c>
      <c r="C1713" s="3">
        <f t="shared" si="177"/>
        <v>69.139999999999873</v>
      </c>
      <c r="D1713" s="3">
        <f t="shared" si="173"/>
        <v>69.139999999999873</v>
      </c>
      <c r="E1713" s="3">
        <f t="shared" si="174"/>
        <v>0</v>
      </c>
      <c r="F1713" s="3">
        <f t="shared" si="172"/>
        <v>28.491902376677292</v>
      </c>
      <c r="G1713" s="3">
        <f t="shared" si="172"/>
        <v>9.0889476791392756</v>
      </c>
      <c r="H1713" s="3">
        <f t="shared" si="175"/>
        <v>3.1347856080271197</v>
      </c>
      <c r="I1713" s="3">
        <f t="shared" si="176"/>
        <v>75.814949194496634</v>
      </c>
    </row>
    <row r="1714" spans="1:9" ht="15.75" customHeight="1">
      <c r="A1714" s="14">
        <v>41426</v>
      </c>
      <c r="B1714">
        <v>1618.77</v>
      </c>
      <c r="C1714" s="3">
        <f t="shared" si="177"/>
        <v>-21.069999999999936</v>
      </c>
      <c r="D1714" s="3">
        <f t="shared" si="173"/>
        <v>0</v>
      </c>
      <c r="E1714" s="3">
        <f t="shared" si="174"/>
        <v>21.069999999999936</v>
      </c>
      <c r="F1714" s="3">
        <f t="shared" si="172"/>
        <v>26.456766492628912</v>
      </c>
      <c r="G1714" s="3">
        <f t="shared" si="172"/>
        <v>9.9447371306293224</v>
      </c>
      <c r="H1714" s="3">
        <f t="shared" si="175"/>
        <v>2.6603786651276398</v>
      </c>
      <c r="I1714" s="3">
        <f t="shared" si="176"/>
        <v>72.680422123345281</v>
      </c>
    </row>
    <row r="1715" spans="1:9" ht="15.75" customHeight="1">
      <c r="A1715" s="14">
        <v>41456</v>
      </c>
      <c r="B1715">
        <v>1668.68</v>
      </c>
      <c r="C1715" s="3">
        <f t="shared" si="177"/>
        <v>49.910000000000082</v>
      </c>
      <c r="D1715" s="3">
        <f t="shared" si="173"/>
        <v>49.910000000000082</v>
      </c>
      <c r="E1715" s="3">
        <f t="shared" si="174"/>
        <v>0</v>
      </c>
      <c r="F1715" s="3">
        <f t="shared" si="172"/>
        <v>28.131997457441138</v>
      </c>
      <c r="G1715" s="3">
        <f t="shared" si="172"/>
        <v>9.2343987641557987</v>
      </c>
      <c r="H1715" s="3">
        <f t="shared" si="175"/>
        <v>3.0464352012432228</v>
      </c>
      <c r="I1715" s="3">
        <f t="shared" si="176"/>
        <v>75.286889564109146</v>
      </c>
    </row>
    <row r="1716" spans="1:9" ht="15.75" customHeight="1">
      <c r="A1716" s="14">
        <v>41487</v>
      </c>
      <c r="B1716">
        <v>1670.09</v>
      </c>
      <c r="C1716" s="3">
        <f t="shared" si="177"/>
        <v>1.4099999999998545</v>
      </c>
      <c r="D1716" s="3">
        <f t="shared" si="173"/>
        <v>1.4099999999998545</v>
      </c>
      <c r="E1716" s="3">
        <f t="shared" si="174"/>
        <v>0</v>
      </c>
      <c r="F1716" s="3">
        <f t="shared" si="172"/>
        <v>26.223283353338189</v>
      </c>
      <c r="G1716" s="3">
        <f t="shared" si="172"/>
        <v>8.5747988524303853</v>
      </c>
      <c r="H1716" s="3">
        <f t="shared" si="175"/>
        <v>3.0581805829655857</v>
      </c>
      <c r="I1716" s="3">
        <f t="shared" si="176"/>
        <v>75.358415438742441</v>
      </c>
    </row>
    <row r="1717" spans="1:9" ht="15.75" customHeight="1">
      <c r="A1717" s="14">
        <v>41518</v>
      </c>
      <c r="B1717">
        <v>1687.17</v>
      </c>
      <c r="C1717" s="3">
        <f t="shared" si="177"/>
        <v>17.080000000000155</v>
      </c>
      <c r="D1717" s="3">
        <f t="shared" si="173"/>
        <v>17.080000000000155</v>
      </c>
      <c r="E1717" s="3">
        <f t="shared" si="174"/>
        <v>0</v>
      </c>
      <c r="F1717" s="3">
        <f t="shared" si="172"/>
        <v>25.570191685242612</v>
      </c>
      <c r="G1717" s="3">
        <f t="shared" si="172"/>
        <v>7.9623132201139288</v>
      </c>
      <c r="H1717" s="3">
        <f t="shared" si="175"/>
        <v>3.2114023875183273</v>
      </c>
      <c r="I1717" s="3">
        <f t="shared" si="176"/>
        <v>76.254940564127025</v>
      </c>
    </row>
    <row r="1718" spans="1:9" ht="15.75" customHeight="1">
      <c r="A1718" s="14">
        <v>41548</v>
      </c>
      <c r="B1718">
        <v>1720.03</v>
      </c>
      <c r="C1718" s="3">
        <f t="shared" si="177"/>
        <v>32.8599999999999</v>
      </c>
      <c r="D1718" s="3">
        <f t="shared" si="173"/>
        <v>32.8599999999999</v>
      </c>
      <c r="E1718" s="3">
        <f t="shared" si="174"/>
        <v>0</v>
      </c>
      <c r="F1718" s="3">
        <f t="shared" si="172"/>
        <v>26.090892279153849</v>
      </c>
      <c r="G1718" s="3">
        <f t="shared" si="172"/>
        <v>7.3935765615343625</v>
      </c>
      <c r="H1718" s="3">
        <f t="shared" si="175"/>
        <v>3.5288594176320127</v>
      </c>
      <c r="I1718" s="3">
        <f t="shared" si="176"/>
        <v>77.919385262727673</v>
      </c>
    </row>
    <row r="1719" spans="1:9" ht="15.75" customHeight="1">
      <c r="A1719" s="14">
        <v>41579</v>
      </c>
      <c r="B1719">
        <v>1783.54</v>
      </c>
      <c r="C1719" s="3">
        <f t="shared" si="177"/>
        <v>63.509999999999991</v>
      </c>
      <c r="D1719" s="3">
        <f t="shared" si="173"/>
        <v>63.509999999999991</v>
      </c>
      <c r="E1719" s="3">
        <f t="shared" si="174"/>
        <v>0</v>
      </c>
      <c r="F1719" s="3">
        <f t="shared" si="172"/>
        <v>28.763685687785717</v>
      </c>
      <c r="G1719" s="3">
        <f t="shared" si="172"/>
        <v>6.8654639499961929</v>
      </c>
      <c r="H1719" s="3">
        <f t="shared" si="175"/>
        <v>4.189620089375266</v>
      </c>
      <c r="I1719" s="3">
        <f t="shared" si="176"/>
        <v>80.730766746349985</v>
      </c>
    </row>
    <row r="1720" spans="1:9" ht="15.75" customHeight="1">
      <c r="A1720" s="14">
        <v>41609</v>
      </c>
      <c r="B1720">
        <v>1807.78</v>
      </c>
      <c r="C1720" s="3">
        <f t="shared" si="177"/>
        <v>24.240000000000009</v>
      </c>
      <c r="D1720" s="3">
        <f t="shared" si="173"/>
        <v>24.240000000000009</v>
      </c>
      <c r="E1720" s="3">
        <f t="shared" si="174"/>
        <v>0</v>
      </c>
      <c r="F1720" s="3">
        <f t="shared" si="172"/>
        <v>28.440565281515312</v>
      </c>
      <c r="G1720" s="3">
        <f t="shared" si="172"/>
        <v>6.3750736678536075</v>
      </c>
      <c r="H1720" s="3">
        <f t="shared" si="175"/>
        <v>4.4612135895663814</v>
      </c>
      <c r="I1720" s="3">
        <f t="shared" si="176"/>
        <v>81.68905164393324</v>
      </c>
    </row>
    <row r="1721" spans="1:9" ht="15.75" customHeight="1">
      <c r="A1721" s="14">
        <v>41640</v>
      </c>
      <c r="B1721">
        <v>1822.36</v>
      </c>
      <c r="C1721" s="3">
        <f t="shared" si="177"/>
        <v>14.579999999999927</v>
      </c>
      <c r="D1721" s="3">
        <f t="shared" si="173"/>
        <v>14.579999999999927</v>
      </c>
      <c r="E1721" s="3">
        <f t="shared" si="174"/>
        <v>0</v>
      </c>
      <c r="F1721" s="3">
        <f t="shared" si="172"/>
        <v>27.45052490426421</v>
      </c>
      <c r="G1721" s="3">
        <f t="shared" si="172"/>
        <v>5.9197112630069215</v>
      </c>
      <c r="H1721" s="3">
        <f t="shared" si="175"/>
        <v>4.637139158425895</v>
      </c>
      <c r="I1721" s="3">
        <f t="shared" si="176"/>
        <v>82.260505339746871</v>
      </c>
    </row>
    <row r="1722" spans="1:9" ht="15.75" customHeight="1">
      <c r="A1722" s="14">
        <v>41671</v>
      </c>
      <c r="B1722">
        <v>1817.04</v>
      </c>
      <c r="C1722" s="3">
        <f t="shared" si="177"/>
        <v>-5.3199999999999363</v>
      </c>
      <c r="D1722" s="3">
        <f t="shared" si="173"/>
        <v>0</v>
      </c>
      <c r="E1722" s="3">
        <f t="shared" si="174"/>
        <v>5.3199999999999363</v>
      </c>
      <c r="F1722" s="3">
        <f t="shared" si="172"/>
        <v>25.489773125388194</v>
      </c>
      <c r="G1722" s="3">
        <f t="shared" si="172"/>
        <v>5.8768747442207081</v>
      </c>
      <c r="H1722" s="3">
        <f t="shared" si="175"/>
        <v>4.337300731218531</v>
      </c>
      <c r="I1722" s="3">
        <f t="shared" si="176"/>
        <v>81.263937515252294</v>
      </c>
    </row>
    <row r="1723" spans="1:9" ht="15.75" customHeight="1">
      <c r="A1723" s="14">
        <v>41699</v>
      </c>
      <c r="B1723">
        <v>1863.52</v>
      </c>
      <c r="C1723" s="3">
        <f t="shared" si="177"/>
        <v>46.480000000000018</v>
      </c>
      <c r="D1723" s="3">
        <f t="shared" si="173"/>
        <v>46.480000000000018</v>
      </c>
      <c r="E1723" s="3">
        <f t="shared" si="174"/>
        <v>0</v>
      </c>
      <c r="F1723" s="3">
        <f t="shared" si="172"/>
        <v>26.989075045003322</v>
      </c>
      <c r="G1723" s="3">
        <f t="shared" si="172"/>
        <v>5.4570979767763719</v>
      </c>
      <c r="H1723" s="3">
        <f t="shared" si="175"/>
        <v>4.9456826979944317</v>
      </c>
      <c r="I1723" s="3">
        <f t="shared" si="176"/>
        <v>83.181073548756387</v>
      </c>
    </row>
    <row r="1724" spans="1:9" ht="15.75" customHeight="1">
      <c r="A1724" s="14">
        <v>41730</v>
      </c>
      <c r="B1724">
        <v>1864.26</v>
      </c>
      <c r="C1724" s="3">
        <f t="shared" si="177"/>
        <v>0.74000000000000909</v>
      </c>
      <c r="D1724" s="3">
        <f t="shared" si="173"/>
        <v>0.74000000000000909</v>
      </c>
      <c r="E1724" s="3">
        <f t="shared" si="174"/>
        <v>0</v>
      </c>
      <c r="F1724" s="3">
        <f t="shared" si="172"/>
        <v>25.114141113217368</v>
      </c>
      <c r="G1724" s="3">
        <f t="shared" si="172"/>
        <v>5.0673052641494882</v>
      </c>
      <c r="H1724" s="3">
        <f t="shared" si="175"/>
        <v>4.9561137141069</v>
      </c>
      <c r="I1724" s="3">
        <f t="shared" si="176"/>
        <v>83.210528744078104</v>
      </c>
    </row>
    <row r="1725" spans="1:9" ht="15.75" customHeight="1">
      <c r="A1725" s="14">
        <v>41760</v>
      </c>
      <c r="B1725">
        <v>1889.77</v>
      </c>
      <c r="C1725" s="3">
        <f t="shared" si="177"/>
        <v>25.509999999999991</v>
      </c>
      <c r="D1725" s="3">
        <f t="shared" si="173"/>
        <v>25.509999999999991</v>
      </c>
      <c r="E1725" s="3">
        <f t="shared" si="174"/>
        <v>0</v>
      </c>
      <c r="F1725" s="3">
        <f t="shared" si="172"/>
        <v>25.142416747987557</v>
      </c>
      <c r="G1725" s="3">
        <f t="shared" si="172"/>
        <v>4.7053548881388112</v>
      </c>
      <c r="H1725" s="3">
        <f t="shared" si="175"/>
        <v>5.3433624765192924</v>
      </c>
      <c r="I1725" s="3">
        <f t="shared" si="176"/>
        <v>84.235490188340677</v>
      </c>
    </row>
    <row r="1726" spans="1:9" ht="15.75" customHeight="1">
      <c r="A1726" s="14">
        <v>41791</v>
      </c>
      <c r="B1726">
        <v>1947.09</v>
      </c>
      <c r="C1726" s="3">
        <f t="shared" si="177"/>
        <v>57.319999999999936</v>
      </c>
      <c r="D1726" s="3">
        <f t="shared" si="173"/>
        <v>57.319999999999936</v>
      </c>
      <c r="E1726" s="3">
        <f t="shared" si="174"/>
        <v>0</v>
      </c>
      <c r="F1726" s="3">
        <f t="shared" si="172"/>
        <v>27.44081555170273</v>
      </c>
      <c r="G1726" s="3">
        <f t="shared" si="172"/>
        <v>4.3692581104146102</v>
      </c>
      <c r="H1726" s="3">
        <f t="shared" si="175"/>
        <v>6.28042904727796</v>
      </c>
      <c r="I1726" s="3">
        <f t="shared" si="176"/>
        <v>86.264545763633464</v>
      </c>
    </row>
    <row r="1727" spans="1:9" ht="15.75" customHeight="1">
      <c r="A1727" s="14">
        <v>41821</v>
      </c>
      <c r="B1727">
        <v>1973.1</v>
      </c>
      <c r="C1727" s="3">
        <f t="shared" si="177"/>
        <v>26.009999999999991</v>
      </c>
      <c r="D1727" s="3">
        <f t="shared" si="173"/>
        <v>26.009999999999991</v>
      </c>
      <c r="E1727" s="3">
        <f t="shared" si="174"/>
        <v>0</v>
      </c>
      <c r="F1727" s="3">
        <f t="shared" si="172"/>
        <v>27.33861444086682</v>
      </c>
      <c r="G1727" s="3">
        <f t="shared" si="172"/>
        <v>4.0571682453849949</v>
      </c>
      <c r="H1727" s="3">
        <f t="shared" si="175"/>
        <v>6.7383487169811938</v>
      </c>
      <c r="I1727" s="3">
        <f t="shared" si="176"/>
        <v>87.077346387794861</v>
      </c>
    </row>
    <row r="1728" spans="1:9" ht="15.75" customHeight="1">
      <c r="A1728" s="14">
        <v>41852</v>
      </c>
      <c r="B1728">
        <v>1961.53</v>
      </c>
      <c r="C1728" s="3">
        <f t="shared" si="177"/>
        <v>-11.569999999999936</v>
      </c>
      <c r="D1728" s="3">
        <f t="shared" si="173"/>
        <v>0</v>
      </c>
      <c r="E1728" s="3">
        <f t="shared" si="174"/>
        <v>11.569999999999936</v>
      </c>
      <c r="F1728" s="3">
        <f t="shared" si="172"/>
        <v>25.385856266519191</v>
      </c>
      <c r="G1728" s="3">
        <f t="shared" si="172"/>
        <v>4.5937990850003478</v>
      </c>
      <c r="H1728" s="3">
        <f t="shared" si="175"/>
        <v>5.5261137452460591</v>
      </c>
      <c r="I1728" s="3">
        <f t="shared" si="176"/>
        <v>84.676944977729676</v>
      </c>
    </row>
    <row r="1729" spans="1:9" ht="15.75" customHeight="1">
      <c r="A1729" s="14">
        <v>41883</v>
      </c>
      <c r="B1729">
        <v>1993.23</v>
      </c>
      <c r="C1729" s="3">
        <f t="shared" si="177"/>
        <v>31.700000000000045</v>
      </c>
      <c r="D1729" s="3">
        <f t="shared" si="173"/>
        <v>31.700000000000045</v>
      </c>
      <c r="E1729" s="3">
        <f t="shared" si="174"/>
        <v>0</v>
      </c>
      <c r="F1729" s="3">
        <f t="shared" si="172"/>
        <v>25.836866533196396</v>
      </c>
      <c r="G1729" s="3">
        <f t="shared" si="172"/>
        <v>4.2656705789288942</v>
      </c>
      <c r="H1729" s="3">
        <f t="shared" si="175"/>
        <v>6.0569296327809745</v>
      </c>
      <c r="I1729" s="3">
        <f t="shared" si="176"/>
        <v>85.829531367936809</v>
      </c>
    </row>
    <row r="1730" spans="1:9" ht="15.75" customHeight="1">
      <c r="A1730" s="14">
        <v>41913</v>
      </c>
      <c r="B1730">
        <v>1937.27</v>
      </c>
      <c r="C1730" s="3">
        <f t="shared" si="177"/>
        <v>-55.960000000000036</v>
      </c>
      <c r="D1730" s="3">
        <f t="shared" si="173"/>
        <v>0</v>
      </c>
      <c r="E1730" s="3">
        <f t="shared" si="174"/>
        <v>55.960000000000036</v>
      </c>
      <c r="F1730" s="3">
        <f t="shared" si="172"/>
        <v>23.991376066539512</v>
      </c>
      <c r="G1730" s="3">
        <f t="shared" si="172"/>
        <v>7.9581226804339753</v>
      </c>
      <c r="H1730" s="3">
        <f t="shared" si="175"/>
        <v>3.0147029682672857</v>
      </c>
      <c r="I1730" s="3">
        <f t="shared" si="176"/>
        <v>75.091557011711075</v>
      </c>
    </row>
    <row r="1731" spans="1:9" ht="15.75" customHeight="1">
      <c r="A1731" s="14">
        <v>41944</v>
      </c>
      <c r="B1731">
        <v>2044.57</v>
      </c>
      <c r="C1731" s="3">
        <f t="shared" si="177"/>
        <v>107.29999999999995</v>
      </c>
      <c r="D1731" s="3">
        <f t="shared" si="173"/>
        <v>107.29999999999995</v>
      </c>
      <c r="E1731" s="3">
        <f t="shared" si="174"/>
        <v>0</v>
      </c>
      <c r="F1731" s="3">
        <f t="shared" si="172"/>
        <v>29.941992061786689</v>
      </c>
      <c r="G1731" s="3">
        <f t="shared" si="172"/>
        <v>7.3896853461172629</v>
      </c>
      <c r="H1731" s="3">
        <f t="shared" si="175"/>
        <v>4.0518629223528455</v>
      </c>
      <c r="I1731" s="3">
        <f t="shared" si="176"/>
        <v>80.205321969934573</v>
      </c>
    </row>
    <row r="1732" spans="1:9" ht="15.75" customHeight="1">
      <c r="A1732" s="14">
        <v>41974</v>
      </c>
      <c r="B1732">
        <v>2054.27</v>
      </c>
      <c r="C1732" s="3">
        <f t="shared" si="177"/>
        <v>9.7000000000000455</v>
      </c>
      <c r="D1732" s="3">
        <f t="shared" si="173"/>
        <v>9.7000000000000455</v>
      </c>
      <c r="E1732" s="3">
        <f t="shared" si="174"/>
        <v>0</v>
      </c>
      <c r="F1732" s="3">
        <f t="shared" si="172"/>
        <v>28.496135485944787</v>
      </c>
      <c r="G1732" s="3">
        <f t="shared" si="172"/>
        <v>6.8618506785374587</v>
      </c>
      <c r="H1732" s="3">
        <f t="shared" si="175"/>
        <v>4.152835265721416</v>
      </c>
      <c r="I1732" s="3">
        <f t="shared" si="176"/>
        <v>80.593208429301569</v>
      </c>
    </row>
    <row r="1733" spans="1:9" ht="15.75" customHeight="1">
      <c r="A1733" s="14">
        <v>42005</v>
      </c>
      <c r="B1733">
        <v>2028.18</v>
      </c>
      <c r="C1733" s="3">
        <f t="shared" si="177"/>
        <v>-26.089999999999918</v>
      </c>
      <c r="D1733" s="3">
        <f t="shared" si="173"/>
        <v>0</v>
      </c>
      <c r="E1733" s="3">
        <f t="shared" si="174"/>
        <v>26.089999999999918</v>
      </c>
      <c r="F1733" s="3">
        <f t="shared" si="172"/>
        <v>26.460697236948732</v>
      </c>
      <c r="G1733" s="3">
        <f t="shared" si="172"/>
        <v>8.2352899157847776</v>
      </c>
      <c r="H1733" s="3">
        <f t="shared" si="175"/>
        <v>3.2130863038872355</v>
      </c>
      <c r="I1733" s="3">
        <f t="shared" si="176"/>
        <v>76.264431158760203</v>
      </c>
    </row>
    <row r="1734" spans="1:9" ht="15.75" customHeight="1">
      <c r="A1734" s="14">
        <v>42036</v>
      </c>
      <c r="B1734">
        <v>2082.1999999999998</v>
      </c>
      <c r="C1734" s="3">
        <f t="shared" si="177"/>
        <v>54.019999999999754</v>
      </c>
      <c r="D1734" s="3">
        <f t="shared" si="173"/>
        <v>54.019999999999754</v>
      </c>
      <c r="E1734" s="3">
        <f t="shared" si="174"/>
        <v>0</v>
      </c>
      <c r="F1734" s="3">
        <f t="shared" si="172"/>
        <v>28.429218862880948</v>
      </c>
      <c r="G1734" s="3">
        <f t="shared" si="172"/>
        <v>7.6470549218001507</v>
      </c>
      <c r="H1734" s="3">
        <f t="shared" si="175"/>
        <v>3.7176689789209183</v>
      </c>
      <c r="I1734" s="3">
        <f t="shared" si="176"/>
        <v>78.803091008120461</v>
      </c>
    </row>
    <row r="1735" spans="1:9" ht="15.75" customHeight="1">
      <c r="A1735" s="14">
        <v>42064</v>
      </c>
      <c r="B1735">
        <v>2079.9899999999998</v>
      </c>
      <c r="C1735" s="3">
        <f t="shared" si="177"/>
        <v>-2.2100000000000364</v>
      </c>
      <c r="D1735" s="3">
        <f t="shared" si="173"/>
        <v>0</v>
      </c>
      <c r="E1735" s="3">
        <f t="shared" si="174"/>
        <v>2.2100000000000364</v>
      </c>
      <c r="F1735" s="3">
        <f t="shared" si="172"/>
        <v>26.398560372675167</v>
      </c>
      <c r="G1735" s="3">
        <f t="shared" si="172"/>
        <v>7.2586938559572847</v>
      </c>
      <c r="H1735" s="3">
        <f t="shared" si="175"/>
        <v>3.6368196395291692</v>
      </c>
      <c r="I1735" s="3">
        <f t="shared" si="176"/>
        <v>78.433493693070588</v>
      </c>
    </row>
    <row r="1736" spans="1:9" ht="15.75" customHeight="1">
      <c r="A1736" s="14">
        <v>42095</v>
      </c>
      <c r="B1736">
        <v>2094.86</v>
      </c>
      <c r="C1736" s="3">
        <f t="shared" si="177"/>
        <v>14.870000000000346</v>
      </c>
      <c r="D1736" s="3">
        <f t="shared" si="173"/>
        <v>14.870000000000346</v>
      </c>
      <c r="E1736" s="3">
        <f t="shared" si="174"/>
        <v>0</v>
      </c>
      <c r="F1736" s="3">
        <f t="shared" si="172"/>
        <v>25.575091774626966</v>
      </c>
      <c r="G1736" s="3">
        <f t="shared" si="172"/>
        <v>6.7402157233889071</v>
      </c>
      <c r="H1736" s="3">
        <f t="shared" si="175"/>
        <v>3.7944025568617983</v>
      </c>
      <c r="I1736" s="3">
        <f t="shared" si="176"/>
        <v>79.142343844932469</v>
      </c>
    </row>
    <row r="1737" spans="1:9" ht="15.75" customHeight="1">
      <c r="A1737" s="14">
        <v>42125</v>
      </c>
      <c r="B1737">
        <v>2111.94</v>
      </c>
      <c r="C1737" s="3">
        <f t="shared" si="177"/>
        <v>17.079999999999927</v>
      </c>
      <c r="D1737" s="3">
        <f t="shared" si="173"/>
        <v>17.079999999999927</v>
      </c>
      <c r="E1737" s="3">
        <f t="shared" si="174"/>
        <v>0</v>
      </c>
      <c r="F1737" s="3">
        <f t="shared" si="172"/>
        <v>24.968299505010748</v>
      </c>
      <c r="G1737" s="3">
        <f t="shared" si="172"/>
        <v>6.2587717431468421</v>
      </c>
      <c r="H1737" s="3">
        <f t="shared" si="175"/>
        <v>3.9893289817367519</v>
      </c>
      <c r="I1737" s="3">
        <f t="shared" si="176"/>
        <v>79.957224635608071</v>
      </c>
    </row>
    <row r="1738" spans="1:9" ht="15.75" customHeight="1">
      <c r="A1738" s="14">
        <v>42156</v>
      </c>
      <c r="B1738">
        <v>2099.29</v>
      </c>
      <c r="C1738" s="3">
        <f t="shared" si="177"/>
        <v>-12.650000000000091</v>
      </c>
      <c r="D1738" s="3">
        <f t="shared" si="173"/>
        <v>0</v>
      </c>
      <c r="E1738" s="3">
        <f t="shared" si="174"/>
        <v>12.650000000000091</v>
      </c>
      <c r="F1738" s="3">
        <f t="shared" si="172"/>
        <v>23.184849540367122</v>
      </c>
      <c r="G1738" s="3">
        <f t="shared" si="172"/>
        <v>6.715288047207788</v>
      </c>
      <c r="H1738" s="3">
        <f t="shared" si="175"/>
        <v>3.452547288720901</v>
      </c>
      <c r="I1738" s="3">
        <f t="shared" si="176"/>
        <v>77.540945998862739</v>
      </c>
    </row>
    <row r="1739" spans="1:9" ht="15.75" customHeight="1">
      <c r="A1739" s="14">
        <v>42186</v>
      </c>
      <c r="B1739">
        <v>2094.14</v>
      </c>
      <c r="C1739" s="3">
        <f t="shared" si="177"/>
        <v>-5.1500000000000909</v>
      </c>
      <c r="D1739" s="3">
        <f t="shared" si="173"/>
        <v>0</v>
      </c>
      <c r="E1739" s="3">
        <f t="shared" si="174"/>
        <v>5.1500000000000909</v>
      </c>
      <c r="F1739" s="3">
        <f t="shared" si="172"/>
        <v>21.528788858912325</v>
      </c>
      <c r="G1739" s="3">
        <f t="shared" si="172"/>
        <v>6.6034817581215242</v>
      </c>
      <c r="H1739" s="3">
        <f t="shared" si="175"/>
        <v>3.2602178134942807</v>
      </c>
      <c r="I1739" s="3">
        <f t="shared" si="176"/>
        <v>76.527021767936589</v>
      </c>
    </row>
    <row r="1740" spans="1:9" ht="15.75" customHeight="1">
      <c r="A1740" s="14">
        <v>42217</v>
      </c>
      <c r="B1740">
        <v>2039.87</v>
      </c>
      <c r="C1740" s="3">
        <f t="shared" si="177"/>
        <v>-54.269999999999982</v>
      </c>
      <c r="D1740" s="3">
        <f t="shared" si="173"/>
        <v>0</v>
      </c>
      <c r="E1740" s="3">
        <f t="shared" si="174"/>
        <v>54.269999999999982</v>
      </c>
      <c r="F1740" s="3">
        <f t="shared" si="172"/>
        <v>19.991018226132873</v>
      </c>
      <c r="G1740" s="3">
        <f t="shared" si="172"/>
        <v>10.008233061112843</v>
      </c>
      <c r="H1740" s="3">
        <f t="shared" si="175"/>
        <v>1.9974573038080325</v>
      </c>
      <c r="I1740" s="3">
        <f t="shared" si="176"/>
        <v>66.638390520873173</v>
      </c>
    </row>
    <row r="1741" spans="1:9" ht="15.75" customHeight="1">
      <c r="A1741" s="14">
        <v>42248</v>
      </c>
      <c r="B1741">
        <v>1944.41</v>
      </c>
      <c r="C1741" s="3">
        <f t="shared" si="177"/>
        <v>-95.459999999999809</v>
      </c>
      <c r="D1741" s="3">
        <f t="shared" si="173"/>
        <v>0</v>
      </c>
      <c r="E1741" s="3">
        <f t="shared" si="174"/>
        <v>95.459999999999809</v>
      </c>
      <c r="F1741" s="3">
        <f t="shared" si="172"/>
        <v>18.563088352837667</v>
      </c>
      <c r="G1741" s="3">
        <f t="shared" si="172"/>
        <v>16.11193069960477</v>
      </c>
      <c r="H1741" s="3">
        <f t="shared" si="175"/>
        <v>1.1521330806923733</v>
      </c>
      <c r="I1741" s="3">
        <f t="shared" si="176"/>
        <v>53.534471963123906</v>
      </c>
    </row>
    <row r="1742" spans="1:9" ht="15.75" customHeight="1">
      <c r="A1742" s="14">
        <v>42278</v>
      </c>
      <c r="B1742">
        <v>2024.81</v>
      </c>
      <c r="C1742" s="3">
        <f t="shared" si="177"/>
        <v>80.399999999999864</v>
      </c>
      <c r="D1742" s="3">
        <f t="shared" si="173"/>
        <v>80.399999999999864</v>
      </c>
      <c r="E1742" s="3">
        <f t="shared" si="174"/>
        <v>0</v>
      </c>
      <c r="F1742" s="3">
        <f t="shared" si="172"/>
        <v>22.980010613349254</v>
      </c>
      <c r="G1742" s="3">
        <f t="shared" si="172"/>
        <v>14.961078506775859</v>
      </c>
      <c r="H1742" s="3">
        <f t="shared" si="175"/>
        <v>1.5359862327399476</v>
      </c>
      <c r="I1742" s="3">
        <f t="shared" si="176"/>
        <v>60.567609276034077</v>
      </c>
    </row>
    <row r="1743" spans="1:9" ht="15.75" customHeight="1">
      <c r="A1743" s="14">
        <v>42309</v>
      </c>
      <c r="B1743">
        <v>2080.62</v>
      </c>
      <c r="C1743" s="3">
        <f t="shared" si="177"/>
        <v>55.809999999999945</v>
      </c>
      <c r="D1743" s="3">
        <f t="shared" si="173"/>
        <v>55.809999999999945</v>
      </c>
      <c r="E1743" s="3">
        <f t="shared" si="174"/>
        <v>0</v>
      </c>
      <c r="F1743" s="3">
        <f t="shared" si="172"/>
        <v>25.325009855252876</v>
      </c>
      <c r="G1743" s="3">
        <f t="shared" si="172"/>
        <v>13.892430042006154</v>
      </c>
      <c r="H1743" s="3">
        <f t="shared" si="175"/>
        <v>1.8229359283205564</v>
      </c>
      <c r="I1743" s="3">
        <f t="shared" si="176"/>
        <v>64.575887466389361</v>
      </c>
    </row>
    <row r="1744" spans="1:9" ht="15.75" customHeight="1">
      <c r="A1744" s="14">
        <v>42339</v>
      </c>
      <c r="B1744">
        <v>2054.08</v>
      </c>
      <c r="C1744" s="3">
        <f t="shared" si="177"/>
        <v>-26.539999999999964</v>
      </c>
      <c r="D1744" s="3">
        <f t="shared" si="173"/>
        <v>0</v>
      </c>
      <c r="E1744" s="3">
        <f t="shared" si="174"/>
        <v>26.539999999999964</v>
      </c>
      <c r="F1744" s="3">
        <f t="shared" si="172"/>
        <v>23.51608057987767</v>
      </c>
      <c r="G1744" s="3">
        <f t="shared" si="172"/>
        <v>14.795827896148568</v>
      </c>
      <c r="H1744" s="3">
        <f t="shared" si="175"/>
        <v>1.5893724058522625</v>
      </c>
      <c r="I1744" s="3">
        <f t="shared" si="176"/>
        <v>61.380603356246034</v>
      </c>
    </row>
    <row r="1745" spans="1:9" ht="15.75" customHeight="1">
      <c r="A1745" s="14">
        <v>42370</v>
      </c>
      <c r="B1745">
        <v>1918.6</v>
      </c>
      <c r="C1745" s="3">
        <f t="shared" si="177"/>
        <v>-135.48000000000002</v>
      </c>
      <c r="D1745" s="3">
        <f t="shared" si="173"/>
        <v>0</v>
      </c>
      <c r="E1745" s="3">
        <f t="shared" si="174"/>
        <v>135.48000000000002</v>
      </c>
      <c r="F1745" s="3">
        <f t="shared" si="172"/>
        <v>21.836360538457836</v>
      </c>
      <c r="G1745" s="3">
        <f t="shared" si="172"/>
        <v>23.416125903566527</v>
      </c>
      <c r="H1745" s="3">
        <f t="shared" si="175"/>
        <v>0.93253515241528162</v>
      </c>
      <c r="I1745" s="3">
        <f t="shared" si="176"/>
        <v>48.254498825017471</v>
      </c>
    </row>
    <row r="1746" spans="1:9" ht="15.75" customHeight="1">
      <c r="A1746" s="14">
        <v>42401</v>
      </c>
      <c r="B1746">
        <v>1904.42</v>
      </c>
      <c r="C1746" s="3">
        <f t="shared" si="177"/>
        <v>-14.179999999999836</v>
      </c>
      <c r="D1746" s="3">
        <f t="shared" si="173"/>
        <v>0</v>
      </c>
      <c r="E1746" s="3">
        <f t="shared" si="174"/>
        <v>14.179999999999836</v>
      </c>
      <c r="F1746" s="3">
        <f t="shared" ref="F1746:G1809" si="178">((F1745*13)+D1746)/14</f>
        <v>20.276620499996561</v>
      </c>
      <c r="G1746" s="3">
        <f t="shared" si="178"/>
        <v>22.756402624740335</v>
      </c>
      <c r="H1746" s="3">
        <f t="shared" si="175"/>
        <v>0.89102925600165805</v>
      </c>
      <c r="I1746" s="3">
        <f t="shared" si="176"/>
        <v>47.118745158159356</v>
      </c>
    </row>
    <row r="1747" spans="1:9" ht="15.75" customHeight="1">
      <c r="A1747" s="14">
        <v>42430</v>
      </c>
      <c r="B1747">
        <v>2021.95</v>
      </c>
      <c r="C1747" s="3">
        <f t="shared" si="177"/>
        <v>117.52999999999997</v>
      </c>
      <c r="D1747" s="3">
        <f t="shared" si="173"/>
        <v>117.52999999999997</v>
      </c>
      <c r="E1747" s="3">
        <f t="shared" si="174"/>
        <v>0</v>
      </c>
      <c r="F1747" s="3">
        <f t="shared" si="178"/>
        <v>27.223290464282517</v>
      </c>
      <c r="G1747" s="3">
        <f t="shared" si="178"/>
        <v>21.130945294401737</v>
      </c>
      <c r="H1747" s="3">
        <f t="shared" si="175"/>
        <v>1.2883138962786884</v>
      </c>
      <c r="I1747" s="3">
        <f t="shared" si="176"/>
        <v>56.299701643807502</v>
      </c>
    </row>
    <row r="1748" spans="1:9" ht="15.75" customHeight="1">
      <c r="A1748" s="14">
        <v>42461</v>
      </c>
      <c r="B1748">
        <v>2075.54</v>
      </c>
      <c r="C1748" s="3">
        <f t="shared" si="177"/>
        <v>53.589999999999918</v>
      </c>
      <c r="D1748" s="3">
        <f t="shared" si="173"/>
        <v>53.589999999999918</v>
      </c>
      <c r="E1748" s="3">
        <f t="shared" si="174"/>
        <v>0</v>
      </c>
      <c r="F1748" s="3">
        <f t="shared" si="178"/>
        <v>29.106626859690902</v>
      </c>
      <c r="G1748" s="3">
        <f t="shared" si="178"/>
        <v>19.621592059087327</v>
      </c>
      <c r="H1748" s="3">
        <f t="shared" si="175"/>
        <v>1.4833978186908019</v>
      </c>
      <c r="I1748" s="3">
        <f t="shared" si="176"/>
        <v>59.732589258406442</v>
      </c>
    </row>
    <row r="1749" spans="1:9" ht="15.75" customHeight="1">
      <c r="A1749" s="14">
        <v>42491</v>
      </c>
      <c r="B1749">
        <v>2065.5500000000002</v>
      </c>
      <c r="C1749" s="3">
        <f t="shared" si="177"/>
        <v>-9.9899999999997817</v>
      </c>
      <c r="D1749" s="3">
        <f t="shared" si="173"/>
        <v>0</v>
      </c>
      <c r="E1749" s="3">
        <f t="shared" si="174"/>
        <v>9.9899999999997817</v>
      </c>
      <c r="F1749" s="3">
        <f t="shared" si="178"/>
        <v>27.027582083998691</v>
      </c>
      <c r="G1749" s="3">
        <f t="shared" si="178"/>
        <v>18.93362119772393</v>
      </c>
      <c r="H1749" s="3">
        <f t="shared" si="175"/>
        <v>1.4274914345095149</v>
      </c>
      <c r="I1749" s="3">
        <f t="shared" si="176"/>
        <v>58.805209947031003</v>
      </c>
    </row>
    <row r="1750" spans="1:9" ht="15.75" customHeight="1">
      <c r="A1750" s="14">
        <v>42522</v>
      </c>
      <c r="B1750">
        <v>2083.89</v>
      </c>
      <c r="C1750" s="3">
        <f t="shared" si="177"/>
        <v>18.339999999999691</v>
      </c>
      <c r="D1750" s="3">
        <f t="shared" si="173"/>
        <v>18.339999999999691</v>
      </c>
      <c r="E1750" s="3">
        <f t="shared" si="174"/>
        <v>0</v>
      </c>
      <c r="F1750" s="3">
        <f t="shared" si="178"/>
        <v>26.407040506570191</v>
      </c>
      <c r="G1750" s="3">
        <f t="shared" si="178"/>
        <v>17.581219683600793</v>
      </c>
      <c r="H1750" s="3">
        <f t="shared" si="175"/>
        <v>1.5020027610030859</v>
      </c>
      <c r="I1750" s="3">
        <f t="shared" si="176"/>
        <v>60.032018525867379</v>
      </c>
    </row>
    <row r="1751" spans="1:9" ht="15.75" customHeight="1">
      <c r="A1751" s="14">
        <v>42552</v>
      </c>
      <c r="B1751">
        <v>2148.9</v>
      </c>
      <c r="C1751" s="3">
        <f t="shared" si="177"/>
        <v>65.010000000000218</v>
      </c>
      <c r="D1751" s="3">
        <f t="shared" si="173"/>
        <v>65.010000000000218</v>
      </c>
      <c r="E1751" s="3">
        <f t="shared" si="174"/>
        <v>0</v>
      </c>
      <c r="F1751" s="3">
        <f t="shared" si="178"/>
        <v>29.164394756100908</v>
      </c>
      <c r="G1751" s="3">
        <f t="shared" si="178"/>
        <v>16.325418277629307</v>
      </c>
      <c r="H1751" s="3">
        <f t="shared" si="175"/>
        <v>1.7864408899136648</v>
      </c>
      <c r="I1751" s="3">
        <f t="shared" si="176"/>
        <v>64.111924870906421</v>
      </c>
    </row>
    <row r="1752" spans="1:9" ht="15.75" customHeight="1">
      <c r="A1752" s="14">
        <v>42583</v>
      </c>
      <c r="B1752">
        <v>2170.9499999999998</v>
      </c>
      <c r="C1752" s="3">
        <f t="shared" si="177"/>
        <v>22.049999999999727</v>
      </c>
      <c r="D1752" s="3">
        <f t="shared" si="173"/>
        <v>22.049999999999727</v>
      </c>
      <c r="E1752" s="3">
        <f t="shared" si="174"/>
        <v>0</v>
      </c>
      <c r="F1752" s="3">
        <f t="shared" si="178"/>
        <v>28.65622370209368</v>
      </c>
      <c r="G1752" s="3">
        <f t="shared" si="178"/>
        <v>15.159316972084357</v>
      </c>
      <c r="H1752" s="3">
        <f t="shared" si="175"/>
        <v>1.8903373915106905</v>
      </c>
      <c r="I1752" s="3">
        <f t="shared" si="176"/>
        <v>65.401963004833476</v>
      </c>
    </row>
    <row r="1753" spans="1:9" ht="15.75" customHeight="1">
      <c r="A1753" s="14">
        <v>42614</v>
      </c>
      <c r="B1753">
        <v>2157.69</v>
      </c>
      <c r="C1753" s="3">
        <f t="shared" si="177"/>
        <v>-13.259999999999764</v>
      </c>
      <c r="D1753" s="3">
        <f t="shared" si="173"/>
        <v>0</v>
      </c>
      <c r="E1753" s="3">
        <f t="shared" si="174"/>
        <v>13.259999999999764</v>
      </c>
      <c r="F1753" s="3">
        <f t="shared" si="178"/>
        <v>26.60935058051556</v>
      </c>
      <c r="G1753" s="3">
        <f t="shared" si="178"/>
        <v>15.023651474078315</v>
      </c>
      <c r="H1753" s="3">
        <f t="shared" si="175"/>
        <v>1.7711639960782579</v>
      </c>
      <c r="I1753" s="3">
        <f t="shared" si="176"/>
        <v>63.91408081891953</v>
      </c>
    </row>
    <row r="1754" spans="1:9" ht="15.75" customHeight="1">
      <c r="A1754" s="14">
        <v>42644</v>
      </c>
      <c r="B1754">
        <v>2143.02</v>
      </c>
      <c r="C1754" s="3">
        <f t="shared" si="177"/>
        <v>-14.670000000000073</v>
      </c>
      <c r="D1754" s="3">
        <f t="shared" si="173"/>
        <v>0</v>
      </c>
      <c r="E1754" s="3">
        <f t="shared" si="174"/>
        <v>14.670000000000073</v>
      </c>
      <c r="F1754" s="3">
        <f t="shared" si="178"/>
        <v>24.708682681907305</v>
      </c>
      <c r="G1754" s="3">
        <f t="shared" si="178"/>
        <v>14.998390654501298</v>
      </c>
      <c r="H1754" s="3">
        <f t="shared" si="175"/>
        <v>1.6474222635674425</v>
      </c>
      <c r="I1754" s="3">
        <f t="shared" si="176"/>
        <v>62.227408382806125</v>
      </c>
    </row>
    <row r="1755" spans="1:9" ht="15.75" customHeight="1">
      <c r="A1755" s="14">
        <v>42675</v>
      </c>
      <c r="B1755">
        <v>2164.9899999999998</v>
      </c>
      <c r="C1755" s="3">
        <f t="shared" si="177"/>
        <v>21.9699999999998</v>
      </c>
      <c r="D1755" s="3">
        <f t="shared" si="173"/>
        <v>21.9699999999998</v>
      </c>
      <c r="E1755" s="3">
        <f t="shared" si="174"/>
        <v>0</v>
      </c>
      <c r="F1755" s="3">
        <f t="shared" si="178"/>
        <v>24.513062490342485</v>
      </c>
      <c r="G1755" s="3">
        <f t="shared" si="178"/>
        <v>13.927077036322633</v>
      </c>
      <c r="H1755" s="3">
        <f t="shared" si="175"/>
        <v>1.7601010195040194</v>
      </c>
      <c r="I1755" s="3">
        <f t="shared" si="176"/>
        <v>63.769442026448125</v>
      </c>
    </row>
    <row r="1756" spans="1:9" ht="15.75" customHeight="1">
      <c r="A1756" s="14">
        <v>42705</v>
      </c>
      <c r="B1756">
        <v>2246.63</v>
      </c>
      <c r="C1756" s="3">
        <f t="shared" si="177"/>
        <v>81.640000000000327</v>
      </c>
      <c r="D1756" s="3">
        <f t="shared" si="173"/>
        <v>81.640000000000327</v>
      </c>
      <c r="E1756" s="3">
        <f t="shared" si="174"/>
        <v>0</v>
      </c>
      <c r="F1756" s="3">
        <f t="shared" si="178"/>
        <v>28.593558026746617</v>
      </c>
      <c r="G1756" s="3">
        <f t="shared" si="178"/>
        <v>12.932285819442445</v>
      </c>
      <c r="H1756" s="3">
        <f t="shared" si="175"/>
        <v>2.2110211934659656</v>
      </c>
      <c r="I1756" s="3">
        <f t="shared" si="176"/>
        <v>68.857259427783362</v>
      </c>
    </row>
    <row r="1757" spans="1:9" ht="15.75" customHeight="1">
      <c r="A1757" s="14">
        <v>42736</v>
      </c>
      <c r="B1757">
        <v>2275.12</v>
      </c>
      <c r="C1757" s="3">
        <f t="shared" si="177"/>
        <v>28.489999999999782</v>
      </c>
      <c r="D1757" s="3">
        <f t="shared" si="173"/>
        <v>28.489999999999782</v>
      </c>
      <c r="E1757" s="3">
        <f t="shared" si="174"/>
        <v>0</v>
      </c>
      <c r="F1757" s="3">
        <f t="shared" si="178"/>
        <v>28.586161024836127</v>
      </c>
      <c r="G1757" s="3">
        <f t="shared" si="178"/>
        <v>12.008551118053699</v>
      </c>
      <c r="H1757" s="3">
        <f t="shared" si="175"/>
        <v>2.3804837689252611</v>
      </c>
      <c r="I1757" s="3">
        <f t="shared" si="176"/>
        <v>70.418435101141611</v>
      </c>
    </row>
    <row r="1758" spans="1:9" ht="15.75" customHeight="1">
      <c r="A1758" s="14">
        <v>42767</v>
      </c>
      <c r="B1758">
        <v>2329.91</v>
      </c>
      <c r="C1758" s="3">
        <f t="shared" si="177"/>
        <v>54.789999999999964</v>
      </c>
      <c r="D1758" s="3">
        <f t="shared" si="173"/>
        <v>54.789999999999964</v>
      </c>
      <c r="E1758" s="3">
        <f t="shared" si="174"/>
        <v>0</v>
      </c>
      <c r="F1758" s="3">
        <f t="shared" si="178"/>
        <v>30.457863808776402</v>
      </c>
      <c r="G1758" s="3">
        <f t="shared" si="178"/>
        <v>11.150797466764148</v>
      </c>
      <c r="H1758" s="3">
        <f t="shared" si="175"/>
        <v>2.7314516203489951</v>
      </c>
      <c r="I1758" s="3">
        <f t="shared" si="176"/>
        <v>73.200778095403209</v>
      </c>
    </row>
    <row r="1759" spans="1:9" ht="15.75" customHeight="1">
      <c r="A1759" s="14">
        <v>42795</v>
      </c>
      <c r="B1759">
        <v>2366.8200000000002</v>
      </c>
      <c r="C1759" s="3">
        <f t="shared" si="177"/>
        <v>36.910000000000309</v>
      </c>
      <c r="D1759" s="3">
        <f t="shared" si="173"/>
        <v>36.910000000000309</v>
      </c>
      <c r="E1759" s="3">
        <f t="shared" si="174"/>
        <v>0</v>
      </c>
      <c r="F1759" s="3">
        <f t="shared" si="178"/>
        <v>30.918730679578111</v>
      </c>
      <c r="G1759" s="3">
        <f t="shared" si="178"/>
        <v>10.354311933423853</v>
      </c>
      <c r="H1759" s="3">
        <f t="shared" si="175"/>
        <v>2.9860729402764128</v>
      </c>
      <c r="I1759" s="3">
        <f t="shared" si="176"/>
        <v>74.912651750656238</v>
      </c>
    </row>
    <row r="1760" spans="1:9" ht="15.75" customHeight="1">
      <c r="A1760" s="14">
        <v>42826</v>
      </c>
      <c r="B1760">
        <v>2359.31</v>
      </c>
      <c r="C1760" s="3">
        <f t="shared" si="177"/>
        <v>-7.5100000000002183</v>
      </c>
      <c r="D1760" s="3">
        <f t="shared" si="173"/>
        <v>0</v>
      </c>
      <c r="E1760" s="3">
        <f t="shared" si="174"/>
        <v>7.5100000000002183</v>
      </c>
      <c r="F1760" s="3">
        <f t="shared" si="178"/>
        <v>28.710249916751103</v>
      </c>
      <c r="G1760" s="3">
        <f t="shared" si="178"/>
        <v>10.151146795322164</v>
      </c>
      <c r="H1760" s="3">
        <f t="shared" si="175"/>
        <v>2.8282764987677367</v>
      </c>
      <c r="I1760" s="3">
        <f t="shared" si="176"/>
        <v>73.878584780334322</v>
      </c>
    </row>
    <row r="1761" spans="1:9" ht="15.75" customHeight="1">
      <c r="A1761" s="14">
        <v>42856</v>
      </c>
      <c r="B1761">
        <v>2395.35</v>
      </c>
      <c r="C1761" s="3">
        <f t="shared" si="177"/>
        <v>36.039999999999964</v>
      </c>
      <c r="D1761" s="3">
        <f t="shared" si="173"/>
        <v>36.039999999999964</v>
      </c>
      <c r="E1761" s="3">
        <f t="shared" si="174"/>
        <v>0</v>
      </c>
      <c r="F1761" s="3">
        <f t="shared" si="178"/>
        <v>29.233803494126022</v>
      </c>
      <c r="G1761" s="3">
        <f t="shared" si="178"/>
        <v>9.4260648813705803</v>
      </c>
      <c r="H1761" s="3">
        <f t="shared" si="175"/>
        <v>3.1013794050901264</v>
      </c>
      <c r="I1761" s="3">
        <f t="shared" si="176"/>
        <v>75.617959197851263</v>
      </c>
    </row>
    <row r="1762" spans="1:9" ht="15.75" customHeight="1">
      <c r="A1762" s="14">
        <v>42887</v>
      </c>
      <c r="B1762">
        <v>2433.9899999999998</v>
      </c>
      <c r="C1762" s="3">
        <f t="shared" si="177"/>
        <v>38.639999999999873</v>
      </c>
      <c r="D1762" s="3">
        <f t="shared" si="173"/>
        <v>38.639999999999873</v>
      </c>
      <c r="E1762" s="3">
        <f t="shared" si="174"/>
        <v>0</v>
      </c>
      <c r="F1762" s="3">
        <f t="shared" si="178"/>
        <v>29.905674673117012</v>
      </c>
      <c r="G1762" s="3">
        <f t="shared" si="178"/>
        <v>8.7527745327012543</v>
      </c>
      <c r="H1762" s="3">
        <f t="shared" si="175"/>
        <v>3.4167079891509116</v>
      </c>
      <c r="I1762" s="3">
        <f t="shared" si="176"/>
        <v>77.358702398791706</v>
      </c>
    </row>
    <row r="1763" spans="1:9" ht="15.75" customHeight="1">
      <c r="A1763" s="14">
        <v>42917</v>
      </c>
      <c r="B1763">
        <v>2454.1</v>
      </c>
      <c r="C1763" s="3">
        <f t="shared" si="177"/>
        <v>20.110000000000127</v>
      </c>
      <c r="D1763" s="3">
        <f t="shared" si="173"/>
        <v>20.110000000000127</v>
      </c>
      <c r="E1763" s="3">
        <f t="shared" si="174"/>
        <v>0</v>
      </c>
      <c r="F1763" s="3">
        <f t="shared" si="178"/>
        <v>29.205983625037238</v>
      </c>
      <c r="G1763" s="3">
        <f t="shared" si="178"/>
        <v>8.1275763517940227</v>
      </c>
      <c r="H1763" s="3">
        <f t="shared" si="175"/>
        <v>3.5934431570846477</v>
      </c>
      <c r="I1763" s="3">
        <f t="shared" si="176"/>
        <v>78.229838363022722</v>
      </c>
    </row>
    <row r="1764" spans="1:9" ht="15.75" customHeight="1">
      <c r="A1764" s="14">
        <v>42948</v>
      </c>
      <c r="B1764">
        <v>2456.2199999999998</v>
      </c>
      <c r="C1764" s="3">
        <f t="shared" si="177"/>
        <v>2.1199999999998909</v>
      </c>
      <c r="D1764" s="3">
        <f t="shared" si="173"/>
        <v>2.1199999999998909</v>
      </c>
      <c r="E1764" s="3">
        <f t="shared" si="174"/>
        <v>0</v>
      </c>
      <c r="F1764" s="3">
        <f t="shared" si="178"/>
        <v>27.271270508963141</v>
      </c>
      <c r="G1764" s="3">
        <f t="shared" si="178"/>
        <v>7.5470351838087355</v>
      </c>
      <c r="H1764" s="3">
        <f t="shared" si="175"/>
        <v>3.6135078007149617</v>
      </c>
      <c r="I1764" s="3">
        <f t="shared" si="176"/>
        <v>78.324519146905345</v>
      </c>
    </row>
    <row r="1765" spans="1:9" ht="15.75" customHeight="1">
      <c r="A1765" s="14">
        <v>42979</v>
      </c>
      <c r="B1765">
        <v>2492.84</v>
      </c>
      <c r="C1765" s="3">
        <f t="shared" si="177"/>
        <v>36.620000000000346</v>
      </c>
      <c r="D1765" s="3">
        <f t="shared" si="173"/>
        <v>36.620000000000346</v>
      </c>
      <c r="E1765" s="3">
        <f t="shared" si="174"/>
        <v>0</v>
      </c>
      <c r="F1765" s="3">
        <f t="shared" si="178"/>
        <v>27.939036901180085</v>
      </c>
      <c r="G1765" s="3">
        <f t="shared" si="178"/>
        <v>7.0079612421081112</v>
      </c>
      <c r="H1765" s="3">
        <f t="shared" si="175"/>
        <v>3.9867567664765735</v>
      </c>
      <c r="I1765" s="3">
        <f t="shared" si="176"/>
        <v>79.94688638670948</v>
      </c>
    </row>
    <row r="1766" spans="1:9" ht="15.75" customHeight="1">
      <c r="A1766" s="14">
        <v>43009</v>
      </c>
      <c r="B1766">
        <v>2557</v>
      </c>
      <c r="C1766" s="3">
        <f t="shared" si="177"/>
        <v>64.159999999999854</v>
      </c>
      <c r="D1766" s="3">
        <f t="shared" ref="D1766:D1829" si="179">IF(C1766&gt;0,C1766,0)</f>
        <v>64.159999999999854</v>
      </c>
      <c r="E1766" s="3">
        <f t="shared" ref="E1766:E1829" si="180">IF(C1766&lt;0,-C1766,0)</f>
        <v>0</v>
      </c>
      <c r="F1766" s="3">
        <f t="shared" si="178"/>
        <v>30.526248551095783</v>
      </c>
      <c r="G1766" s="3">
        <f t="shared" si="178"/>
        <v>6.5073925819575322</v>
      </c>
      <c r="H1766" s="3">
        <f t="shared" ref="H1766:H1829" si="181">F1766/G1766</f>
        <v>4.6910107491798163</v>
      </c>
      <c r="I1766" s="3">
        <f t="shared" ref="I1766:I1829" si="182">IF(G1766=0,100,100-(100/(1+H1766)))</f>
        <v>82.428428901770758</v>
      </c>
    </row>
    <row r="1767" spans="1:9" ht="15.75" customHeight="1">
      <c r="A1767" s="14">
        <v>43040</v>
      </c>
      <c r="B1767">
        <v>2593.61</v>
      </c>
      <c r="C1767" s="3">
        <f t="shared" si="177"/>
        <v>36.610000000000127</v>
      </c>
      <c r="D1767" s="3">
        <f t="shared" si="179"/>
        <v>36.610000000000127</v>
      </c>
      <c r="E1767" s="3">
        <f t="shared" si="180"/>
        <v>0</v>
      </c>
      <c r="F1767" s="3">
        <f t="shared" si="178"/>
        <v>30.960802226017524</v>
      </c>
      <c r="G1767" s="3">
        <f t="shared" si="178"/>
        <v>6.0425788261034228</v>
      </c>
      <c r="H1767" s="3">
        <f t="shared" si="181"/>
        <v>5.1237729977587572</v>
      </c>
      <c r="I1767" s="3">
        <f t="shared" si="182"/>
        <v>83.670198089217379</v>
      </c>
    </row>
    <row r="1768" spans="1:9" ht="15.75" customHeight="1">
      <c r="A1768" s="14">
        <v>43070</v>
      </c>
      <c r="B1768">
        <v>2664.34</v>
      </c>
      <c r="C1768" s="3">
        <f t="shared" si="177"/>
        <v>70.730000000000018</v>
      </c>
      <c r="D1768" s="3">
        <f t="shared" si="179"/>
        <v>70.730000000000018</v>
      </c>
      <c r="E1768" s="3">
        <f t="shared" si="180"/>
        <v>0</v>
      </c>
      <c r="F1768" s="3">
        <f t="shared" si="178"/>
        <v>33.801459209873414</v>
      </c>
      <c r="G1768" s="3">
        <f t="shared" si="178"/>
        <v>5.6109660528103209</v>
      </c>
      <c r="H1768" s="3">
        <f t="shared" si="181"/>
        <v>6.0241781703426165</v>
      </c>
      <c r="I1768" s="3">
        <f t="shared" si="182"/>
        <v>85.76345907308864</v>
      </c>
    </row>
    <row r="1769" spans="1:9" ht="15.75" customHeight="1">
      <c r="A1769" s="14">
        <v>43101</v>
      </c>
      <c r="B1769">
        <v>2789.8</v>
      </c>
      <c r="C1769" s="3">
        <f t="shared" si="177"/>
        <v>125.46000000000004</v>
      </c>
      <c r="D1769" s="3">
        <f t="shared" si="179"/>
        <v>125.46000000000004</v>
      </c>
      <c r="E1769" s="3">
        <f t="shared" si="180"/>
        <v>0</v>
      </c>
      <c r="F1769" s="3">
        <f t="shared" si="178"/>
        <v>40.3484978377396</v>
      </c>
      <c r="G1769" s="3">
        <f t="shared" si="178"/>
        <v>5.2101827633238695</v>
      </c>
      <c r="H1769" s="3">
        <f t="shared" si="181"/>
        <v>7.7441617061431103</v>
      </c>
      <c r="I1769" s="3">
        <f t="shared" si="182"/>
        <v>88.563797953353699</v>
      </c>
    </row>
    <row r="1770" spans="1:9" ht="15.75" customHeight="1">
      <c r="A1770" s="14">
        <v>43132</v>
      </c>
      <c r="B1770">
        <v>2705.16</v>
      </c>
      <c r="C1770" s="3">
        <f t="shared" si="177"/>
        <v>-84.640000000000327</v>
      </c>
      <c r="D1770" s="3">
        <f t="shared" si="179"/>
        <v>0</v>
      </c>
      <c r="E1770" s="3">
        <f t="shared" si="180"/>
        <v>84.640000000000327</v>
      </c>
      <c r="F1770" s="3">
        <f t="shared" si="178"/>
        <v>37.466462277901051</v>
      </c>
      <c r="G1770" s="3">
        <f t="shared" si="178"/>
        <v>10.883741137372187</v>
      </c>
      <c r="H1770" s="3">
        <f t="shared" si="181"/>
        <v>3.4424249718003765</v>
      </c>
      <c r="I1770" s="3">
        <f t="shared" si="182"/>
        <v>77.489771772223506</v>
      </c>
    </row>
    <row r="1771" spans="1:9" ht="15.75" customHeight="1">
      <c r="A1771" s="14">
        <v>43160</v>
      </c>
      <c r="B1771">
        <v>2702.77</v>
      </c>
      <c r="C1771" s="3">
        <f t="shared" ref="C1771:C1831" si="183">B1771-B1770</f>
        <v>-2.3899999999998727</v>
      </c>
      <c r="D1771" s="3">
        <f t="shared" si="179"/>
        <v>0</v>
      </c>
      <c r="E1771" s="3">
        <f t="shared" si="180"/>
        <v>2.3899999999998727</v>
      </c>
      <c r="F1771" s="3">
        <f t="shared" si="178"/>
        <v>34.790286400908123</v>
      </c>
      <c r="G1771" s="3">
        <f t="shared" si="178"/>
        <v>10.277045341845593</v>
      </c>
      <c r="H1771" s="3">
        <f t="shared" si="181"/>
        <v>3.3852420850232763</v>
      </c>
      <c r="I1771" s="3">
        <f t="shared" si="182"/>
        <v>77.196241835422143</v>
      </c>
    </row>
    <row r="1772" spans="1:9" ht="15.75" customHeight="1">
      <c r="A1772" s="14">
        <v>43191</v>
      </c>
      <c r="B1772">
        <v>2642.19</v>
      </c>
      <c r="C1772" s="3">
        <f t="shared" si="183"/>
        <v>-60.579999999999927</v>
      </c>
      <c r="D1772" s="3">
        <f t="shared" si="179"/>
        <v>0</v>
      </c>
      <c r="E1772" s="3">
        <f t="shared" si="180"/>
        <v>60.579999999999927</v>
      </c>
      <c r="F1772" s="3">
        <f t="shared" si="178"/>
        <v>32.305265943700398</v>
      </c>
      <c r="G1772" s="3">
        <f t="shared" si="178"/>
        <v>13.870113531713759</v>
      </c>
      <c r="H1772" s="3">
        <f t="shared" si="181"/>
        <v>2.3291277226992411</v>
      </c>
      <c r="I1772" s="3">
        <f t="shared" si="182"/>
        <v>69.962101688630781</v>
      </c>
    </row>
    <row r="1773" spans="1:9" ht="15.75" customHeight="1">
      <c r="A1773" s="14">
        <v>43221</v>
      </c>
      <c r="B1773" s="15">
        <v>2705.27</v>
      </c>
      <c r="C1773" s="3">
        <f t="shared" si="183"/>
        <v>63.079999999999927</v>
      </c>
      <c r="D1773" s="3">
        <f t="shared" si="179"/>
        <v>63.079999999999927</v>
      </c>
      <c r="E1773" s="3">
        <f t="shared" si="180"/>
        <v>0</v>
      </c>
      <c r="F1773" s="3">
        <f t="shared" si="178"/>
        <v>34.503461233436077</v>
      </c>
      <c r="G1773" s="3">
        <f t="shared" si="178"/>
        <v>12.879391136591348</v>
      </c>
      <c r="H1773" s="3">
        <f t="shared" si="181"/>
        <v>2.6789667980040663</v>
      </c>
      <c r="I1773" s="3">
        <f t="shared" si="182"/>
        <v>72.818455427688946</v>
      </c>
    </row>
    <row r="1774" spans="1:9" ht="15.75" customHeight="1">
      <c r="A1774" s="14">
        <v>43252</v>
      </c>
      <c r="B1774" s="15">
        <v>2718.37</v>
      </c>
      <c r="C1774" s="3">
        <f t="shared" si="183"/>
        <v>13.099999999999909</v>
      </c>
      <c r="D1774" s="3">
        <f t="shared" si="179"/>
        <v>13.099999999999909</v>
      </c>
      <c r="E1774" s="3">
        <f t="shared" si="180"/>
        <v>0</v>
      </c>
      <c r="F1774" s="3">
        <f t="shared" si="178"/>
        <v>32.974642573904923</v>
      </c>
      <c r="G1774" s="3">
        <f t="shared" si="178"/>
        <v>11.959434626834822</v>
      </c>
      <c r="H1774" s="3">
        <f t="shared" si="181"/>
        <v>2.7572074770086332</v>
      </c>
      <c r="I1774" s="3">
        <f t="shared" si="182"/>
        <v>73.384488183863411</v>
      </c>
    </row>
    <row r="1775" spans="1:9" ht="15.75" customHeight="1">
      <c r="A1775" s="14">
        <v>43282</v>
      </c>
      <c r="B1775" s="15">
        <v>2816.29</v>
      </c>
      <c r="C1775" s="3">
        <f t="shared" si="183"/>
        <v>97.920000000000073</v>
      </c>
      <c r="D1775" s="3">
        <f t="shared" si="179"/>
        <v>97.920000000000073</v>
      </c>
      <c r="E1775" s="3">
        <f t="shared" si="180"/>
        <v>0</v>
      </c>
      <c r="F1775" s="3">
        <f t="shared" si="178"/>
        <v>37.613596675768861</v>
      </c>
      <c r="G1775" s="3">
        <f t="shared" si="178"/>
        <v>11.105189296346621</v>
      </c>
      <c r="H1775" s="3">
        <f t="shared" si="181"/>
        <v>3.3870288629967757</v>
      </c>
      <c r="I1775" s="3">
        <f t="shared" si="182"/>
        <v>77.205529500052094</v>
      </c>
    </row>
    <row r="1776" spans="1:9" ht="15.75" customHeight="1">
      <c r="A1776" s="14">
        <v>43313</v>
      </c>
      <c r="B1776" s="15">
        <v>2901.52</v>
      </c>
      <c r="C1776" s="3">
        <f t="shared" si="183"/>
        <v>85.230000000000018</v>
      </c>
      <c r="D1776" s="3">
        <f t="shared" si="179"/>
        <v>85.230000000000018</v>
      </c>
      <c r="E1776" s="3">
        <f t="shared" si="180"/>
        <v>0</v>
      </c>
      <c r="F1776" s="3">
        <f t="shared" si="178"/>
        <v>41.01476834178537</v>
      </c>
      <c r="G1776" s="3">
        <f t="shared" si="178"/>
        <v>10.31196148946472</v>
      </c>
      <c r="H1776" s="3">
        <f t="shared" si="181"/>
        <v>3.9773973539067584</v>
      </c>
      <c r="I1776" s="3">
        <f t="shared" si="182"/>
        <v>79.909178855991868</v>
      </c>
    </row>
    <row r="1777" spans="1:9" ht="15.75" customHeight="1">
      <c r="A1777" s="14">
        <v>43344</v>
      </c>
      <c r="B1777" s="15">
        <v>2913.98</v>
      </c>
      <c r="C1777" s="3">
        <f t="shared" si="183"/>
        <v>12.460000000000036</v>
      </c>
      <c r="D1777" s="3">
        <f t="shared" si="179"/>
        <v>12.460000000000036</v>
      </c>
      <c r="E1777" s="3">
        <f t="shared" si="180"/>
        <v>0</v>
      </c>
      <c r="F1777" s="3">
        <f t="shared" si="178"/>
        <v>38.975142031657846</v>
      </c>
      <c r="G1777" s="3">
        <f t="shared" si="178"/>
        <v>9.5753928116458109</v>
      </c>
      <c r="H1777" s="3">
        <f t="shared" si="181"/>
        <v>4.0703439324447759</v>
      </c>
      <c r="I1777" s="3">
        <f t="shared" si="182"/>
        <v>80.277472034962557</v>
      </c>
    </row>
    <row r="1778" spans="1:9" ht="15.75" customHeight="1">
      <c r="A1778" s="14">
        <v>43374</v>
      </c>
      <c r="B1778" s="15">
        <v>2711.74</v>
      </c>
      <c r="C1778" s="3">
        <f t="shared" si="183"/>
        <v>-202.24000000000024</v>
      </c>
      <c r="D1778" s="3">
        <f t="shared" si="179"/>
        <v>0</v>
      </c>
      <c r="E1778" s="3">
        <f t="shared" si="180"/>
        <v>202.24000000000024</v>
      </c>
      <c r="F1778" s="3">
        <f t="shared" si="178"/>
        <v>36.191203315110855</v>
      </c>
      <c r="G1778" s="3">
        <f t="shared" si="178"/>
        <v>23.337150467956839</v>
      </c>
      <c r="H1778" s="3">
        <f t="shared" si="181"/>
        <v>1.5507978733223373</v>
      </c>
      <c r="I1778" s="3">
        <f t="shared" si="182"/>
        <v>60.796580142293671</v>
      </c>
    </row>
    <row r="1779" spans="1:9" ht="15.75" customHeight="1">
      <c r="A1779" s="14">
        <v>43405</v>
      </c>
      <c r="B1779" s="15">
        <v>2760.17</v>
      </c>
      <c r="C1779" s="3">
        <f t="shared" si="183"/>
        <v>48.430000000000291</v>
      </c>
      <c r="D1779" s="3">
        <f t="shared" si="179"/>
        <v>48.430000000000291</v>
      </c>
      <c r="E1779" s="3">
        <f t="shared" si="180"/>
        <v>0</v>
      </c>
      <c r="F1779" s="3">
        <f t="shared" si="178"/>
        <v>37.065403078317239</v>
      </c>
      <c r="G1779" s="3">
        <f t="shared" si="178"/>
        <v>21.670211148817064</v>
      </c>
      <c r="H1779" s="3">
        <f t="shared" si="181"/>
        <v>1.7104310993453595</v>
      </c>
      <c r="I1779" s="3">
        <f t="shared" si="182"/>
        <v>63.105500071869514</v>
      </c>
    </row>
    <row r="1780" spans="1:9" ht="15.75" customHeight="1">
      <c r="A1780" s="14">
        <v>43435</v>
      </c>
      <c r="B1780" s="15">
        <v>2506.85</v>
      </c>
      <c r="C1780" s="3">
        <f t="shared" si="183"/>
        <v>-253.32000000000016</v>
      </c>
      <c r="D1780" s="3">
        <f t="shared" si="179"/>
        <v>0</v>
      </c>
      <c r="E1780" s="3">
        <f t="shared" si="180"/>
        <v>253.32000000000016</v>
      </c>
      <c r="F1780" s="3">
        <f t="shared" si="178"/>
        <v>34.417874287008864</v>
      </c>
      <c r="G1780" s="3">
        <f t="shared" si="178"/>
        <v>38.216624638187284</v>
      </c>
      <c r="H1780" s="3">
        <f t="shared" si="181"/>
        <v>0.90059953260805281</v>
      </c>
      <c r="I1780" s="3">
        <f t="shared" si="182"/>
        <v>47.385023365349696</v>
      </c>
    </row>
    <row r="1781" spans="1:9" ht="15.75" customHeight="1">
      <c r="A1781" s="14">
        <v>43466</v>
      </c>
      <c r="B1781" s="15">
        <v>2704.1</v>
      </c>
      <c r="C1781" s="3">
        <f t="shared" si="183"/>
        <v>197.25</v>
      </c>
      <c r="D1781" s="3">
        <f t="shared" si="179"/>
        <v>197.25</v>
      </c>
      <c r="E1781" s="3">
        <f t="shared" si="180"/>
        <v>0</v>
      </c>
      <c r="F1781" s="3">
        <f t="shared" si="178"/>
        <v>46.048740409365372</v>
      </c>
      <c r="G1781" s="3">
        <f t="shared" si="178"/>
        <v>35.486865735459624</v>
      </c>
      <c r="H1781" s="3">
        <f t="shared" si="181"/>
        <v>1.2976277125356828</v>
      </c>
      <c r="I1781" s="3">
        <f t="shared" si="182"/>
        <v>56.476848074904574</v>
      </c>
    </row>
    <row r="1782" spans="1:9" ht="15.75" customHeight="1">
      <c r="A1782" s="14">
        <v>43497</v>
      </c>
      <c r="B1782" s="15">
        <v>2784.49</v>
      </c>
      <c r="C1782" s="3">
        <f t="shared" si="183"/>
        <v>80.389999999999873</v>
      </c>
      <c r="D1782" s="3">
        <f t="shared" si="179"/>
        <v>80.389999999999873</v>
      </c>
      <c r="E1782" s="3">
        <f t="shared" si="180"/>
        <v>0</v>
      </c>
      <c r="F1782" s="3">
        <f t="shared" si="178"/>
        <v>48.501687522982124</v>
      </c>
      <c r="G1782" s="3">
        <f t="shared" si="178"/>
        <v>32.952089611498224</v>
      </c>
      <c r="H1782" s="3">
        <f t="shared" si="181"/>
        <v>1.4718850335384515</v>
      </c>
      <c r="I1782" s="3">
        <f t="shared" si="182"/>
        <v>59.545044108765808</v>
      </c>
    </row>
    <row r="1783" spans="1:9" ht="15.75" customHeight="1">
      <c r="A1783" s="14">
        <v>43525</v>
      </c>
      <c r="B1783" s="15">
        <v>2834.4</v>
      </c>
      <c r="C1783" s="3">
        <f t="shared" si="183"/>
        <v>49.910000000000309</v>
      </c>
      <c r="D1783" s="3">
        <f t="shared" si="179"/>
        <v>49.910000000000309</v>
      </c>
      <c r="E1783" s="3">
        <f t="shared" si="180"/>
        <v>0</v>
      </c>
      <c r="F1783" s="3">
        <f t="shared" si="178"/>
        <v>48.602281271340566</v>
      </c>
      <c r="G1783" s="3">
        <f t="shared" si="178"/>
        <v>30.598368924962635</v>
      </c>
      <c r="H1783" s="3">
        <f t="shared" si="181"/>
        <v>1.5883945118293561</v>
      </c>
      <c r="I1783" s="3">
        <f t="shared" si="182"/>
        <v>61.366012969435367</v>
      </c>
    </row>
    <row r="1784" spans="1:9" ht="15.75" customHeight="1">
      <c r="A1784" s="14">
        <v>43556</v>
      </c>
      <c r="B1784" s="15">
        <v>2945.83</v>
      </c>
      <c r="C1784" s="3">
        <f t="shared" si="183"/>
        <v>111.42999999999984</v>
      </c>
      <c r="D1784" s="3">
        <f t="shared" si="179"/>
        <v>111.42999999999984</v>
      </c>
      <c r="E1784" s="3">
        <f t="shared" si="180"/>
        <v>0</v>
      </c>
      <c r="F1784" s="3">
        <f t="shared" si="178"/>
        <v>53.089975466244802</v>
      </c>
      <c r="G1784" s="3">
        <f t="shared" si="178"/>
        <v>28.412771144608161</v>
      </c>
      <c r="H1784" s="3">
        <f t="shared" si="181"/>
        <v>1.8685250796566384</v>
      </c>
      <c r="I1784" s="3">
        <f t="shared" si="182"/>
        <v>65.138878962853624</v>
      </c>
    </row>
    <row r="1785" spans="1:9" ht="15.75" customHeight="1">
      <c r="A1785" s="14">
        <v>43586</v>
      </c>
      <c r="B1785" s="15">
        <v>2752.06</v>
      </c>
      <c r="C1785" s="3">
        <f t="shared" si="183"/>
        <v>-193.76999999999998</v>
      </c>
      <c r="D1785" s="3">
        <f t="shared" si="179"/>
        <v>0</v>
      </c>
      <c r="E1785" s="3">
        <f t="shared" si="180"/>
        <v>193.76999999999998</v>
      </c>
      <c r="F1785" s="3">
        <f t="shared" si="178"/>
        <v>49.297834361513033</v>
      </c>
      <c r="G1785" s="3">
        <f t="shared" si="178"/>
        <v>40.224001777136145</v>
      </c>
      <c r="H1785" s="3">
        <f t="shared" si="181"/>
        <v>1.22558254234999</v>
      </c>
      <c r="I1785" s="3">
        <f t="shared" si="182"/>
        <v>55.067943741861797</v>
      </c>
    </row>
    <row r="1786" spans="1:9" ht="15.75" customHeight="1">
      <c r="A1786" s="14">
        <v>43617</v>
      </c>
      <c r="B1786" s="15">
        <v>2941.76</v>
      </c>
      <c r="C1786" s="3">
        <f t="shared" si="183"/>
        <v>189.70000000000027</v>
      </c>
      <c r="D1786" s="3">
        <f t="shared" si="179"/>
        <v>189.70000000000027</v>
      </c>
      <c r="E1786" s="3">
        <f t="shared" si="180"/>
        <v>0</v>
      </c>
      <c r="F1786" s="3">
        <f t="shared" si="178"/>
        <v>59.326560478547833</v>
      </c>
      <c r="G1786" s="3">
        <f t="shared" si="178"/>
        <v>37.350858793054996</v>
      </c>
      <c r="H1786" s="3">
        <f t="shared" si="181"/>
        <v>1.588358672212886</v>
      </c>
      <c r="I1786" s="3">
        <f t="shared" si="182"/>
        <v>61.365478025305428</v>
      </c>
    </row>
    <row r="1787" spans="1:9" ht="15.75" customHeight="1">
      <c r="A1787" s="14">
        <v>43647</v>
      </c>
      <c r="B1787" s="15">
        <v>2980.38</v>
      </c>
      <c r="C1787" s="3">
        <f t="shared" si="183"/>
        <v>38.619999999999891</v>
      </c>
      <c r="D1787" s="3">
        <f t="shared" si="179"/>
        <v>38.619999999999891</v>
      </c>
      <c r="E1787" s="3">
        <f t="shared" si="180"/>
        <v>0</v>
      </c>
      <c r="F1787" s="3">
        <f t="shared" si="178"/>
        <v>57.847520444365841</v>
      </c>
      <c r="G1787" s="3">
        <f t="shared" si="178"/>
        <v>34.68294030783678</v>
      </c>
      <c r="H1787" s="3">
        <f t="shared" si="181"/>
        <v>1.6678955109032354</v>
      </c>
      <c r="I1787" s="3">
        <f t="shared" si="182"/>
        <v>62.517272662547313</v>
      </c>
    </row>
    <row r="1788" spans="1:9" ht="15.75" customHeight="1">
      <c r="A1788" s="14">
        <v>43678</v>
      </c>
      <c r="B1788" s="15">
        <v>2926.46</v>
      </c>
      <c r="C1788" s="3">
        <f t="shared" si="183"/>
        <v>-53.920000000000073</v>
      </c>
      <c r="D1788" s="3">
        <f t="shared" si="179"/>
        <v>0</v>
      </c>
      <c r="E1788" s="3">
        <f t="shared" si="180"/>
        <v>53.920000000000073</v>
      </c>
      <c r="F1788" s="3">
        <f t="shared" si="178"/>
        <v>53.715554698339709</v>
      </c>
      <c r="G1788" s="3">
        <f t="shared" si="178"/>
        <v>36.057016000134162</v>
      </c>
      <c r="H1788" s="3">
        <f t="shared" si="181"/>
        <v>1.4897393255764659</v>
      </c>
      <c r="I1788" s="3">
        <f t="shared" si="182"/>
        <v>59.835152631150919</v>
      </c>
    </row>
    <row r="1789" spans="1:9" ht="15.75" customHeight="1">
      <c r="A1789" s="14">
        <v>43709</v>
      </c>
      <c r="B1789" s="15">
        <v>2976.74</v>
      </c>
      <c r="C1789" s="3">
        <f t="shared" si="183"/>
        <v>50.279999999999745</v>
      </c>
      <c r="D1789" s="3">
        <f t="shared" si="179"/>
        <v>50.279999999999745</v>
      </c>
      <c r="E1789" s="3">
        <f t="shared" si="180"/>
        <v>0</v>
      </c>
      <c r="F1789" s="3">
        <f t="shared" si="178"/>
        <v>53.470157934172569</v>
      </c>
      <c r="G1789" s="3">
        <f t="shared" si="178"/>
        <v>33.481514857267435</v>
      </c>
      <c r="H1789" s="3">
        <f t="shared" si="181"/>
        <v>1.5970053374859901</v>
      </c>
      <c r="I1789" s="3">
        <f t="shared" si="182"/>
        <v>61.49411071414886</v>
      </c>
    </row>
    <row r="1790" spans="1:9" ht="15.75" customHeight="1">
      <c r="A1790" s="14">
        <v>43739</v>
      </c>
      <c r="B1790" s="15">
        <v>3037.56</v>
      </c>
      <c r="C1790" s="3">
        <f t="shared" si="183"/>
        <v>60.820000000000164</v>
      </c>
      <c r="D1790" s="3">
        <f t="shared" si="179"/>
        <v>60.820000000000164</v>
      </c>
      <c r="E1790" s="3">
        <f t="shared" si="180"/>
        <v>0</v>
      </c>
      <c r="F1790" s="3">
        <f t="shared" si="178"/>
        <v>53.995146653160255</v>
      </c>
      <c r="G1790" s="3">
        <f t="shared" si="178"/>
        <v>31.089978081748335</v>
      </c>
      <c r="H1790" s="3">
        <f t="shared" si="181"/>
        <v>1.7367380096307825</v>
      </c>
      <c r="I1790" s="3">
        <f t="shared" si="182"/>
        <v>63.460148670390573</v>
      </c>
    </row>
    <row r="1791" spans="1:9" ht="15.75" customHeight="1">
      <c r="A1791" s="14">
        <v>43770</v>
      </c>
      <c r="B1791" s="15">
        <v>3140.98</v>
      </c>
      <c r="C1791" s="3">
        <f t="shared" si="183"/>
        <v>103.42000000000007</v>
      </c>
      <c r="D1791" s="3">
        <f t="shared" si="179"/>
        <v>103.42000000000007</v>
      </c>
      <c r="E1791" s="3">
        <f t="shared" si="180"/>
        <v>0</v>
      </c>
      <c r="F1791" s="3">
        <f t="shared" si="178"/>
        <v>57.525493320791668</v>
      </c>
      <c r="G1791" s="3">
        <f t="shared" si="178"/>
        <v>28.869265361623455</v>
      </c>
      <c r="H1791" s="3">
        <f t="shared" si="181"/>
        <v>1.9926206157383404</v>
      </c>
      <c r="I1791" s="3">
        <f t="shared" si="182"/>
        <v>66.584471324532416</v>
      </c>
    </row>
    <row r="1792" spans="1:9" ht="15.75" customHeight="1">
      <c r="A1792" s="14">
        <v>43800</v>
      </c>
      <c r="B1792" s="15">
        <v>3230.78</v>
      </c>
      <c r="C1792" s="3">
        <f t="shared" si="183"/>
        <v>89.800000000000182</v>
      </c>
      <c r="D1792" s="3">
        <f t="shared" si="179"/>
        <v>89.800000000000182</v>
      </c>
      <c r="E1792" s="3">
        <f t="shared" si="180"/>
        <v>0</v>
      </c>
      <c r="F1792" s="3">
        <f t="shared" si="178"/>
        <v>59.830815226449417</v>
      </c>
      <c r="G1792" s="3">
        <f t="shared" si="178"/>
        <v>26.807174978650352</v>
      </c>
      <c r="H1792" s="3">
        <f t="shared" si="181"/>
        <v>2.2318955754979628</v>
      </c>
      <c r="I1792" s="3">
        <f t="shared" si="182"/>
        <v>69.058406231274276</v>
      </c>
    </row>
    <row r="1793" spans="1:9" ht="15.75" customHeight="1">
      <c r="A1793" s="14">
        <v>43831</v>
      </c>
      <c r="B1793" s="15">
        <v>3225.52</v>
      </c>
      <c r="C1793" s="3">
        <f t="shared" si="183"/>
        <v>-5.2600000000002183</v>
      </c>
      <c r="D1793" s="3">
        <f t="shared" si="179"/>
        <v>0</v>
      </c>
      <c r="E1793" s="3">
        <f t="shared" si="180"/>
        <v>5.2600000000002183</v>
      </c>
      <c r="F1793" s="3">
        <f t="shared" si="178"/>
        <v>55.557185567417314</v>
      </c>
      <c r="G1793" s="3">
        <f t="shared" si="178"/>
        <v>25.268091051603911</v>
      </c>
      <c r="H1793" s="3">
        <f t="shared" si="181"/>
        <v>2.1987092516785425</v>
      </c>
      <c r="I1793" s="3">
        <f t="shared" si="182"/>
        <v>68.737389949547804</v>
      </c>
    </row>
    <row r="1794" spans="1:9" ht="15.75" customHeight="1">
      <c r="A1794" s="14">
        <v>43862</v>
      </c>
      <c r="B1794" s="15">
        <v>2954.22</v>
      </c>
      <c r="C1794" s="3">
        <f t="shared" si="183"/>
        <v>-271.30000000000018</v>
      </c>
      <c r="D1794" s="3">
        <f t="shared" si="179"/>
        <v>0</v>
      </c>
      <c r="E1794" s="3">
        <f t="shared" si="180"/>
        <v>271.30000000000018</v>
      </c>
      <c r="F1794" s="3">
        <f t="shared" si="178"/>
        <v>51.588815169744649</v>
      </c>
      <c r="G1794" s="3">
        <f t="shared" si="178"/>
        <v>42.841798833632211</v>
      </c>
      <c r="H1794" s="3">
        <f t="shared" si="181"/>
        <v>1.2041701463115444</v>
      </c>
      <c r="I1794" s="3">
        <f t="shared" si="182"/>
        <v>54.631451584016837</v>
      </c>
    </row>
    <row r="1795" spans="1:9" ht="15.75" customHeight="1">
      <c r="A1795" s="14">
        <v>43891</v>
      </c>
      <c r="B1795" s="15">
        <v>2584.59</v>
      </c>
      <c r="C1795" s="3">
        <f t="shared" si="183"/>
        <v>-369.62999999999965</v>
      </c>
      <c r="D1795" s="3">
        <f t="shared" si="179"/>
        <v>0</v>
      </c>
      <c r="E1795" s="3">
        <f t="shared" si="180"/>
        <v>369.62999999999965</v>
      </c>
      <c r="F1795" s="3">
        <f t="shared" si="178"/>
        <v>47.903899800477177</v>
      </c>
      <c r="G1795" s="3">
        <f t="shared" si="178"/>
        <v>66.183813202658456</v>
      </c>
      <c r="H1795" s="3">
        <f t="shared" si="181"/>
        <v>0.72380084317282867</v>
      </c>
      <c r="I1795" s="3">
        <f t="shared" si="182"/>
        <v>41.98865814687737</v>
      </c>
    </row>
    <row r="1796" spans="1:9" ht="15.75" customHeight="1">
      <c r="A1796" s="14">
        <v>43922</v>
      </c>
      <c r="B1796" s="15">
        <v>2912.43</v>
      </c>
      <c r="C1796" s="3">
        <f t="shared" si="183"/>
        <v>327.83999999999969</v>
      </c>
      <c r="D1796" s="3">
        <f t="shared" si="179"/>
        <v>327.83999999999969</v>
      </c>
      <c r="E1796" s="3">
        <f t="shared" si="180"/>
        <v>0</v>
      </c>
      <c r="F1796" s="3">
        <f t="shared" si="178"/>
        <v>67.899335529014493</v>
      </c>
      <c r="G1796" s="3">
        <f t="shared" si="178"/>
        <v>61.45639797389714</v>
      </c>
      <c r="H1796" s="3">
        <f t="shared" si="181"/>
        <v>1.1048375395813779</v>
      </c>
      <c r="I1796" s="3">
        <f t="shared" si="182"/>
        <v>52.490395044983572</v>
      </c>
    </row>
    <row r="1797" spans="1:9" ht="15.75" customHeight="1">
      <c r="A1797" s="14">
        <v>43952</v>
      </c>
      <c r="B1797" s="15">
        <v>3044.31</v>
      </c>
      <c r="C1797" s="3">
        <f t="shared" si="183"/>
        <v>131.88000000000011</v>
      </c>
      <c r="D1797" s="3">
        <f t="shared" si="179"/>
        <v>131.88000000000011</v>
      </c>
      <c r="E1797" s="3">
        <f t="shared" si="180"/>
        <v>0</v>
      </c>
      <c r="F1797" s="3">
        <f t="shared" si="178"/>
        <v>72.469382991227761</v>
      </c>
      <c r="G1797" s="3">
        <f t="shared" si="178"/>
        <v>57.066655261475908</v>
      </c>
      <c r="H1797" s="3">
        <f t="shared" si="181"/>
        <v>1.2699076660297945</v>
      </c>
      <c r="I1797" s="3">
        <f t="shared" si="182"/>
        <v>55.945344607383952</v>
      </c>
    </row>
    <row r="1798" spans="1:9" ht="15.75" customHeight="1">
      <c r="A1798" s="14">
        <v>43983</v>
      </c>
      <c r="B1798" s="15">
        <v>3100.29</v>
      </c>
      <c r="C1798" s="3">
        <f t="shared" si="183"/>
        <v>55.980000000000018</v>
      </c>
      <c r="D1798" s="3">
        <f t="shared" si="179"/>
        <v>55.980000000000018</v>
      </c>
      <c r="E1798" s="3">
        <f t="shared" si="180"/>
        <v>0</v>
      </c>
      <c r="F1798" s="3">
        <f t="shared" si="178"/>
        <v>71.291569920425772</v>
      </c>
      <c r="G1798" s="3">
        <f t="shared" si="178"/>
        <v>52.990465599941913</v>
      </c>
      <c r="H1798" s="3">
        <f t="shared" si="181"/>
        <v>1.3453659844895554</v>
      </c>
      <c r="I1798" s="3">
        <f t="shared" si="182"/>
        <v>57.362731163782968</v>
      </c>
    </row>
    <row r="1799" spans="1:9" ht="15.75" customHeight="1">
      <c r="A1799" s="14">
        <v>44013</v>
      </c>
      <c r="B1799" s="15">
        <v>3271.12</v>
      </c>
      <c r="C1799" s="3">
        <f t="shared" si="183"/>
        <v>170.82999999999993</v>
      </c>
      <c r="D1799" s="3">
        <f t="shared" si="179"/>
        <v>170.82999999999993</v>
      </c>
      <c r="E1799" s="3">
        <f t="shared" si="180"/>
        <v>0</v>
      </c>
      <c r="F1799" s="3">
        <f t="shared" si="178"/>
        <v>78.401457783252482</v>
      </c>
      <c r="G1799" s="3">
        <f t="shared" si="178"/>
        <v>49.205432342803206</v>
      </c>
      <c r="H1799" s="3">
        <f t="shared" si="181"/>
        <v>1.5933496374352962</v>
      </c>
      <c r="I1799" s="3">
        <f t="shared" si="182"/>
        <v>61.439831113981455</v>
      </c>
    </row>
    <row r="1800" spans="1:9" ht="15.75" customHeight="1">
      <c r="A1800" s="14">
        <v>44044</v>
      </c>
      <c r="B1800" s="15">
        <v>3500.31</v>
      </c>
      <c r="C1800" s="3">
        <f t="shared" si="183"/>
        <v>229.19000000000005</v>
      </c>
      <c r="D1800" s="3">
        <f t="shared" si="179"/>
        <v>229.19000000000005</v>
      </c>
      <c r="E1800" s="3">
        <f t="shared" si="180"/>
        <v>0</v>
      </c>
      <c r="F1800" s="3">
        <f t="shared" si="178"/>
        <v>89.172067941591578</v>
      </c>
      <c r="G1800" s="3">
        <f t="shared" si="178"/>
        <v>45.690758604031551</v>
      </c>
      <c r="H1800" s="3">
        <f t="shared" si="181"/>
        <v>1.9516434103093099</v>
      </c>
      <c r="I1800" s="3">
        <f t="shared" si="182"/>
        <v>66.120568747997652</v>
      </c>
    </row>
    <row r="1801" spans="1:9" ht="15.75" customHeight="1">
      <c r="A1801" s="14">
        <v>44075</v>
      </c>
      <c r="B1801" s="15">
        <v>3363</v>
      </c>
      <c r="C1801" s="3">
        <f t="shared" si="183"/>
        <v>-137.30999999999995</v>
      </c>
      <c r="D1801" s="3">
        <f t="shared" si="179"/>
        <v>0</v>
      </c>
      <c r="E1801" s="3">
        <f t="shared" si="180"/>
        <v>137.30999999999995</v>
      </c>
      <c r="F1801" s="3">
        <f t="shared" si="178"/>
        <v>82.802634517192175</v>
      </c>
      <c r="G1801" s="3">
        <f t="shared" si="178"/>
        <v>52.234990132315012</v>
      </c>
      <c r="H1801" s="3">
        <f t="shared" si="181"/>
        <v>1.5851947958149721</v>
      </c>
      <c r="I1801" s="3">
        <f t="shared" si="182"/>
        <v>61.318195378590261</v>
      </c>
    </row>
    <row r="1802" spans="1:9" ht="15.75" customHeight="1">
      <c r="A1802" s="14">
        <v>44105</v>
      </c>
      <c r="B1802" s="15">
        <v>3269.96</v>
      </c>
      <c r="C1802" s="3">
        <f t="shared" si="183"/>
        <v>-93.039999999999964</v>
      </c>
      <c r="D1802" s="3">
        <f t="shared" si="179"/>
        <v>0</v>
      </c>
      <c r="E1802" s="3">
        <f t="shared" si="180"/>
        <v>93.039999999999964</v>
      </c>
      <c r="F1802" s="3">
        <f t="shared" si="178"/>
        <v>76.888160623107026</v>
      </c>
      <c r="G1802" s="3">
        <f t="shared" si="178"/>
        <v>55.149633694292511</v>
      </c>
      <c r="H1802" s="3">
        <f t="shared" si="181"/>
        <v>1.3941735506225903</v>
      </c>
      <c r="I1802" s="3">
        <f t="shared" si="182"/>
        <v>58.231933531303277</v>
      </c>
    </row>
    <row r="1803" spans="1:9" ht="15.75" customHeight="1">
      <c r="A1803" s="14">
        <v>44136</v>
      </c>
      <c r="B1803" s="15">
        <v>3621.63</v>
      </c>
      <c r="C1803" s="3">
        <f t="shared" si="183"/>
        <v>351.67000000000007</v>
      </c>
      <c r="D1803" s="3">
        <f t="shared" si="179"/>
        <v>351.67000000000007</v>
      </c>
      <c r="E1803" s="3">
        <f t="shared" si="180"/>
        <v>0</v>
      </c>
      <c r="F1803" s="3">
        <f t="shared" si="178"/>
        <v>96.515434864313676</v>
      </c>
      <c r="G1803" s="3">
        <f t="shared" si="178"/>
        <v>51.210374144700189</v>
      </c>
      <c r="H1803" s="3">
        <f t="shared" si="181"/>
        <v>1.8846852122501463</v>
      </c>
      <c r="I1803" s="3">
        <f t="shared" si="182"/>
        <v>65.334172486017351</v>
      </c>
    </row>
    <row r="1804" spans="1:9" ht="15.75" customHeight="1">
      <c r="A1804" s="14">
        <v>44166</v>
      </c>
      <c r="B1804" s="15">
        <v>3756.07</v>
      </c>
      <c r="C1804" s="3">
        <f t="shared" si="183"/>
        <v>134.44000000000005</v>
      </c>
      <c r="D1804" s="3">
        <f t="shared" si="179"/>
        <v>134.44000000000005</v>
      </c>
      <c r="E1804" s="3">
        <f t="shared" si="180"/>
        <v>0</v>
      </c>
      <c r="F1804" s="3">
        <f t="shared" si="178"/>
        <v>99.22433237400557</v>
      </c>
      <c r="G1804" s="3">
        <f t="shared" si="178"/>
        <v>47.552490277221601</v>
      </c>
      <c r="H1804" s="3">
        <f t="shared" si="181"/>
        <v>2.0866274677844916</v>
      </c>
      <c r="I1804" s="3">
        <f t="shared" si="182"/>
        <v>67.602180359077266</v>
      </c>
    </row>
    <row r="1805" spans="1:9" ht="15.75" customHeight="1">
      <c r="A1805" s="14">
        <v>44197</v>
      </c>
      <c r="B1805" s="15">
        <v>3714.24</v>
      </c>
      <c r="C1805" s="3">
        <f t="shared" si="183"/>
        <v>-41.830000000000382</v>
      </c>
      <c r="D1805" s="3">
        <f t="shared" si="179"/>
        <v>0</v>
      </c>
      <c r="E1805" s="3">
        <f t="shared" si="180"/>
        <v>41.830000000000382</v>
      </c>
      <c r="F1805" s="3">
        <f t="shared" si="178"/>
        <v>92.136880061576591</v>
      </c>
      <c r="G1805" s="3">
        <f t="shared" si="178"/>
        <v>47.143740971705803</v>
      </c>
      <c r="H1805" s="3">
        <f t="shared" si="181"/>
        <v>1.954382027443988</v>
      </c>
      <c r="I1805" s="3">
        <f t="shared" si="182"/>
        <v>66.151973891299377</v>
      </c>
    </row>
    <row r="1806" spans="1:9" ht="15.75" customHeight="1">
      <c r="A1806" s="14">
        <v>44228</v>
      </c>
      <c r="B1806" s="15">
        <v>3811.15</v>
      </c>
      <c r="C1806" s="3">
        <f t="shared" si="183"/>
        <v>96.910000000000309</v>
      </c>
      <c r="D1806" s="3">
        <f t="shared" si="179"/>
        <v>96.910000000000309</v>
      </c>
      <c r="E1806" s="3">
        <f t="shared" si="180"/>
        <v>0</v>
      </c>
      <c r="F1806" s="3">
        <f t="shared" si="178"/>
        <v>92.477817200035432</v>
      </c>
      <c r="G1806" s="3">
        <f t="shared" si="178"/>
        <v>43.776330902298248</v>
      </c>
      <c r="H1806" s="3">
        <f t="shared" si="181"/>
        <v>2.1125072680584194</v>
      </c>
      <c r="I1806" s="3">
        <f t="shared" si="182"/>
        <v>67.871560967509026</v>
      </c>
    </row>
    <row r="1807" spans="1:9" ht="15.75" customHeight="1">
      <c r="A1807" s="14">
        <v>44256</v>
      </c>
      <c r="B1807" s="15">
        <v>3972.89</v>
      </c>
      <c r="C1807" s="3">
        <f t="shared" si="183"/>
        <v>161.73999999999978</v>
      </c>
      <c r="D1807" s="3">
        <f t="shared" si="179"/>
        <v>161.73999999999978</v>
      </c>
      <c r="E1807" s="3">
        <f t="shared" si="180"/>
        <v>0</v>
      </c>
      <c r="F1807" s="3">
        <f t="shared" si="178"/>
        <v>97.425115971461452</v>
      </c>
      <c r="G1807" s="3">
        <f t="shared" si="178"/>
        <v>40.649450123562659</v>
      </c>
      <c r="H1807" s="3">
        <f t="shared" si="181"/>
        <v>2.3967142402988739</v>
      </c>
      <c r="I1807" s="3">
        <f t="shared" si="182"/>
        <v>70.559784272226238</v>
      </c>
    </row>
    <row r="1808" spans="1:9" ht="15.75" customHeight="1">
      <c r="A1808" s="14">
        <v>44287</v>
      </c>
      <c r="B1808" s="15">
        <v>4181.17</v>
      </c>
      <c r="C1808" s="3">
        <f t="shared" si="183"/>
        <v>208.2800000000002</v>
      </c>
      <c r="D1808" s="3">
        <f t="shared" si="179"/>
        <v>208.2800000000002</v>
      </c>
      <c r="E1808" s="3">
        <f t="shared" si="180"/>
        <v>0</v>
      </c>
      <c r="F1808" s="3">
        <f t="shared" si="178"/>
        <v>105.34332197349993</v>
      </c>
      <c r="G1808" s="3">
        <f t="shared" si="178"/>
        <v>37.745917971879614</v>
      </c>
      <c r="H1808" s="3">
        <f t="shared" si="181"/>
        <v>2.7908533593481497</v>
      </c>
      <c r="I1808" s="3">
        <f t="shared" si="182"/>
        <v>73.620715305855214</v>
      </c>
    </row>
    <row r="1809" spans="1:9" ht="15.75" customHeight="1">
      <c r="A1809" s="14">
        <v>44317</v>
      </c>
      <c r="B1809" s="15">
        <v>4204.1099999999997</v>
      </c>
      <c r="C1809" s="3">
        <f t="shared" si="183"/>
        <v>22.9399999999996</v>
      </c>
      <c r="D1809" s="3">
        <f t="shared" si="179"/>
        <v>22.9399999999996</v>
      </c>
      <c r="E1809" s="3">
        <f t="shared" si="180"/>
        <v>0</v>
      </c>
      <c r="F1809" s="3">
        <f t="shared" si="178"/>
        <v>99.457370403964191</v>
      </c>
      <c r="G1809" s="3">
        <f t="shared" si="178"/>
        <v>35.049780973888211</v>
      </c>
      <c r="H1809" s="3">
        <f t="shared" si="181"/>
        <v>2.8376031929574421</v>
      </c>
      <c r="I1809" s="3">
        <f t="shared" si="182"/>
        <v>73.942068793481695</v>
      </c>
    </row>
    <row r="1810" spans="1:9" ht="15.75" customHeight="1">
      <c r="A1810" s="14">
        <v>44348</v>
      </c>
      <c r="B1810" s="15">
        <v>4297.5</v>
      </c>
      <c r="C1810" s="3">
        <f t="shared" si="183"/>
        <v>93.390000000000327</v>
      </c>
      <c r="D1810" s="3">
        <f t="shared" si="179"/>
        <v>93.390000000000327</v>
      </c>
      <c r="E1810" s="3">
        <f t="shared" si="180"/>
        <v>0</v>
      </c>
      <c r="F1810" s="3">
        <f t="shared" ref="F1810:G1831" si="184">((F1809*13)+D1810)/14</f>
        <v>99.023986803681055</v>
      </c>
      <c r="G1810" s="3">
        <f t="shared" si="184"/>
        <v>32.546225190039053</v>
      </c>
      <c r="H1810" s="3">
        <f t="shared" si="181"/>
        <v>3.0425644210803249</v>
      </c>
      <c r="I1810" s="3">
        <f t="shared" si="182"/>
        <v>75.263226609688445</v>
      </c>
    </row>
    <row r="1811" spans="1:9" ht="15.75" customHeight="1">
      <c r="A1811" s="14">
        <v>44378</v>
      </c>
      <c r="B1811" s="15">
        <v>4395.26</v>
      </c>
      <c r="C1811" s="3">
        <f t="shared" si="183"/>
        <v>97.760000000000218</v>
      </c>
      <c r="D1811" s="3">
        <f t="shared" si="179"/>
        <v>97.760000000000218</v>
      </c>
      <c r="E1811" s="3">
        <f t="shared" si="180"/>
        <v>0</v>
      </c>
      <c r="F1811" s="3">
        <f t="shared" si="184"/>
        <v>98.933702031989569</v>
      </c>
      <c r="G1811" s="3">
        <f t="shared" si="184"/>
        <v>30.221494819321979</v>
      </c>
      <c r="H1811" s="3">
        <f t="shared" si="181"/>
        <v>3.2736204024142692</v>
      </c>
      <c r="I1811" s="3">
        <f t="shared" si="182"/>
        <v>76.600635858180652</v>
      </c>
    </row>
    <row r="1812" spans="1:9" ht="15.75" customHeight="1">
      <c r="A1812" s="14">
        <v>44409</v>
      </c>
      <c r="B1812" s="15">
        <v>4522.68</v>
      </c>
      <c r="C1812" s="3">
        <f t="shared" si="183"/>
        <v>127.42000000000007</v>
      </c>
      <c r="D1812" s="3">
        <f t="shared" si="179"/>
        <v>127.42000000000007</v>
      </c>
      <c r="E1812" s="3">
        <f t="shared" si="180"/>
        <v>0</v>
      </c>
      <c r="F1812" s="3">
        <f t="shared" si="184"/>
        <v>100.96843760113318</v>
      </c>
      <c r="G1812" s="3">
        <f t="shared" si="184"/>
        <v>28.062816617941838</v>
      </c>
      <c r="H1812" s="3">
        <f t="shared" si="181"/>
        <v>3.5979438192451236</v>
      </c>
      <c r="I1812" s="3">
        <f t="shared" si="182"/>
        <v>78.251147919328503</v>
      </c>
    </row>
    <row r="1813" spans="1:9" ht="15.75" customHeight="1">
      <c r="A1813" s="14">
        <v>44440</v>
      </c>
      <c r="B1813" s="15">
        <v>4307.54</v>
      </c>
      <c r="C1813" s="3">
        <f t="shared" si="183"/>
        <v>-215.14000000000033</v>
      </c>
      <c r="D1813" s="3">
        <f t="shared" si="179"/>
        <v>0</v>
      </c>
      <c r="E1813" s="3">
        <f t="shared" si="180"/>
        <v>215.14000000000033</v>
      </c>
      <c r="F1813" s="3">
        <f t="shared" si="184"/>
        <v>93.756406343909376</v>
      </c>
      <c r="G1813" s="3">
        <f t="shared" si="184"/>
        <v>41.425472573803162</v>
      </c>
      <c r="H1813" s="3">
        <f t="shared" si="181"/>
        <v>2.2632549617116378</v>
      </c>
      <c r="I1813" s="3">
        <f t="shared" si="182"/>
        <v>69.355750263672888</v>
      </c>
    </row>
    <row r="1814" spans="1:9" ht="15.75" customHeight="1">
      <c r="A1814" s="14">
        <v>44470</v>
      </c>
      <c r="B1814" s="15">
        <v>4605.38</v>
      </c>
      <c r="C1814" s="3">
        <f t="shared" si="183"/>
        <v>297.84000000000015</v>
      </c>
      <c r="D1814" s="3">
        <f t="shared" si="179"/>
        <v>297.84000000000015</v>
      </c>
      <c r="E1814" s="3">
        <f t="shared" si="180"/>
        <v>0</v>
      </c>
      <c r="F1814" s="3">
        <f t="shared" si="184"/>
        <v>108.33380589077299</v>
      </c>
      <c r="G1814" s="3">
        <f t="shared" si="184"/>
        <v>38.466510247102931</v>
      </c>
      <c r="H1814" s="3">
        <f t="shared" si="181"/>
        <v>2.8163148982024446</v>
      </c>
      <c r="I1814" s="3">
        <f t="shared" si="182"/>
        <v>73.796711574534413</v>
      </c>
    </row>
    <row r="1815" spans="1:9" ht="15.75" customHeight="1">
      <c r="A1815" s="14">
        <v>44501</v>
      </c>
      <c r="B1815" s="15">
        <v>4567</v>
      </c>
      <c r="C1815" s="3">
        <f t="shared" si="183"/>
        <v>-38.380000000000109</v>
      </c>
      <c r="D1815" s="3">
        <f t="shared" si="179"/>
        <v>0</v>
      </c>
      <c r="E1815" s="3">
        <f t="shared" si="180"/>
        <v>38.380000000000109</v>
      </c>
      <c r="F1815" s="3">
        <f t="shared" si="184"/>
        <v>100.59567689857492</v>
      </c>
      <c r="G1815" s="3">
        <f t="shared" si="184"/>
        <v>38.460330943738441</v>
      </c>
      <c r="H1815" s="3">
        <f t="shared" si="181"/>
        <v>2.6155697163846807</v>
      </c>
      <c r="I1815" s="3">
        <f t="shared" si="182"/>
        <v>72.341841578429566</v>
      </c>
    </row>
    <row r="1816" spans="1:9" ht="15.75" customHeight="1">
      <c r="A1816" s="14">
        <v>44531</v>
      </c>
      <c r="B1816" s="15">
        <v>4766.18</v>
      </c>
      <c r="C1816" s="3">
        <f t="shared" si="183"/>
        <v>199.18000000000029</v>
      </c>
      <c r="D1816" s="3">
        <f t="shared" si="179"/>
        <v>199.18000000000029</v>
      </c>
      <c r="E1816" s="3">
        <f t="shared" si="180"/>
        <v>0</v>
      </c>
      <c r="F1816" s="3">
        <f t="shared" si="184"/>
        <v>107.63741426296245</v>
      </c>
      <c r="G1816" s="3">
        <f t="shared" si="184"/>
        <v>35.713164447757123</v>
      </c>
      <c r="H1816" s="3">
        <f t="shared" si="181"/>
        <v>3.0139422234739088</v>
      </c>
      <c r="I1816" s="3">
        <f t="shared" si="182"/>
        <v>75.086836224201065</v>
      </c>
    </row>
    <row r="1817" spans="1:9" ht="15.75" customHeight="1">
      <c r="A1817" s="14">
        <v>44562</v>
      </c>
      <c r="B1817" s="15">
        <v>4515.55</v>
      </c>
      <c r="C1817" s="3">
        <f t="shared" si="183"/>
        <v>-250.63000000000011</v>
      </c>
      <c r="D1817" s="3">
        <f t="shared" si="179"/>
        <v>0</v>
      </c>
      <c r="E1817" s="3">
        <f t="shared" si="180"/>
        <v>250.63000000000011</v>
      </c>
      <c r="F1817" s="3">
        <f t="shared" si="184"/>
        <v>99.949027529893698</v>
      </c>
      <c r="G1817" s="3">
        <f t="shared" si="184"/>
        <v>51.064366987203051</v>
      </c>
      <c r="H1817" s="3">
        <f t="shared" si="181"/>
        <v>1.957314531186519</v>
      </c>
      <c r="I1817" s="3">
        <f t="shared" si="182"/>
        <v>66.185537944833186</v>
      </c>
    </row>
    <row r="1818" spans="1:9" ht="15.75" customHeight="1">
      <c r="A1818" s="14">
        <v>44593</v>
      </c>
      <c r="B1818" s="15">
        <v>4373.79</v>
      </c>
      <c r="C1818" s="3">
        <f t="shared" si="183"/>
        <v>-141.76000000000022</v>
      </c>
      <c r="D1818" s="3">
        <f t="shared" si="179"/>
        <v>0</v>
      </c>
      <c r="E1818" s="3">
        <f t="shared" si="180"/>
        <v>141.76000000000022</v>
      </c>
      <c r="F1818" s="3">
        <f t="shared" si="184"/>
        <v>92.809811277758428</v>
      </c>
      <c r="G1818" s="3">
        <f t="shared" si="184"/>
        <v>57.542626488117136</v>
      </c>
      <c r="H1818" s="3">
        <f t="shared" si="181"/>
        <v>1.6128879917729191</v>
      </c>
      <c r="I1818" s="3">
        <f t="shared" si="182"/>
        <v>61.728171925139762</v>
      </c>
    </row>
    <row r="1819" spans="1:9" ht="15.75" customHeight="1">
      <c r="A1819" s="14">
        <v>44621</v>
      </c>
      <c r="B1819" s="15">
        <v>4530.41</v>
      </c>
      <c r="C1819" s="3">
        <f t="shared" si="183"/>
        <v>156.61999999999989</v>
      </c>
      <c r="D1819" s="3">
        <f t="shared" si="179"/>
        <v>156.61999999999989</v>
      </c>
      <c r="E1819" s="3">
        <f t="shared" si="180"/>
        <v>0</v>
      </c>
      <c r="F1819" s="3">
        <f t="shared" si="184"/>
        <v>97.367681900775679</v>
      </c>
      <c r="G1819" s="3">
        <f t="shared" si="184"/>
        <v>53.432438881823053</v>
      </c>
      <c r="H1819" s="3">
        <f t="shared" si="181"/>
        <v>1.8222578631704338</v>
      </c>
      <c r="I1819" s="3">
        <f t="shared" si="182"/>
        <v>64.567376601207087</v>
      </c>
    </row>
    <row r="1820" spans="1:9" ht="15.75" customHeight="1">
      <c r="A1820" s="14">
        <v>44652</v>
      </c>
      <c r="B1820" s="15">
        <v>4131.93</v>
      </c>
      <c r="C1820" s="3">
        <f t="shared" si="183"/>
        <v>-398.47999999999956</v>
      </c>
      <c r="D1820" s="3">
        <f t="shared" si="179"/>
        <v>0</v>
      </c>
      <c r="E1820" s="3">
        <f t="shared" si="180"/>
        <v>398.47999999999956</v>
      </c>
      <c r="F1820" s="3">
        <f t="shared" si="184"/>
        <v>90.412847479291699</v>
      </c>
      <c r="G1820" s="3">
        <f t="shared" si="184"/>
        <v>78.078693247407074</v>
      </c>
      <c r="H1820" s="3">
        <f t="shared" si="181"/>
        <v>1.1579708076414845</v>
      </c>
      <c r="I1820" s="3">
        <f t="shared" si="182"/>
        <v>53.660170171952785</v>
      </c>
    </row>
    <row r="1821" spans="1:9" ht="15.75" customHeight="1">
      <c r="A1821" s="14">
        <v>44682</v>
      </c>
      <c r="B1821" s="15">
        <v>4132.1499999999996</v>
      </c>
      <c r="C1821" s="3">
        <f t="shared" si="183"/>
        <v>0.21999999999934516</v>
      </c>
      <c r="D1821" s="3">
        <f t="shared" si="179"/>
        <v>0.21999999999934516</v>
      </c>
      <c r="E1821" s="3">
        <f t="shared" si="180"/>
        <v>0</v>
      </c>
      <c r="F1821" s="3">
        <f t="shared" si="184"/>
        <v>83.970501230770807</v>
      </c>
      <c r="G1821" s="3">
        <f t="shared" si="184"/>
        <v>72.501643729735136</v>
      </c>
      <c r="H1821" s="3">
        <f t="shared" si="181"/>
        <v>1.158187551495911</v>
      </c>
      <c r="I1821" s="3">
        <f t="shared" si="182"/>
        <v>53.6648240183358</v>
      </c>
    </row>
    <row r="1822" spans="1:9" ht="15.75" customHeight="1">
      <c r="A1822" s="14">
        <v>44713</v>
      </c>
      <c r="B1822" s="15">
        <v>3785.38</v>
      </c>
      <c r="C1822" s="3">
        <f t="shared" si="183"/>
        <v>-346.76999999999953</v>
      </c>
      <c r="D1822" s="3">
        <f t="shared" si="179"/>
        <v>0</v>
      </c>
      <c r="E1822" s="3">
        <f t="shared" si="180"/>
        <v>346.76999999999953</v>
      </c>
      <c r="F1822" s="3">
        <f t="shared" si="184"/>
        <v>77.972608285715751</v>
      </c>
      <c r="G1822" s="3">
        <f t="shared" si="184"/>
        <v>92.092240606182585</v>
      </c>
      <c r="H1822" s="3">
        <f t="shared" si="181"/>
        <v>0.84667945716678639</v>
      </c>
      <c r="I1822" s="3">
        <f t="shared" si="182"/>
        <v>45.848750517091872</v>
      </c>
    </row>
    <row r="1823" spans="1:9" ht="15.75" customHeight="1">
      <c r="A1823" s="14">
        <v>44743</v>
      </c>
      <c r="B1823" s="15">
        <v>4130.29</v>
      </c>
      <c r="C1823" s="3">
        <f t="shared" si="183"/>
        <v>344.90999999999985</v>
      </c>
      <c r="D1823" s="3">
        <f t="shared" si="179"/>
        <v>344.90999999999985</v>
      </c>
      <c r="E1823" s="3">
        <f t="shared" si="180"/>
        <v>0</v>
      </c>
      <c r="F1823" s="3">
        <f t="shared" si="184"/>
        <v>97.039564836736048</v>
      </c>
      <c r="G1823" s="3">
        <f t="shared" si="184"/>
        <v>85.514223420026696</v>
      </c>
      <c r="H1823" s="3">
        <f t="shared" si="181"/>
        <v>1.1347768938986846</v>
      </c>
      <c r="I1823" s="3">
        <f t="shared" si="182"/>
        <v>53.15669741142235</v>
      </c>
    </row>
    <row r="1824" spans="1:9" ht="15.75" customHeight="1">
      <c r="A1824" s="14">
        <v>44774</v>
      </c>
      <c r="B1824" s="15">
        <v>3955</v>
      </c>
      <c r="C1824" s="3">
        <f t="shared" si="183"/>
        <v>-175.28999999999996</v>
      </c>
      <c r="D1824" s="3">
        <f t="shared" si="179"/>
        <v>0</v>
      </c>
      <c r="E1824" s="3">
        <f t="shared" si="180"/>
        <v>175.28999999999996</v>
      </c>
      <c r="F1824" s="3">
        <f t="shared" si="184"/>
        <v>90.108167348397757</v>
      </c>
      <c r="G1824" s="3">
        <f t="shared" si="184"/>
        <v>91.926778890024792</v>
      </c>
      <c r="H1824" s="3">
        <f t="shared" si="181"/>
        <v>0.98021673810846022</v>
      </c>
      <c r="I1824" s="3">
        <f t="shared" si="182"/>
        <v>49.500477359098653</v>
      </c>
    </row>
    <row r="1825" spans="1:9" ht="15.75" customHeight="1">
      <c r="A1825" s="14">
        <v>44805</v>
      </c>
      <c r="B1825" s="15">
        <v>3585.62</v>
      </c>
      <c r="C1825" s="3">
        <f t="shared" si="183"/>
        <v>-369.38000000000011</v>
      </c>
      <c r="D1825" s="3">
        <f t="shared" si="179"/>
        <v>0</v>
      </c>
      <c r="E1825" s="3">
        <f t="shared" si="180"/>
        <v>369.38000000000011</v>
      </c>
      <c r="F1825" s="3">
        <f t="shared" si="184"/>
        <v>83.671869680655064</v>
      </c>
      <c r="G1825" s="3">
        <f t="shared" si="184"/>
        <v>111.74486611216589</v>
      </c>
      <c r="H1825" s="3">
        <f t="shared" si="181"/>
        <v>0.74877596252760226</v>
      </c>
      <c r="I1825" s="3">
        <f t="shared" si="182"/>
        <v>42.81714631103204</v>
      </c>
    </row>
    <row r="1826" spans="1:9" ht="15.75" customHeight="1">
      <c r="A1826" s="14">
        <v>44835</v>
      </c>
      <c r="B1826" s="15">
        <v>3871.98</v>
      </c>
      <c r="C1826" s="3">
        <f t="shared" si="183"/>
        <v>286.36000000000013</v>
      </c>
      <c r="D1826" s="3">
        <f t="shared" si="179"/>
        <v>286.36000000000013</v>
      </c>
      <c r="E1826" s="3">
        <f t="shared" si="180"/>
        <v>0</v>
      </c>
      <c r="F1826" s="3">
        <f t="shared" si="184"/>
        <v>98.149593274893988</v>
      </c>
      <c r="G1826" s="3">
        <f t="shared" si="184"/>
        <v>103.76308996129691</v>
      </c>
      <c r="H1826" s="3">
        <f t="shared" si="181"/>
        <v>0.94590083344186526</v>
      </c>
      <c r="I1826" s="3">
        <f t="shared" si="182"/>
        <v>48.609919744408423</v>
      </c>
    </row>
    <row r="1827" spans="1:9" ht="15.75" customHeight="1">
      <c r="A1827" s="14">
        <v>44866</v>
      </c>
      <c r="B1827" s="15">
        <v>4080.11</v>
      </c>
      <c r="C1827" s="3">
        <f t="shared" si="183"/>
        <v>208.13000000000011</v>
      </c>
      <c r="D1827" s="3">
        <f t="shared" si="179"/>
        <v>208.13000000000011</v>
      </c>
      <c r="E1827" s="3">
        <f t="shared" si="180"/>
        <v>0</v>
      </c>
      <c r="F1827" s="3">
        <f t="shared" si="184"/>
        <v>106.00533661240158</v>
      </c>
      <c r="G1827" s="3">
        <f t="shared" si="184"/>
        <v>96.351440678347132</v>
      </c>
      <c r="H1827" s="3">
        <f t="shared" si="181"/>
        <v>1.1001946194689745</v>
      </c>
      <c r="I1827" s="3">
        <f t="shared" si="182"/>
        <v>52.385365111884447</v>
      </c>
    </row>
    <row r="1828" spans="1:9" ht="15.75" customHeight="1">
      <c r="A1828" s="14">
        <v>44896</v>
      </c>
      <c r="B1828" s="15">
        <v>3839.5</v>
      </c>
      <c r="C1828" s="3">
        <f t="shared" si="183"/>
        <v>-240.61000000000013</v>
      </c>
      <c r="D1828" s="3">
        <f t="shared" si="179"/>
        <v>0</v>
      </c>
      <c r="E1828" s="3">
        <f t="shared" si="180"/>
        <v>240.61000000000013</v>
      </c>
      <c r="F1828" s="3">
        <f t="shared" si="184"/>
        <v>98.433526854372886</v>
      </c>
      <c r="G1828" s="3">
        <f t="shared" si="184"/>
        <v>106.65562348703664</v>
      </c>
      <c r="H1828" s="3">
        <f t="shared" si="181"/>
        <v>0.92290986294160948</v>
      </c>
      <c r="I1828" s="3">
        <f t="shared" si="182"/>
        <v>47.995482301482909</v>
      </c>
    </row>
    <row r="1829" spans="1:9" ht="15.75" customHeight="1">
      <c r="A1829" s="14">
        <v>44927</v>
      </c>
      <c r="B1829" s="15">
        <v>4076.6</v>
      </c>
      <c r="C1829" s="3">
        <f t="shared" si="183"/>
        <v>237.09999999999991</v>
      </c>
      <c r="D1829" s="3">
        <f t="shared" si="179"/>
        <v>237.09999999999991</v>
      </c>
      <c r="E1829" s="3">
        <f t="shared" si="180"/>
        <v>0</v>
      </c>
      <c r="F1829" s="3">
        <f t="shared" si="184"/>
        <v>108.33827493620338</v>
      </c>
      <c r="G1829" s="3">
        <f t="shared" si="184"/>
        <v>99.037364666534017</v>
      </c>
      <c r="H1829" s="3">
        <f t="shared" si="181"/>
        <v>1.0939131438016974</v>
      </c>
      <c r="I1829" s="3">
        <f t="shared" si="182"/>
        <v>52.2425272050967</v>
      </c>
    </row>
    <row r="1830" spans="1:9" ht="15.75" customHeight="1">
      <c r="A1830" s="14">
        <v>44958</v>
      </c>
      <c r="B1830" s="15">
        <v>3970.15</v>
      </c>
      <c r="C1830" s="3">
        <f t="shared" si="183"/>
        <v>-106.44999999999982</v>
      </c>
      <c r="D1830" s="3">
        <f t="shared" ref="D1830:D1831" si="185">IF(C1830&gt;0,C1830,0)</f>
        <v>0</v>
      </c>
      <c r="E1830" s="3">
        <f t="shared" ref="E1830:E1831" si="186">IF(C1830&lt;0,-C1830,0)</f>
        <v>106.44999999999982</v>
      </c>
      <c r="F1830" s="3">
        <f t="shared" si="184"/>
        <v>100.59982672647456</v>
      </c>
      <c r="G1830" s="3">
        <f t="shared" si="184"/>
        <v>99.566838618924422</v>
      </c>
      <c r="H1830" s="3">
        <f t="shared" ref="H1830:H1831" si="187">F1830/G1830</f>
        <v>1.0103748207925305</v>
      </c>
      <c r="I1830" s="3">
        <f t="shared" ref="I1830:I1831" si="188">IF(G1830=0,100,100-(100/(1+H1830)))</f>
        <v>50.258032001923915</v>
      </c>
    </row>
    <row r="1831" spans="1:9" ht="15.75" customHeight="1">
      <c r="A1831" s="14">
        <v>44986</v>
      </c>
      <c r="B1831" s="15">
        <v>3916.64</v>
      </c>
      <c r="C1831" s="3">
        <f t="shared" si="183"/>
        <v>-53.510000000000218</v>
      </c>
      <c r="D1831" s="3">
        <f t="shared" si="185"/>
        <v>0</v>
      </c>
      <c r="E1831" s="3">
        <f t="shared" si="186"/>
        <v>53.510000000000218</v>
      </c>
      <c r="F1831" s="3">
        <f t="shared" si="184"/>
        <v>93.414124817440666</v>
      </c>
      <c r="G1831" s="3">
        <f t="shared" si="184"/>
        <v>96.277064431858406</v>
      </c>
      <c r="H1831" s="3">
        <f t="shared" si="187"/>
        <v>0.97026353440134194</v>
      </c>
      <c r="I1831" s="3">
        <f t="shared" si="188"/>
        <v>49.245368320545673</v>
      </c>
    </row>
  </sheetData>
  <phoneticPr fontId="1" type="noConversion"/>
  <hyperlinks>
    <hyperlink ref="A2" r:id="rId1" xr:uid="{00000000-0004-0000-0000-000000000000}"/>
  </hyperlinks>
  <pageMargins left="0.75" right="0.75" top="1" bottom="1" header="0.5" footer="0.5"/>
  <pageSetup orientation="portrait" horizontalDpi="4294967293" verticalDpi="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4438-ACCD-44A3-926B-0016C6569342}">
  <dimension ref="A1:L1828"/>
  <sheetViews>
    <sheetView showGridLines="0" showZeros="0" tabSelected="1" zoomScaleNormal="100" workbookViewId="0">
      <selection activeCell="E19" sqref="E19"/>
    </sheetView>
  </sheetViews>
  <sheetFormatPr defaultColWidth="8.85546875" defaultRowHeight="15.75" customHeight="1"/>
  <cols>
    <col min="1" max="1" width="12.140625" style="2" customWidth="1"/>
    <col min="2" max="2" width="12.85546875" style="4" customWidth="1"/>
    <col min="3" max="10" width="8.85546875" style="2"/>
    <col min="11" max="11" width="11.42578125" style="2" customWidth="1"/>
    <col min="12" max="16384" width="8.85546875" style="2"/>
  </cols>
  <sheetData>
    <row r="1" spans="1:12" s="1" customFormat="1" ht="15.75" customHeight="1" thickBot="1">
      <c r="A1" s="8" t="s">
        <v>4</v>
      </c>
      <c r="B1" s="10" t="s">
        <v>10</v>
      </c>
    </row>
    <row r="2" spans="1:12" ht="15.75" customHeight="1">
      <c r="A2" s="14" t="s">
        <v>11</v>
      </c>
      <c r="B2" s="3"/>
    </row>
    <row r="3" spans="1:12" ht="15.75" customHeight="1">
      <c r="A3" s="14" t="s">
        <v>12</v>
      </c>
      <c r="B3" s="3"/>
      <c r="K3" s="12"/>
      <c r="L3" s="12"/>
    </row>
    <row r="4" spans="1:12" ht="15.75" customHeight="1">
      <c r="A4" s="14" t="s">
        <v>13</v>
      </c>
      <c r="B4" s="3"/>
      <c r="K4" s="13"/>
      <c r="L4" s="12"/>
    </row>
    <row r="5" spans="1:12" ht="15.75" customHeight="1">
      <c r="A5" s="14" t="s">
        <v>14</v>
      </c>
      <c r="B5" s="3"/>
      <c r="K5" s="13"/>
      <c r="L5" s="12"/>
    </row>
    <row r="6" spans="1:12" ht="15.75" customHeight="1">
      <c r="A6" s="14" t="s">
        <v>15</v>
      </c>
      <c r="B6" s="3"/>
      <c r="K6" s="13"/>
      <c r="L6" s="12"/>
    </row>
    <row r="7" spans="1:12" ht="15.75" customHeight="1">
      <c r="A7" s="14" t="s">
        <v>16</v>
      </c>
      <c r="B7" s="3"/>
      <c r="K7" s="13"/>
      <c r="L7" s="12"/>
    </row>
    <row r="8" spans="1:12" ht="15.75" customHeight="1">
      <c r="A8" s="14" t="s">
        <v>17</v>
      </c>
      <c r="B8" s="3"/>
      <c r="K8" s="13"/>
      <c r="L8" s="12"/>
    </row>
    <row r="9" spans="1:12" ht="15.75" customHeight="1">
      <c r="A9" s="14" t="s">
        <v>18</v>
      </c>
      <c r="B9" s="3"/>
      <c r="K9" s="13"/>
      <c r="L9" s="12"/>
    </row>
    <row r="10" spans="1:12" ht="15.75" customHeight="1">
      <c r="A10" s="14" t="s">
        <v>19</v>
      </c>
      <c r="B10" s="3"/>
      <c r="K10" s="13"/>
      <c r="L10" s="12"/>
    </row>
    <row r="11" spans="1:12" ht="15.75" customHeight="1">
      <c r="A11" s="14" t="s">
        <v>20</v>
      </c>
      <c r="B11" s="3"/>
      <c r="K11" s="13"/>
      <c r="L11" s="12"/>
    </row>
    <row r="12" spans="1:12" ht="15.75" customHeight="1">
      <c r="A12" s="14" t="s">
        <v>21</v>
      </c>
      <c r="B12" s="3"/>
      <c r="K12" s="13"/>
      <c r="L12" s="12"/>
    </row>
    <row r="13" spans="1:12" ht="15.75" customHeight="1">
      <c r="A13" s="14" t="s">
        <v>22</v>
      </c>
      <c r="B13" s="3"/>
      <c r="K13" s="13"/>
      <c r="L13" s="12"/>
    </row>
    <row r="14" spans="1:12" ht="15.75" customHeight="1">
      <c r="A14" s="14" t="s">
        <v>23</v>
      </c>
      <c r="B14" s="3"/>
      <c r="K14" s="13"/>
      <c r="L14" s="12"/>
    </row>
    <row r="15" spans="1:12" ht="15.75" customHeight="1">
      <c r="A15" s="14" t="s">
        <v>24</v>
      </c>
      <c r="B15" s="3"/>
      <c r="K15" s="13"/>
      <c r="L15" s="12"/>
    </row>
    <row r="16" spans="1:12" ht="15.75" customHeight="1">
      <c r="A16" s="14" t="s">
        <v>25</v>
      </c>
      <c r="B16" s="3">
        <v>72.058823529411768</v>
      </c>
      <c r="C16" s="7"/>
      <c r="K16" s="13"/>
      <c r="L16" s="12"/>
    </row>
    <row r="17" spans="1:12" ht="15.75" customHeight="1">
      <c r="A17" s="14" t="s">
        <v>26</v>
      </c>
      <c r="B17" s="3">
        <v>74.847250509164965</v>
      </c>
      <c r="C17" s="7"/>
      <c r="K17" s="13"/>
      <c r="L17" s="12"/>
    </row>
    <row r="18" spans="1:12" ht="15.75" customHeight="1">
      <c r="A18" s="14" t="s">
        <v>27</v>
      </c>
      <c r="B18" s="3">
        <v>74.847250509164965</v>
      </c>
      <c r="C18" s="7"/>
      <c r="K18" s="13"/>
      <c r="L18" s="12"/>
    </row>
    <row r="19" spans="1:12" ht="15.75" customHeight="1">
      <c r="A19" s="14" t="s">
        <v>28</v>
      </c>
      <c r="B19" s="3">
        <v>71.876193452070964</v>
      </c>
      <c r="C19" s="7"/>
      <c r="K19" s="13"/>
      <c r="L19" s="12"/>
    </row>
    <row r="20" spans="1:12" ht="15.75" customHeight="1">
      <c r="A20" s="14" t="s">
        <v>29</v>
      </c>
      <c r="B20" s="3">
        <v>70.078741182627965</v>
      </c>
      <c r="C20" s="7"/>
      <c r="K20" s="13"/>
      <c r="L20" s="12"/>
    </row>
    <row r="21" spans="1:12" ht="15.75" customHeight="1">
      <c r="A21" s="14" t="s">
        <v>30</v>
      </c>
      <c r="B21" s="3">
        <v>66.497040466439898</v>
      </c>
      <c r="C21" s="7"/>
      <c r="K21" s="13"/>
      <c r="L21" s="12"/>
    </row>
    <row r="22" spans="1:12" ht="15.75" customHeight="1">
      <c r="A22" s="14" t="s">
        <v>31</v>
      </c>
      <c r="B22" s="3">
        <v>61.425632146924343</v>
      </c>
      <c r="C22" s="7"/>
      <c r="K22" s="13"/>
      <c r="L22" s="12"/>
    </row>
    <row r="23" spans="1:12" ht="15.75" customHeight="1">
      <c r="A23" s="14" t="s">
        <v>32</v>
      </c>
      <c r="B23" s="3">
        <v>62.117052553167085</v>
      </c>
      <c r="C23" s="7"/>
      <c r="K23" s="13"/>
      <c r="L23" s="12"/>
    </row>
    <row r="24" spans="1:12" ht="15.75" customHeight="1">
      <c r="A24" s="14" t="s">
        <v>33</v>
      </c>
      <c r="B24" s="3">
        <v>60.940705320840706</v>
      </c>
      <c r="C24" s="7"/>
      <c r="K24" s="13"/>
      <c r="L24" s="12"/>
    </row>
    <row r="25" spans="1:12" ht="15.75" customHeight="1">
      <c r="A25" s="14" t="s">
        <v>34</v>
      </c>
      <c r="B25" s="3">
        <v>65.1991453721715</v>
      </c>
      <c r="C25" s="7"/>
      <c r="K25" s="13"/>
      <c r="L25" s="12"/>
    </row>
    <row r="26" spans="1:12" ht="15.75" customHeight="1">
      <c r="A26" s="14" t="s">
        <v>35</v>
      </c>
      <c r="B26" s="3">
        <v>66.509855313978278</v>
      </c>
      <c r="C26" s="7"/>
      <c r="K26" s="13"/>
      <c r="L26" s="12"/>
    </row>
    <row r="27" spans="1:12" ht="15.75" customHeight="1">
      <c r="A27" s="14" t="s">
        <v>36</v>
      </c>
      <c r="B27" s="3">
        <v>67.815277925189605</v>
      </c>
      <c r="C27" s="7"/>
      <c r="K27" s="13"/>
      <c r="L27" s="12"/>
    </row>
    <row r="28" spans="1:12" ht="15.75" customHeight="1">
      <c r="A28" s="14" t="s">
        <v>37</v>
      </c>
      <c r="B28" s="3">
        <v>65.083232564128735</v>
      </c>
      <c r="C28" s="7"/>
      <c r="K28" s="13"/>
      <c r="L28" s="12"/>
    </row>
    <row r="29" spans="1:12" ht="15.75" customHeight="1">
      <c r="A29" s="14" t="s">
        <v>38</v>
      </c>
      <c r="B29" s="3">
        <v>60.490508756322583</v>
      </c>
      <c r="C29" s="7"/>
      <c r="K29" s="13"/>
      <c r="L29" s="12"/>
    </row>
    <row r="30" spans="1:12" ht="15.75" customHeight="1">
      <c r="A30" s="14" t="s">
        <v>39</v>
      </c>
      <c r="B30" s="3">
        <v>60.914834916810698</v>
      </c>
      <c r="C30" s="7"/>
      <c r="K30" s="13"/>
      <c r="L30" s="12"/>
    </row>
    <row r="31" spans="1:12" ht="15.75" customHeight="1">
      <c r="A31" s="14" t="s">
        <v>40</v>
      </c>
      <c r="B31" s="3">
        <v>56.352430823738381</v>
      </c>
      <c r="C31" s="7"/>
      <c r="K31" s="13"/>
      <c r="L31" s="12"/>
    </row>
    <row r="32" spans="1:12" ht="15.75" customHeight="1">
      <c r="A32" s="14" t="s">
        <v>41</v>
      </c>
      <c r="B32" s="3">
        <v>55.710491018393064</v>
      </c>
      <c r="C32" s="7"/>
      <c r="K32" s="13"/>
      <c r="L32" s="12"/>
    </row>
    <row r="33" spans="1:12" ht="15.75" customHeight="1">
      <c r="A33" s="14" t="s">
        <v>42</v>
      </c>
      <c r="B33" s="3">
        <v>55.710491018393071</v>
      </c>
      <c r="C33" s="7"/>
      <c r="K33" s="13"/>
      <c r="L33" s="12"/>
    </row>
    <row r="34" spans="1:12" ht="15.75" customHeight="1">
      <c r="A34" s="14" t="s">
        <v>43</v>
      </c>
      <c r="B34" s="3">
        <v>37.089990885734203</v>
      </c>
      <c r="K34" s="13"/>
      <c r="L34" s="12"/>
    </row>
    <row r="35" spans="1:12" ht="15.75" customHeight="1">
      <c r="A35" s="14" t="s">
        <v>44</v>
      </c>
      <c r="B35" s="3">
        <v>26.89840171353832</v>
      </c>
      <c r="K35" s="13"/>
      <c r="L35" s="12"/>
    </row>
    <row r="36" spans="1:12" ht="15.75" customHeight="1">
      <c r="A36" s="14" t="s">
        <v>45</v>
      </c>
      <c r="B36" s="3">
        <v>24.211661215694988</v>
      </c>
      <c r="K36" s="13"/>
      <c r="L36" s="12"/>
    </row>
    <row r="37" spans="1:12" ht="15.75" customHeight="1">
      <c r="A37" s="14" t="s">
        <v>46</v>
      </c>
      <c r="B37" s="3">
        <v>40.441670708554341</v>
      </c>
      <c r="K37" s="13"/>
      <c r="L37" s="12"/>
    </row>
    <row r="38" spans="1:12" ht="15.75" customHeight="1">
      <c r="A38" s="14" t="s">
        <v>47</v>
      </c>
      <c r="B38" s="3">
        <v>48.013781235097703</v>
      </c>
      <c r="K38" s="13"/>
      <c r="L38" s="12"/>
    </row>
    <row r="39" spans="1:12" ht="15.75" customHeight="1">
      <c r="A39" s="14" t="s">
        <v>48</v>
      </c>
      <c r="B39" s="3">
        <v>51.858753786404471</v>
      </c>
      <c r="K39" s="13"/>
      <c r="L39" s="12"/>
    </row>
    <row r="40" spans="1:12" ht="15.75" customHeight="1">
      <c r="A40" s="14" t="s">
        <v>49</v>
      </c>
      <c r="B40" s="3">
        <v>49.872561125771639</v>
      </c>
      <c r="K40" s="13"/>
      <c r="L40" s="12"/>
    </row>
    <row r="41" spans="1:12" ht="15.75" customHeight="1">
      <c r="A41" s="14" t="s">
        <v>50</v>
      </c>
      <c r="B41" s="3">
        <v>46.324128603772024</v>
      </c>
      <c r="K41" s="13"/>
      <c r="L41" s="12"/>
    </row>
    <row r="42" spans="1:12" ht="15.75" customHeight="1">
      <c r="A42" s="14" t="s">
        <v>51</v>
      </c>
      <c r="B42" s="3">
        <v>43.264102339672121</v>
      </c>
      <c r="K42" s="13"/>
      <c r="L42" s="12"/>
    </row>
    <row r="43" spans="1:12" ht="15.75" customHeight="1">
      <c r="A43" s="14" t="s">
        <v>52</v>
      </c>
      <c r="B43" s="3">
        <v>42.757158137546377</v>
      </c>
      <c r="K43" s="13"/>
      <c r="L43" s="12"/>
    </row>
    <row r="44" spans="1:12" ht="15.75" customHeight="1">
      <c r="A44" s="14" t="s">
        <v>53</v>
      </c>
      <c r="B44" s="3">
        <v>42.757158137546377</v>
      </c>
      <c r="K44" s="13"/>
      <c r="L44" s="12"/>
    </row>
    <row r="45" spans="1:12" ht="15.75" customHeight="1">
      <c r="A45" s="14" t="s">
        <v>54</v>
      </c>
      <c r="B45" s="3">
        <v>43.143482493863502</v>
      </c>
      <c r="K45" s="13"/>
      <c r="L45" s="12"/>
    </row>
    <row r="46" spans="1:12" ht="15.75" customHeight="1">
      <c r="A46" s="14" t="s">
        <v>55</v>
      </c>
      <c r="B46" s="3">
        <v>45.896077869451005</v>
      </c>
      <c r="K46" s="13"/>
      <c r="L46" s="12"/>
    </row>
    <row r="47" spans="1:12" ht="15.75" customHeight="1">
      <c r="A47" s="14" t="s">
        <v>56</v>
      </c>
      <c r="B47" s="3">
        <v>45.556763984736847</v>
      </c>
      <c r="K47" s="13"/>
      <c r="L47" s="12"/>
    </row>
    <row r="48" spans="1:12" ht="15.75" customHeight="1">
      <c r="A48" s="14" t="s">
        <v>57</v>
      </c>
      <c r="B48" s="3">
        <v>47.23711220164877</v>
      </c>
      <c r="K48" s="13"/>
      <c r="L48" s="12"/>
    </row>
    <row r="49" spans="1:12" ht="15.75" customHeight="1">
      <c r="A49" s="14" t="s">
        <v>58</v>
      </c>
      <c r="B49" s="3">
        <v>46.088189132654264</v>
      </c>
      <c r="K49" s="13"/>
      <c r="L49" s="12"/>
    </row>
    <row r="50" spans="1:12" ht="15.75" customHeight="1">
      <c r="A50" s="14" t="s">
        <v>59</v>
      </c>
      <c r="B50" s="3">
        <v>46.088189132654257</v>
      </c>
      <c r="K50" s="13"/>
      <c r="L50" s="12"/>
    </row>
    <row r="51" spans="1:12" ht="15.75" customHeight="1">
      <c r="A51" s="14" t="s">
        <v>60</v>
      </c>
      <c r="B51" s="3">
        <v>45.658869375321679</v>
      </c>
      <c r="K51" s="13"/>
      <c r="L51" s="12"/>
    </row>
    <row r="52" spans="1:12" ht="15.75" customHeight="1">
      <c r="A52" s="14" t="s">
        <v>61</v>
      </c>
      <c r="B52" s="3">
        <v>48.743988734415815</v>
      </c>
      <c r="K52" s="13"/>
      <c r="L52" s="12"/>
    </row>
    <row r="53" spans="1:12" ht="15.75" customHeight="1">
      <c r="A53" s="14" t="s">
        <v>62</v>
      </c>
      <c r="B53" s="3">
        <v>51.697237002978476</v>
      </c>
      <c r="K53" s="13"/>
      <c r="L53" s="12"/>
    </row>
    <row r="54" spans="1:12" ht="15.75" customHeight="1">
      <c r="A54" s="14" t="s">
        <v>63</v>
      </c>
      <c r="B54" s="3">
        <v>43.584094294927034</v>
      </c>
      <c r="K54" s="13"/>
      <c r="L54" s="12"/>
    </row>
    <row r="55" spans="1:12" ht="15.75" customHeight="1">
      <c r="A55" s="14" t="s">
        <v>64</v>
      </c>
      <c r="B55" s="3">
        <v>40.188049580958136</v>
      </c>
      <c r="K55" s="13"/>
      <c r="L55" s="12"/>
    </row>
    <row r="56" spans="1:12" ht="15.75" customHeight="1">
      <c r="A56" s="14" t="s">
        <v>65</v>
      </c>
      <c r="B56" s="3">
        <v>40.740565822128858</v>
      </c>
      <c r="K56" s="13"/>
      <c r="L56" s="12"/>
    </row>
    <row r="57" spans="1:12" ht="15.75" customHeight="1">
      <c r="A57" s="14" t="s">
        <v>66</v>
      </c>
      <c r="B57" s="3">
        <v>41.896606878210704</v>
      </c>
      <c r="K57" s="13"/>
      <c r="L57" s="12"/>
    </row>
    <row r="58" spans="1:12" ht="15.75" customHeight="1">
      <c r="A58" s="14" t="s">
        <v>67</v>
      </c>
      <c r="B58" s="3">
        <v>40.207199966968211</v>
      </c>
      <c r="K58" s="13"/>
      <c r="L58" s="12"/>
    </row>
    <row r="59" spans="1:12" ht="15.75" customHeight="1">
      <c r="A59" s="14" t="s">
        <v>68</v>
      </c>
      <c r="B59" s="3">
        <v>37.367501618758169</v>
      </c>
      <c r="K59" s="13"/>
      <c r="L59" s="12"/>
    </row>
    <row r="60" spans="1:12" ht="15.75" customHeight="1">
      <c r="A60" s="14" t="s">
        <v>69</v>
      </c>
      <c r="B60" s="3">
        <v>41.794573165180054</v>
      </c>
      <c r="K60" s="13"/>
      <c r="L60" s="12"/>
    </row>
    <row r="61" spans="1:12" ht="15.75" customHeight="1">
      <c r="A61" s="14" t="s">
        <v>70</v>
      </c>
      <c r="B61" s="3">
        <v>41.794573165180054</v>
      </c>
      <c r="K61" s="13"/>
      <c r="L61" s="12"/>
    </row>
    <row r="62" spans="1:12" ht="15.75" customHeight="1">
      <c r="A62" s="14" t="s">
        <v>71</v>
      </c>
      <c r="B62" s="3">
        <v>47.344351149588583</v>
      </c>
      <c r="K62" s="13"/>
      <c r="L62" s="12"/>
    </row>
    <row r="63" spans="1:12" ht="15.75" customHeight="1">
      <c r="A63" s="14" t="s">
        <v>72</v>
      </c>
      <c r="B63" s="3">
        <v>50.717956403058977</v>
      </c>
      <c r="K63" s="13"/>
      <c r="L63" s="12"/>
    </row>
    <row r="64" spans="1:12" ht="15.75" customHeight="1">
      <c r="A64" s="14" t="s">
        <v>73</v>
      </c>
      <c r="B64" s="3">
        <v>50.141350931384224</v>
      </c>
      <c r="K64" s="13"/>
      <c r="L64" s="12"/>
    </row>
    <row r="65" spans="1:12" ht="15.75" customHeight="1">
      <c r="A65" s="14" t="s">
        <v>74</v>
      </c>
      <c r="B65" s="3">
        <v>41.503012098290313</v>
      </c>
      <c r="K65" s="13"/>
      <c r="L65" s="12"/>
    </row>
    <row r="66" spans="1:12" ht="15.75" customHeight="1">
      <c r="A66" s="14" t="s">
        <v>75</v>
      </c>
      <c r="B66" s="3">
        <v>35.333188113802635</v>
      </c>
      <c r="K66" s="13"/>
      <c r="L66" s="12"/>
    </row>
    <row r="67" spans="1:12" ht="15.75" customHeight="1">
      <c r="A67" s="14" t="s">
        <v>76</v>
      </c>
      <c r="B67" s="3">
        <v>34.303472729659575</v>
      </c>
      <c r="K67" s="13"/>
      <c r="L67" s="12"/>
    </row>
    <row r="68" spans="1:12" ht="15.75" customHeight="1">
      <c r="A68" s="14" t="s">
        <v>77</v>
      </c>
      <c r="B68" s="3">
        <v>32.598320960052689</v>
      </c>
      <c r="K68" s="13"/>
      <c r="L68" s="12"/>
    </row>
    <row r="69" spans="1:12" ht="15.75" customHeight="1">
      <c r="A69" s="14" t="s">
        <v>78</v>
      </c>
      <c r="B69" s="3">
        <v>27.57878390984726</v>
      </c>
      <c r="K69" s="13"/>
      <c r="L69" s="12"/>
    </row>
    <row r="70" spans="1:12" ht="15.75" customHeight="1">
      <c r="A70" s="14" t="s">
        <v>79</v>
      </c>
      <c r="B70" s="3">
        <v>22.347147711375015</v>
      </c>
      <c r="K70" s="13"/>
      <c r="L70" s="12"/>
    </row>
    <row r="71" spans="1:12" ht="15.75" customHeight="1">
      <c r="A71" s="14" t="s">
        <v>80</v>
      </c>
      <c r="B71" s="3">
        <v>21.973074430929785</v>
      </c>
      <c r="K71" s="13"/>
      <c r="L71" s="12"/>
    </row>
    <row r="72" spans="1:12" ht="15.75" customHeight="1">
      <c r="A72" s="14" t="s">
        <v>81</v>
      </c>
      <c r="B72" s="3">
        <v>20.66898756682626</v>
      </c>
      <c r="K72" s="13"/>
      <c r="L72" s="12"/>
    </row>
    <row r="73" spans="1:12" ht="15.75" customHeight="1">
      <c r="A73" s="14" t="s">
        <v>82</v>
      </c>
      <c r="B73" s="3">
        <v>20.298313428436657</v>
      </c>
      <c r="K73" s="13"/>
      <c r="L73" s="12"/>
    </row>
    <row r="74" spans="1:12" ht="15.75" customHeight="1">
      <c r="A74" s="14" t="s">
        <v>83</v>
      </c>
      <c r="B74" s="3">
        <v>19.726826565476344</v>
      </c>
      <c r="K74" s="13"/>
      <c r="L74" s="12"/>
    </row>
    <row r="75" spans="1:12" ht="15.75" customHeight="1">
      <c r="A75" s="14" t="s">
        <v>84</v>
      </c>
      <c r="B75" s="3">
        <v>16.273025457189263</v>
      </c>
      <c r="K75" s="13"/>
      <c r="L75" s="12"/>
    </row>
    <row r="76" spans="1:12" ht="15.75" customHeight="1">
      <c r="A76" s="14" t="s">
        <v>85</v>
      </c>
      <c r="B76" s="3">
        <v>14.118106843840295</v>
      </c>
      <c r="K76" s="13"/>
      <c r="L76" s="12"/>
    </row>
    <row r="77" spans="1:12" ht="15.75" customHeight="1">
      <c r="A77" s="14" t="s">
        <v>86</v>
      </c>
      <c r="B77" s="3">
        <v>11.834699464025263</v>
      </c>
      <c r="K77" s="13"/>
      <c r="L77" s="12"/>
    </row>
    <row r="78" spans="1:12" ht="15.75" customHeight="1">
      <c r="A78" s="14" t="s">
        <v>87</v>
      </c>
      <c r="B78" s="3">
        <v>11.834699464025263</v>
      </c>
      <c r="K78" s="13"/>
      <c r="L78" s="12"/>
    </row>
    <row r="79" spans="1:12" ht="15.75" customHeight="1">
      <c r="A79" s="14" t="s">
        <v>88</v>
      </c>
      <c r="B79" s="3">
        <v>10.104206033855817</v>
      </c>
      <c r="K79" s="13"/>
      <c r="L79" s="12"/>
    </row>
    <row r="80" spans="1:12" ht="15.75" customHeight="1">
      <c r="A80" s="14" t="s">
        <v>89</v>
      </c>
      <c r="B80" s="3">
        <v>17.525490785932462</v>
      </c>
      <c r="K80" s="13"/>
      <c r="L80" s="12"/>
    </row>
    <row r="81" spans="1:12" ht="15.75" customHeight="1">
      <c r="A81" s="14" t="s">
        <v>90</v>
      </c>
      <c r="B81" s="3">
        <v>28.169004871000325</v>
      </c>
      <c r="K81" s="13"/>
      <c r="L81" s="12"/>
    </row>
    <row r="82" spans="1:12" ht="15.75" customHeight="1">
      <c r="A82" s="14" t="s">
        <v>91</v>
      </c>
      <c r="B82" s="3">
        <v>36.546755370004639</v>
      </c>
      <c r="K82" s="13"/>
      <c r="L82" s="12"/>
    </row>
    <row r="83" spans="1:12" ht="15.75" customHeight="1">
      <c r="A83" s="14" t="s">
        <v>92</v>
      </c>
      <c r="B83" s="3">
        <v>39.353175751761135</v>
      </c>
      <c r="K83" s="13"/>
      <c r="L83" s="12"/>
    </row>
    <row r="84" spans="1:12" ht="15.75" customHeight="1">
      <c r="A84" s="14" t="s">
        <v>93</v>
      </c>
      <c r="B84" s="3">
        <v>38.058366819120359</v>
      </c>
      <c r="K84" s="13"/>
      <c r="L84" s="12"/>
    </row>
    <row r="85" spans="1:12" ht="15.75" customHeight="1">
      <c r="A85" s="14" t="s">
        <v>94</v>
      </c>
      <c r="B85" s="3">
        <v>37.790558605681468</v>
      </c>
      <c r="K85" s="13"/>
      <c r="L85" s="12"/>
    </row>
    <row r="86" spans="1:12" ht="15.75" customHeight="1">
      <c r="A86" s="14" t="s">
        <v>95</v>
      </c>
      <c r="B86" s="3">
        <v>37.790558605681468</v>
      </c>
      <c r="K86" s="13"/>
      <c r="L86" s="12"/>
    </row>
    <row r="87" spans="1:12" ht="15.75" customHeight="1">
      <c r="A87" s="14" t="s">
        <v>96</v>
      </c>
      <c r="B87" s="3">
        <v>35.748363118883802</v>
      </c>
      <c r="K87" s="13"/>
      <c r="L87" s="12"/>
    </row>
    <row r="88" spans="1:12" ht="15.75" customHeight="1">
      <c r="A88" s="14" t="s">
        <v>97</v>
      </c>
      <c r="B88" s="3">
        <v>38.801141087671965</v>
      </c>
      <c r="K88" s="13"/>
      <c r="L88" s="12"/>
    </row>
    <row r="89" spans="1:12" ht="15.75" customHeight="1">
      <c r="A89" s="14" t="s">
        <v>98</v>
      </c>
      <c r="B89" s="3">
        <v>43.163433738039764</v>
      </c>
      <c r="K89" s="13"/>
      <c r="L89" s="12"/>
    </row>
    <row r="90" spans="1:12" ht="15.75" customHeight="1">
      <c r="A90" s="14" t="s">
        <v>99</v>
      </c>
      <c r="B90" s="3">
        <v>43.644110312152158</v>
      </c>
      <c r="K90" s="13"/>
      <c r="L90" s="12"/>
    </row>
    <row r="91" spans="1:12" ht="15.75" customHeight="1">
      <c r="A91" s="14" t="s">
        <v>100</v>
      </c>
      <c r="B91" s="3">
        <v>47.021692516173239</v>
      </c>
      <c r="K91" s="13"/>
      <c r="L91" s="12"/>
    </row>
    <row r="92" spans="1:12" ht="15.75" customHeight="1">
      <c r="A92" s="14" t="s">
        <v>101</v>
      </c>
      <c r="B92" s="3">
        <v>50.233770208758457</v>
      </c>
      <c r="K92" s="13"/>
      <c r="L92" s="12"/>
    </row>
    <row r="93" spans="1:12" ht="15.75" customHeight="1">
      <c r="A93" s="14" t="s">
        <v>102</v>
      </c>
      <c r="B93" s="3">
        <v>48.866338461866178</v>
      </c>
      <c r="K93" s="13"/>
      <c r="L93" s="12"/>
    </row>
    <row r="94" spans="1:12" ht="15.75" customHeight="1">
      <c r="A94" s="14" t="s">
        <v>103</v>
      </c>
      <c r="B94" s="3">
        <v>52.140072464531201</v>
      </c>
      <c r="K94" s="13"/>
      <c r="L94" s="12"/>
    </row>
    <row r="95" spans="1:12" ht="15.75" customHeight="1">
      <c r="A95" s="14" t="s">
        <v>104</v>
      </c>
      <c r="B95" s="3">
        <v>50.16368292969053</v>
      </c>
      <c r="K95" s="13"/>
      <c r="L95" s="12"/>
    </row>
    <row r="96" spans="1:12" ht="15.75" customHeight="1">
      <c r="A96" s="14" t="s">
        <v>105</v>
      </c>
      <c r="B96" s="3">
        <v>49.656919367381334</v>
      </c>
      <c r="K96" s="13"/>
      <c r="L96" s="12"/>
    </row>
    <row r="97" spans="1:12" ht="15.75" customHeight="1">
      <c r="A97" s="14" t="s">
        <v>106</v>
      </c>
      <c r="B97" s="3">
        <v>48.599463812128825</v>
      </c>
      <c r="K97" s="13"/>
      <c r="L97" s="12"/>
    </row>
    <row r="98" spans="1:12" ht="15.75" customHeight="1">
      <c r="A98" s="14" t="s">
        <v>107</v>
      </c>
      <c r="B98" s="3">
        <v>55.267574993415813</v>
      </c>
      <c r="K98" s="13"/>
      <c r="L98" s="12"/>
    </row>
    <row r="99" spans="1:12" ht="15.75" customHeight="1">
      <c r="A99" s="14" t="s">
        <v>108</v>
      </c>
      <c r="B99" s="3">
        <v>60.750961827411466</v>
      </c>
      <c r="K99" s="13"/>
      <c r="L99" s="12"/>
    </row>
    <row r="100" spans="1:12" ht="15.75" customHeight="1">
      <c r="A100" s="14" t="s">
        <v>109</v>
      </c>
      <c r="B100" s="3">
        <v>57.262080881202557</v>
      </c>
      <c r="K100" s="13"/>
      <c r="L100" s="12"/>
    </row>
    <row r="101" spans="1:12" ht="15.75" customHeight="1">
      <c r="A101" s="14" t="s">
        <v>110</v>
      </c>
      <c r="B101" s="3">
        <v>61.966576708573264</v>
      </c>
      <c r="K101" s="13"/>
      <c r="L101" s="12"/>
    </row>
    <row r="102" spans="1:12" ht="15.75" customHeight="1">
      <c r="A102" s="14" t="s">
        <v>111</v>
      </c>
      <c r="B102" s="3">
        <v>67.435442381614479</v>
      </c>
      <c r="K102" s="13"/>
      <c r="L102" s="12"/>
    </row>
    <row r="103" spans="1:12" ht="15.75" customHeight="1">
      <c r="A103" s="14" t="s">
        <v>112</v>
      </c>
      <c r="B103" s="3">
        <v>68.018084753733291</v>
      </c>
      <c r="K103" s="13"/>
      <c r="L103" s="12"/>
    </row>
    <row r="104" spans="1:12" ht="15.75" customHeight="1">
      <c r="A104" s="14" t="s">
        <v>113</v>
      </c>
      <c r="B104" s="3">
        <v>70.306637552959032</v>
      </c>
      <c r="K104" s="13"/>
      <c r="L104" s="12"/>
    </row>
    <row r="105" spans="1:12" ht="15.75" customHeight="1">
      <c r="A105" s="14" t="s">
        <v>114</v>
      </c>
      <c r="B105" s="3">
        <v>71.140624677498863</v>
      </c>
      <c r="K105" s="13"/>
      <c r="L105" s="12"/>
    </row>
    <row r="106" spans="1:12" ht="15.75" customHeight="1">
      <c r="A106" s="14" t="s">
        <v>115</v>
      </c>
      <c r="B106" s="3">
        <v>74.931829847715747</v>
      </c>
      <c r="K106" s="12"/>
      <c r="L106" s="12"/>
    </row>
    <row r="107" spans="1:12" ht="15.75" customHeight="1">
      <c r="A107" s="14" t="s">
        <v>116</v>
      </c>
      <c r="B107" s="3">
        <v>82.516905572502651</v>
      </c>
    </row>
    <row r="108" spans="1:12" ht="15.75" customHeight="1">
      <c r="A108" s="14" t="s">
        <v>117</v>
      </c>
      <c r="B108" s="3">
        <v>85.147241757563037</v>
      </c>
    </row>
    <row r="109" spans="1:12" ht="15.75" customHeight="1">
      <c r="A109" s="14" t="s">
        <v>118</v>
      </c>
      <c r="B109" s="3">
        <v>84.598961431363094</v>
      </c>
    </row>
    <row r="110" spans="1:12" ht="15.75" customHeight="1">
      <c r="A110" s="14" t="s">
        <v>119</v>
      </c>
      <c r="B110" s="3">
        <v>86.391908919504729</v>
      </c>
    </row>
    <row r="111" spans="1:12" ht="15.75" customHeight="1">
      <c r="A111" s="14" t="s">
        <v>120</v>
      </c>
      <c r="B111" s="3">
        <v>87.154749406465172</v>
      </c>
    </row>
    <row r="112" spans="1:12" ht="15.75" customHeight="1">
      <c r="A112" s="14" t="s">
        <v>121</v>
      </c>
      <c r="B112" s="3">
        <v>87.962217191399958</v>
      </c>
    </row>
    <row r="113" spans="1:2" ht="15.75" customHeight="1">
      <c r="A113" s="14" t="s">
        <v>122</v>
      </c>
      <c r="B113" s="3">
        <v>81.353392653048303</v>
      </c>
    </row>
    <row r="114" spans="1:2" ht="15.75" customHeight="1">
      <c r="A114" s="14" t="s">
        <v>123</v>
      </c>
      <c r="B114" s="3">
        <v>63.734140165802785</v>
      </c>
    </row>
    <row r="115" spans="1:2" ht="15.75" customHeight="1">
      <c r="A115" s="14" t="s">
        <v>124</v>
      </c>
      <c r="B115" s="3">
        <v>64.142109360210767</v>
      </c>
    </row>
    <row r="116" spans="1:2" ht="15.75" customHeight="1">
      <c r="A116" s="14" t="s">
        <v>125</v>
      </c>
      <c r="B116" s="3">
        <v>68.358696905700512</v>
      </c>
    </row>
    <row r="117" spans="1:2" ht="15.75" customHeight="1">
      <c r="A117" s="14" t="s">
        <v>126</v>
      </c>
      <c r="B117" s="3">
        <v>71.329328251948823</v>
      </c>
    </row>
    <row r="118" spans="1:2" ht="15.75" customHeight="1">
      <c r="A118" s="14" t="s">
        <v>127</v>
      </c>
      <c r="B118" s="3">
        <v>70.93090737015261</v>
      </c>
    </row>
    <row r="119" spans="1:2" ht="15.75" customHeight="1">
      <c r="A119" s="14" t="s">
        <v>128</v>
      </c>
      <c r="B119" s="3">
        <v>73.336728503782098</v>
      </c>
    </row>
    <row r="120" spans="1:2" ht="15.75" customHeight="1">
      <c r="A120" s="14" t="s">
        <v>129</v>
      </c>
      <c r="B120" s="3">
        <v>77.140016614864052</v>
      </c>
    </row>
    <row r="121" spans="1:2" ht="15.75" customHeight="1">
      <c r="A121" s="14" t="s">
        <v>130</v>
      </c>
      <c r="B121" s="3">
        <v>79.701356934007308</v>
      </c>
    </row>
    <row r="122" spans="1:2" ht="15.75" customHeight="1">
      <c r="A122" s="14" t="s">
        <v>131</v>
      </c>
      <c r="B122" s="3">
        <v>82.850348922234915</v>
      </c>
    </row>
    <row r="123" spans="1:2" ht="15.75" customHeight="1">
      <c r="A123" s="14" t="s">
        <v>132</v>
      </c>
      <c r="B123" s="3">
        <v>82.066884767162918</v>
      </c>
    </row>
    <row r="124" spans="1:2" ht="15.75" customHeight="1">
      <c r="A124" s="14" t="s">
        <v>133</v>
      </c>
      <c r="B124" s="3">
        <v>82.684080720658685</v>
      </c>
    </row>
    <row r="125" spans="1:2" ht="15.75" customHeight="1">
      <c r="A125" s="14" t="s">
        <v>134</v>
      </c>
      <c r="B125" s="3">
        <v>81.817655668076753</v>
      </c>
    </row>
    <row r="126" spans="1:2" ht="15.75" customHeight="1">
      <c r="A126" s="14" t="s">
        <v>135</v>
      </c>
      <c r="B126" s="3">
        <v>84.298319694745203</v>
      </c>
    </row>
    <row r="127" spans="1:2" ht="15.75" customHeight="1">
      <c r="A127" s="14" t="s">
        <v>136</v>
      </c>
      <c r="B127" s="3">
        <v>84.930908888093995</v>
      </c>
    </row>
    <row r="128" spans="1:2" ht="15.75" customHeight="1">
      <c r="A128" s="14" t="s">
        <v>137</v>
      </c>
      <c r="B128" s="3">
        <v>75.511738765653789</v>
      </c>
    </row>
    <row r="129" spans="1:2" ht="15.75" customHeight="1">
      <c r="A129" s="14" t="s">
        <v>138</v>
      </c>
      <c r="B129" s="3">
        <v>70.054988926125787</v>
      </c>
    </row>
    <row r="130" spans="1:2" ht="15.75" customHeight="1">
      <c r="A130" s="14" t="s">
        <v>139</v>
      </c>
      <c r="B130" s="3">
        <v>70.812144612316104</v>
      </c>
    </row>
    <row r="131" spans="1:2" ht="15.75" customHeight="1">
      <c r="A131" s="14" t="s">
        <v>140</v>
      </c>
      <c r="B131" s="3">
        <v>67.154907290071264</v>
      </c>
    </row>
    <row r="132" spans="1:2" ht="15.75" customHeight="1">
      <c r="A132" s="14" t="s">
        <v>141</v>
      </c>
      <c r="B132" s="3">
        <v>67.869739827718263</v>
      </c>
    </row>
    <row r="133" spans="1:2" ht="15.75" customHeight="1">
      <c r="A133" s="14" t="s">
        <v>142</v>
      </c>
      <c r="B133" s="3">
        <v>61.394437607250957</v>
      </c>
    </row>
    <row r="134" spans="1:2" ht="15.75" customHeight="1">
      <c r="A134" s="14" t="s">
        <v>143</v>
      </c>
      <c r="B134" s="3">
        <v>58.394511378579409</v>
      </c>
    </row>
    <row r="135" spans="1:2" ht="15.75" customHeight="1">
      <c r="A135" s="14" t="s">
        <v>144</v>
      </c>
      <c r="B135" s="3">
        <v>54.269519902258608</v>
      </c>
    </row>
    <row r="136" spans="1:2" ht="15.75" customHeight="1">
      <c r="A136" s="14" t="s">
        <v>145</v>
      </c>
      <c r="B136" s="3">
        <v>53.953791011987661</v>
      </c>
    </row>
    <row r="137" spans="1:2" ht="15.75" customHeight="1">
      <c r="A137" s="14" t="s">
        <v>146</v>
      </c>
      <c r="B137" s="3">
        <v>53.953791011987661</v>
      </c>
    </row>
    <row r="138" spans="1:2" ht="15.75" customHeight="1">
      <c r="A138" s="14" t="s">
        <v>147</v>
      </c>
      <c r="B138" s="3">
        <v>51.520437041011419</v>
      </c>
    </row>
    <row r="139" spans="1:2" ht="15.75" customHeight="1">
      <c r="A139" s="14" t="s">
        <v>148</v>
      </c>
      <c r="B139" s="3">
        <v>50.469870863125898</v>
      </c>
    </row>
    <row r="140" spans="1:2" ht="15.75" customHeight="1">
      <c r="A140" s="14" t="s">
        <v>149</v>
      </c>
      <c r="B140" s="3">
        <v>59.869870637885342</v>
      </c>
    </row>
    <row r="141" spans="1:2" ht="15.75" customHeight="1">
      <c r="A141" s="14" t="s">
        <v>150</v>
      </c>
      <c r="B141" s="3">
        <v>64.007722355217425</v>
      </c>
    </row>
    <row r="142" spans="1:2" ht="15.75" customHeight="1">
      <c r="A142" s="14" t="s">
        <v>151</v>
      </c>
      <c r="B142" s="3">
        <v>65.292394891467723</v>
      </c>
    </row>
    <row r="143" spans="1:2" ht="15.75" customHeight="1">
      <c r="A143" s="14" t="s">
        <v>152</v>
      </c>
      <c r="B143" s="3">
        <v>58.879826825913327</v>
      </c>
    </row>
    <row r="144" spans="1:2" ht="15.75" customHeight="1">
      <c r="A144" s="14" t="s">
        <v>153</v>
      </c>
      <c r="B144" s="3">
        <v>50.6814556099553</v>
      </c>
    </row>
    <row r="145" spans="1:2" ht="15.75" customHeight="1">
      <c r="A145" s="14" t="s">
        <v>154</v>
      </c>
      <c r="B145" s="3">
        <v>51.520247151169492</v>
      </c>
    </row>
    <row r="146" spans="1:2" ht="15.75" customHeight="1">
      <c r="A146" s="14" t="s">
        <v>155</v>
      </c>
      <c r="B146" s="3">
        <v>50.593579752137231</v>
      </c>
    </row>
    <row r="147" spans="1:2" ht="15.75" customHeight="1">
      <c r="A147" s="14" t="s">
        <v>156</v>
      </c>
      <c r="B147" s="3">
        <v>46.675762710688836</v>
      </c>
    </row>
    <row r="148" spans="1:2" ht="15.75" customHeight="1">
      <c r="A148" s="14" t="s">
        <v>157</v>
      </c>
      <c r="B148" s="3">
        <v>48.967349136906819</v>
      </c>
    </row>
    <row r="149" spans="1:2" ht="15.75" customHeight="1">
      <c r="A149" s="14" t="s">
        <v>158</v>
      </c>
      <c r="B149" s="3">
        <v>52.718549562291642</v>
      </c>
    </row>
    <row r="150" spans="1:2" ht="15.75" customHeight="1">
      <c r="A150" s="14" t="s">
        <v>159</v>
      </c>
      <c r="B150" s="3">
        <v>49.456088457503462</v>
      </c>
    </row>
    <row r="151" spans="1:2" ht="15.75" customHeight="1">
      <c r="A151" s="14" t="s">
        <v>160</v>
      </c>
      <c r="B151" s="3">
        <v>51.086020779650362</v>
      </c>
    </row>
    <row r="152" spans="1:2" ht="15.75" customHeight="1">
      <c r="A152" s="14" t="s">
        <v>161</v>
      </c>
      <c r="B152" s="3">
        <v>48.080453413638068</v>
      </c>
    </row>
    <row r="153" spans="1:2" ht="15.75" customHeight="1">
      <c r="A153" s="14" t="s">
        <v>162</v>
      </c>
      <c r="B153" s="3">
        <v>40.641531818519411</v>
      </c>
    </row>
    <row r="154" spans="1:2" ht="15.75" customHeight="1">
      <c r="A154" s="14" t="s">
        <v>163</v>
      </c>
      <c r="B154" s="3">
        <v>42.839395855767634</v>
      </c>
    </row>
    <row r="155" spans="1:2" ht="15.75" customHeight="1">
      <c r="A155" s="14" t="s">
        <v>164</v>
      </c>
      <c r="B155" s="3">
        <v>38.955955079593764</v>
      </c>
    </row>
    <row r="156" spans="1:2" ht="15.75" customHeight="1">
      <c r="A156" s="14" t="s">
        <v>165</v>
      </c>
      <c r="B156" s="3">
        <v>41.976998392583354</v>
      </c>
    </row>
    <row r="157" spans="1:2" ht="15.75" customHeight="1">
      <c r="A157" s="14" t="s">
        <v>166</v>
      </c>
      <c r="B157" s="3">
        <v>38.869581941357623</v>
      </c>
    </row>
    <row r="158" spans="1:2" ht="15.75" customHeight="1">
      <c r="A158" s="14" t="s">
        <v>167</v>
      </c>
      <c r="B158" s="3">
        <v>35.134926428355072</v>
      </c>
    </row>
    <row r="159" spans="1:2" ht="15.75" customHeight="1">
      <c r="A159" s="14" t="s">
        <v>168</v>
      </c>
      <c r="B159" s="3">
        <v>40.520144788954376</v>
      </c>
    </row>
    <row r="160" spans="1:2" ht="15.75" customHeight="1">
      <c r="A160" s="14" t="s">
        <v>169</v>
      </c>
      <c r="B160" s="3">
        <v>40.009124556927901</v>
      </c>
    </row>
    <row r="161" spans="1:2" ht="15.75" customHeight="1">
      <c r="A161" s="14" t="s">
        <v>170</v>
      </c>
      <c r="B161" s="3">
        <v>34.40226061780416</v>
      </c>
    </row>
    <row r="162" spans="1:2" ht="15.75" customHeight="1">
      <c r="A162" s="14" t="s">
        <v>171</v>
      </c>
      <c r="B162" s="3">
        <v>27.350681033066664</v>
      </c>
    </row>
    <row r="163" spans="1:2" ht="15.75" customHeight="1">
      <c r="A163" s="14" t="s">
        <v>172</v>
      </c>
      <c r="B163" s="3">
        <v>24.812490522949687</v>
      </c>
    </row>
    <row r="164" spans="1:2" ht="15.75" customHeight="1">
      <c r="A164" s="14" t="s">
        <v>173</v>
      </c>
      <c r="B164" s="3">
        <v>24.812490522949687</v>
      </c>
    </row>
    <row r="165" spans="1:2" ht="15.75" customHeight="1">
      <c r="A165" s="14" t="s">
        <v>174</v>
      </c>
      <c r="B165" s="3">
        <v>35.105405624233882</v>
      </c>
    </row>
    <row r="166" spans="1:2" ht="15.75" customHeight="1">
      <c r="A166" s="14" t="s">
        <v>175</v>
      </c>
      <c r="B166" s="3">
        <v>32.535769193378016</v>
      </c>
    </row>
    <row r="167" spans="1:2" ht="15.75" customHeight="1">
      <c r="A167" s="14" t="s">
        <v>176</v>
      </c>
      <c r="B167" s="3">
        <v>30.158430266100282</v>
      </c>
    </row>
    <row r="168" spans="1:2" ht="15.75" customHeight="1">
      <c r="A168" s="14" t="s">
        <v>177</v>
      </c>
      <c r="B168" s="3">
        <v>28.798741628250028</v>
      </c>
    </row>
    <row r="169" spans="1:2" ht="15.75" customHeight="1">
      <c r="A169" s="14" t="s">
        <v>178</v>
      </c>
      <c r="B169" s="3">
        <v>28.644212697578538</v>
      </c>
    </row>
    <row r="170" spans="1:2" ht="15.75" customHeight="1">
      <c r="A170" s="14" t="s">
        <v>179</v>
      </c>
      <c r="B170" s="3">
        <v>27.079408014623326</v>
      </c>
    </row>
    <row r="171" spans="1:2" ht="15.75" customHeight="1">
      <c r="A171" s="14" t="s">
        <v>180</v>
      </c>
      <c r="B171" s="3">
        <v>32.26018933665452</v>
      </c>
    </row>
    <row r="172" spans="1:2" ht="15.75" customHeight="1">
      <c r="A172" s="14" t="s">
        <v>181</v>
      </c>
      <c r="B172" s="3">
        <v>32.65654203534551</v>
      </c>
    </row>
    <row r="173" spans="1:2" ht="15.75" customHeight="1">
      <c r="A173" s="14" t="s">
        <v>182</v>
      </c>
      <c r="B173" s="3">
        <v>32.452055491627632</v>
      </c>
    </row>
    <row r="174" spans="1:2" ht="15.75" customHeight="1">
      <c r="A174" s="14" t="s">
        <v>183</v>
      </c>
      <c r="B174" s="3">
        <v>31.393558159178824</v>
      </c>
    </row>
    <row r="175" spans="1:2" ht="15.75" customHeight="1">
      <c r="A175" s="14" t="s">
        <v>184</v>
      </c>
      <c r="B175" s="3">
        <v>30.958574257494149</v>
      </c>
    </row>
    <row r="176" spans="1:2" ht="15.75" customHeight="1">
      <c r="A176" s="14" t="s">
        <v>185</v>
      </c>
      <c r="B176" s="3">
        <v>38.321359085099573</v>
      </c>
    </row>
    <row r="177" spans="1:2" ht="15.75" customHeight="1">
      <c r="A177" s="14" t="s">
        <v>186</v>
      </c>
      <c r="B177" s="3">
        <v>47.705473640690826</v>
      </c>
    </row>
    <row r="178" spans="1:2" ht="15.75" customHeight="1">
      <c r="A178" s="14" t="s">
        <v>187</v>
      </c>
      <c r="B178" s="3">
        <v>45.900496070154261</v>
      </c>
    </row>
    <row r="179" spans="1:2" ht="15.75" customHeight="1">
      <c r="A179" s="14" t="s">
        <v>188</v>
      </c>
      <c r="B179" s="3">
        <v>54.28307752010538</v>
      </c>
    </row>
    <row r="180" spans="1:2" ht="15.75" customHeight="1">
      <c r="A180" s="14" t="s">
        <v>189</v>
      </c>
      <c r="B180" s="3">
        <v>61.831562254460948</v>
      </c>
    </row>
    <row r="181" spans="1:2" ht="15.75" customHeight="1">
      <c r="A181" s="14" t="s">
        <v>190</v>
      </c>
      <c r="B181" s="3">
        <v>60.487125319627637</v>
      </c>
    </row>
    <row r="182" spans="1:2" ht="15.75" customHeight="1">
      <c r="A182" s="14" t="s">
        <v>191</v>
      </c>
      <c r="B182" s="3">
        <v>60.487125319627637</v>
      </c>
    </row>
    <row r="183" spans="1:2" ht="15.75" customHeight="1">
      <c r="A183" s="14" t="s">
        <v>192</v>
      </c>
      <c r="B183" s="3">
        <v>62.830421715498836</v>
      </c>
    </row>
    <row r="184" spans="1:2" ht="15.75" customHeight="1">
      <c r="A184" s="14" t="s">
        <v>193</v>
      </c>
      <c r="B184" s="3">
        <v>58.706129625817162</v>
      </c>
    </row>
    <row r="185" spans="1:2" ht="15.75" customHeight="1">
      <c r="A185" s="14" t="s">
        <v>194</v>
      </c>
      <c r="B185" s="3">
        <v>56.178911103523724</v>
      </c>
    </row>
    <row r="186" spans="1:2" ht="15.75" customHeight="1">
      <c r="A186" s="14" t="s">
        <v>195</v>
      </c>
      <c r="B186" s="3">
        <v>52.689364893619803</v>
      </c>
    </row>
    <row r="187" spans="1:2" ht="15.75" customHeight="1">
      <c r="A187" s="14" t="s">
        <v>196</v>
      </c>
      <c r="B187" s="3">
        <v>58.997720386072785</v>
      </c>
    </row>
    <row r="188" spans="1:2" ht="15.75" customHeight="1">
      <c r="A188" s="14" t="s">
        <v>197</v>
      </c>
      <c r="B188" s="3">
        <v>60.948216494722345</v>
      </c>
    </row>
    <row r="189" spans="1:2" ht="15.75" customHeight="1">
      <c r="A189" s="14" t="s">
        <v>198</v>
      </c>
      <c r="B189" s="3">
        <v>61.923539227013734</v>
      </c>
    </row>
    <row r="190" spans="1:2" ht="15.75" customHeight="1">
      <c r="A190" s="14" t="s">
        <v>199</v>
      </c>
      <c r="B190" s="3">
        <v>65.199548206707362</v>
      </c>
    </row>
    <row r="191" spans="1:2" ht="15.75" customHeight="1">
      <c r="A191" s="14" t="s">
        <v>200</v>
      </c>
      <c r="B191" s="3">
        <v>68.15058517830748</v>
      </c>
    </row>
    <row r="192" spans="1:2" ht="15.75" customHeight="1">
      <c r="A192" s="14" t="s">
        <v>201</v>
      </c>
      <c r="B192" s="3">
        <v>70.815743906789066</v>
      </c>
    </row>
    <row r="193" spans="1:2" ht="15.75" customHeight="1">
      <c r="A193" s="14" t="s">
        <v>202</v>
      </c>
      <c r="B193" s="3">
        <v>64.580271060967377</v>
      </c>
    </row>
    <row r="194" spans="1:2" ht="15.75" customHeight="1">
      <c r="A194" s="14" t="s">
        <v>203</v>
      </c>
      <c r="B194" s="3">
        <v>62.220249380033877</v>
      </c>
    </row>
    <row r="195" spans="1:2" ht="15.75" customHeight="1">
      <c r="A195" s="14" t="s">
        <v>204</v>
      </c>
      <c r="B195" s="3">
        <v>60.629529347123061</v>
      </c>
    </row>
    <row r="196" spans="1:2" ht="15.75" customHeight="1">
      <c r="A196" s="14" t="s">
        <v>205</v>
      </c>
      <c r="B196" s="3">
        <v>63.863090341038863</v>
      </c>
    </row>
    <row r="197" spans="1:2" ht="15.75" customHeight="1">
      <c r="A197" s="14" t="s">
        <v>206</v>
      </c>
      <c r="B197" s="3">
        <v>66.799643588179535</v>
      </c>
    </row>
    <row r="198" spans="1:2" ht="15.75" customHeight="1">
      <c r="A198" s="14" t="s">
        <v>207</v>
      </c>
      <c r="B198" s="3">
        <v>68.893646604067499</v>
      </c>
    </row>
    <row r="199" spans="1:2" ht="15.75" customHeight="1">
      <c r="A199" s="14" t="s">
        <v>208</v>
      </c>
      <c r="B199" s="3">
        <v>61.762004441232406</v>
      </c>
    </row>
    <row r="200" spans="1:2" ht="15.75" customHeight="1">
      <c r="A200" s="14" t="s">
        <v>209</v>
      </c>
      <c r="B200" s="3">
        <v>56.568627882874338</v>
      </c>
    </row>
    <row r="201" spans="1:2" ht="15.75" customHeight="1">
      <c r="A201" s="14" t="s">
        <v>210</v>
      </c>
      <c r="B201" s="3">
        <v>51.871405416086304</v>
      </c>
    </row>
    <row r="202" spans="1:2" ht="15.75" customHeight="1">
      <c r="A202" s="14" t="s">
        <v>211</v>
      </c>
      <c r="B202" s="3">
        <v>49.651411561694935</v>
      </c>
    </row>
    <row r="203" spans="1:2" ht="15.75" customHeight="1">
      <c r="A203" s="14" t="s">
        <v>212</v>
      </c>
      <c r="B203" s="3">
        <v>44.390370672800607</v>
      </c>
    </row>
    <row r="204" spans="1:2" ht="15.75" customHeight="1">
      <c r="A204" s="14" t="s">
        <v>213</v>
      </c>
      <c r="B204" s="3">
        <v>47.705555956840627</v>
      </c>
    </row>
    <row r="205" spans="1:2" ht="15.75" customHeight="1">
      <c r="A205" s="14" t="s">
        <v>214</v>
      </c>
      <c r="B205" s="3">
        <v>46.804093627010928</v>
      </c>
    </row>
    <row r="206" spans="1:2" ht="15.75" customHeight="1">
      <c r="A206" s="14" t="s">
        <v>215</v>
      </c>
      <c r="B206" s="3">
        <v>48.209343195084358</v>
      </c>
    </row>
    <row r="207" spans="1:2" ht="15.75" customHeight="1">
      <c r="A207" s="14" t="s">
        <v>216</v>
      </c>
      <c r="B207" s="3">
        <v>47.202217682561027</v>
      </c>
    </row>
    <row r="208" spans="1:2" ht="15.75" customHeight="1">
      <c r="A208" s="14" t="s">
        <v>217</v>
      </c>
      <c r="B208" s="3">
        <v>41.045966963713148</v>
      </c>
    </row>
    <row r="209" spans="1:2" ht="15.75" customHeight="1">
      <c r="A209" s="14" t="s">
        <v>218</v>
      </c>
      <c r="B209" s="3">
        <v>41.862539252903474</v>
      </c>
    </row>
    <row r="210" spans="1:2" ht="15.75" customHeight="1">
      <c r="A210" s="14" t="s">
        <v>219</v>
      </c>
      <c r="B210" s="3">
        <v>44.747158283055349</v>
      </c>
    </row>
    <row r="211" spans="1:2" ht="15.75" customHeight="1">
      <c r="A211" s="14" t="s">
        <v>220</v>
      </c>
      <c r="B211" s="3">
        <v>39.876815787198133</v>
      </c>
    </row>
    <row r="212" spans="1:2" ht="15.75" customHeight="1">
      <c r="A212" s="14" t="s">
        <v>221</v>
      </c>
      <c r="B212" s="3">
        <v>45.104824182124915</v>
      </c>
    </row>
    <row r="213" spans="1:2" ht="15.75" customHeight="1">
      <c r="A213" s="14" t="s">
        <v>222</v>
      </c>
      <c r="B213" s="3">
        <v>49.135200996511195</v>
      </c>
    </row>
    <row r="214" spans="1:2" ht="15.75" customHeight="1">
      <c r="A214" s="14" t="s">
        <v>223</v>
      </c>
      <c r="B214" s="3">
        <v>53.481984415770555</v>
      </c>
    </row>
    <row r="215" spans="1:2" ht="15.75" customHeight="1">
      <c r="A215" s="14" t="s">
        <v>224</v>
      </c>
      <c r="B215" s="3">
        <v>52.369756454215405</v>
      </c>
    </row>
    <row r="216" spans="1:2" ht="15.75" customHeight="1">
      <c r="A216" s="14" t="s">
        <v>225</v>
      </c>
      <c r="B216" s="3">
        <v>48.395571857395623</v>
      </c>
    </row>
    <row r="217" spans="1:2" ht="15.75" customHeight="1">
      <c r="A217" s="14" t="s">
        <v>226</v>
      </c>
      <c r="B217" s="3">
        <v>45.048680934037925</v>
      </c>
    </row>
    <row r="218" spans="1:2" ht="15.75" customHeight="1">
      <c r="A218" s="14" t="s">
        <v>227</v>
      </c>
      <c r="B218" s="3">
        <v>48.857599805320945</v>
      </c>
    </row>
    <row r="219" spans="1:2" ht="15.75" customHeight="1">
      <c r="A219" s="14" t="s">
        <v>228</v>
      </c>
      <c r="B219" s="3">
        <v>51.049963271792308</v>
      </c>
    </row>
    <row r="220" spans="1:2" ht="15.75" customHeight="1">
      <c r="A220" s="14" t="s">
        <v>229</v>
      </c>
      <c r="B220" s="3">
        <v>47.066426807181905</v>
      </c>
    </row>
    <row r="221" spans="1:2" ht="15.75" customHeight="1">
      <c r="A221" s="14" t="s">
        <v>230</v>
      </c>
      <c r="B221" s="3">
        <v>46.709588555397268</v>
      </c>
    </row>
    <row r="222" spans="1:2" ht="15.75" customHeight="1">
      <c r="A222" s="14" t="s">
        <v>231</v>
      </c>
      <c r="B222" s="3">
        <v>52.176186089353287</v>
      </c>
    </row>
    <row r="223" spans="1:2" ht="15.75" customHeight="1">
      <c r="A223" s="14" t="s">
        <v>232</v>
      </c>
      <c r="B223" s="3">
        <v>55.347320906199194</v>
      </c>
    </row>
    <row r="224" spans="1:2" ht="15.75" customHeight="1">
      <c r="A224" s="14" t="s">
        <v>233</v>
      </c>
      <c r="B224" s="3">
        <v>50.904474347731473</v>
      </c>
    </row>
    <row r="225" spans="1:2" ht="15.75" customHeight="1">
      <c r="A225" s="14" t="s">
        <v>234</v>
      </c>
      <c r="B225" s="3">
        <v>53.464471037786801</v>
      </c>
    </row>
    <row r="226" spans="1:2" ht="15.75" customHeight="1">
      <c r="A226" s="14" t="s">
        <v>235</v>
      </c>
      <c r="B226" s="3">
        <v>57.859183188087918</v>
      </c>
    </row>
    <row r="227" spans="1:2" ht="15.75" customHeight="1">
      <c r="A227" s="14" t="s">
        <v>236</v>
      </c>
      <c r="B227" s="3">
        <v>53.661139073973736</v>
      </c>
    </row>
    <row r="228" spans="1:2" ht="15.75" customHeight="1">
      <c r="A228" s="14" t="s">
        <v>237</v>
      </c>
      <c r="B228" s="3">
        <v>51.643492957379088</v>
      </c>
    </row>
    <row r="229" spans="1:2" ht="15.75" customHeight="1">
      <c r="A229" s="14" t="s">
        <v>238</v>
      </c>
      <c r="B229" s="3">
        <v>50.41856231217303</v>
      </c>
    </row>
    <row r="230" spans="1:2" ht="15.75" customHeight="1">
      <c r="A230" s="14" t="s">
        <v>239</v>
      </c>
      <c r="B230" s="3">
        <v>52.828417872937372</v>
      </c>
    </row>
    <row r="231" spans="1:2" ht="15.75" customHeight="1">
      <c r="A231" s="14" t="s">
        <v>240</v>
      </c>
      <c r="B231" s="3">
        <v>50.200771185706266</v>
      </c>
    </row>
    <row r="232" spans="1:2" ht="15.75" customHeight="1">
      <c r="A232" s="14" t="s">
        <v>241</v>
      </c>
      <c r="B232" s="3">
        <v>48.469899364723254</v>
      </c>
    </row>
    <row r="233" spans="1:2" ht="15.75" customHeight="1">
      <c r="A233" s="14" t="s">
        <v>242</v>
      </c>
      <c r="B233" s="3">
        <v>53.244176313539285</v>
      </c>
    </row>
    <row r="234" spans="1:2" ht="15.75" customHeight="1">
      <c r="A234" s="14" t="s">
        <v>243</v>
      </c>
      <c r="B234" s="3">
        <v>61.314864586823667</v>
      </c>
    </row>
    <row r="235" spans="1:2" ht="15.75" customHeight="1">
      <c r="A235" s="14" t="s">
        <v>244</v>
      </c>
      <c r="B235" s="3">
        <v>59.394695987535229</v>
      </c>
    </row>
    <row r="236" spans="1:2" ht="15.75" customHeight="1">
      <c r="A236" s="14" t="s">
        <v>245</v>
      </c>
      <c r="B236" s="3">
        <v>57.456932754306791</v>
      </c>
    </row>
    <row r="237" spans="1:2" ht="15.75" customHeight="1">
      <c r="A237" s="14" t="s">
        <v>246</v>
      </c>
      <c r="B237" s="3">
        <v>51.568428551475925</v>
      </c>
    </row>
    <row r="238" spans="1:2" ht="15.75" customHeight="1">
      <c r="A238" s="14" t="s">
        <v>247</v>
      </c>
      <c r="B238" s="3">
        <v>47.907823829713649</v>
      </c>
    </row>
    <row r="239" spans="1:2" ht="15.75" customHeight="1">
      <c r="A239" s="14" t="s">
        <v>248</v>
      </c>
      <c r="B239" s="3">
        <v>39.79532868402115</v>
      </c>
    </row>
    <row r="240" spans="1:2" ht="15.75" customHeight="1">
      <c r="A240" s="14" t="s">
        <v>249</v>
      </c>
      <c r="B240" s="3">
        <v>31.062427213630059</v>
      </c>
    </row>
    <row r="241" spans="1:2" ht="15.75" customHeight="1">
      <c r="A241" s="14" t="s">
        <v>250</v>
      </c>
      <c r="B241" s="3">
        <v>29.023279911933955</v>
      </c>
    </row>
    <row r="242" spans="1:2" ht="15.75" customHeight="1">
      <c r="A242" s="14" t="s">
        <v>251</v>
      </c>
      <c r="B242" s="3">
        <v>38.508199626150557</v>
      </c>
    </row>
    <row r="243" spans="1:2" ht="15.75" customHeight="1">
      <c r="A243" s="14" t="s">
        <v>252</v>
      </c>
      <c r="B243" s="3">
        <v>40.643745538955365</v>
      </c>
    </row>
    <row r="244" spans="1:2" ht="15.75" customHeight="1">
      <c r="A244" s="14" t="s">
        <v>253</v>
      </c>
      <c r="B244" s="3">
        <v>38.484728481280499</v>
      </c>
    </row>
    <row r="245" spans="1:2" ht="15.75" customHeight="1">
      <c r="A245" s="14" t="s">
        <v>254</v>
      </c>
      <c r="B245" s="3">
        <v>44.16336111971885</v>
      </c>
    </row>
    <row r="246" spans="1:2" ht="15.75" customHeight="1">
      <c r="A246" s="14" t="s">
        <v>255</v>
      </c>
      <c r="B246" s="3">
        <v>43.621292761100982</v>
      </c>
    </row>
    <row r="247" spans="1:2" ht="15.75" customHeight="1">
      <c r="A247" s="14" t="s">
        <v>256</v>
      </c>
      <c r="B247" s="3">
        <v>40.917019244734732</v>
      </c>
    </row>
    <row r="248" spans="1:2" ht="15.75" customHeight="1">
      <c r="A248" s="14" t="s">
        <v>257</v>
      </c>
      <c r="B248" s="3">
        <v>38.842425361512419</v>
      </c>
    </row>
    <row r="249" spans="1:2" ht="15.75" customHeight="1">
      <c r="A249" s="14" t="s">
        <v>258</v>
      </c>
      <c r="B249" s="3">
        <v>44.863612080908567</v>
      </c>
    </row>
    <row r="250" spans="1:2" ht="15.75" customHeight="1">
      <c r="A250" s="14" t="s">
        <v>259</v>
      </c>
      <c r="B250" s="3">
        <v>56.416249282498875</v>
      </c>
    </row>
    <row r="251" spans="1:2" ht="15.75" customHeight="1">
      <c r="A251" s="14" t="s">
        <v>260</v>
      </c>
      <c r="B251" s="3">
        <v>56.416249282498875</v>
      </c>
    </row>
    <row r="252" spans="1:2" ht="15.75" customHeight="1">
      <c r="A252" s="14" t="s">
        <v>261</v>
      </c>
      <c r="B252" s="3">
        <v>53.801462577620669</v>
      </c>
    </row>
    <row r="253" spans="1:2" ht="15.75" customHeight="1">
      <c r="A253" s="14" t="s">
        <v>262</v>
      </c>
      <c r="B253" s="3">
        <v>57.994712073638944</v>
      </c>
    </row>
    <row r="254" spans="1:2" ht="15.75" customHeight="1">
      <c r="A254" s="14" t="s">
        <v>263</v>
      </c>
      <c r="B254" s="3">
        <v>60.413166678938545</v>
      </c>
    </row>
    <row r="255" spans="1:2" ht="15.75" customHeight="1">
      <c r="A255" s="14" t="s">
        <v>264</v>
      </c>
      <c r="B255" s="3">
        <v>60.657107758146125</v>
      </c>
    </row>
    <row r="256" spans="1:2" ht="15.75" customHeight="1">
      <c r="A256" s="14" t="s">
        <v>265</v>
      </c>
      <c r="B256" s="3">
        <v>62.163643437617971</v>
      </c>
    </row>
    <row r="257" spans="1:2" ht="15.75" customHeight="1">
      <c r="A257" s="14" t="s">
        <v>266</v>
      </c>
      <c r="B257" s="3">
        <v>61.739308945145126</v>
      </c>
    </row>
    <row r="258" spans="1:2" ht="15.75" customHeight="1">
      <c r="A258" s="14" t="s">
        <v>267</v>
      </c>
      <c r="B258" s="3">
        <v>61.739308945145126</v>
      </c>
    </row>
    <row r="259" spans="1:2" ht="15.75" customHeight="1">
      <c r="A259" s="14" t="s">
        <v>268</v>
      </c>
      <c r="B259" s="3">
        <v>60.307020886031552</v>
      </c>
    </row>
    <row r="260" spans="1:2" ht="15.75" customHeight="1">
      <c r="A260" s="14" t="s">
        <v>269</v>
      </c>
      <c r="B260" s="3">
        <v>60.307020886031545</v>
      </c>
    </row>
    <row r="261" spans="1:2" ht="15.75" customHeight="1">
      <c r="A261" s="14" t="s">
        <v>270</v>
      </c>
      <c r="B261" s="3">
        <v>62.964243422785763</v>
      </c>
    </row>
    <row r="262" spans="1:2" ht="15.75" customHeight="1">
      <c r="A262" s="14" t="s">
        <v>271</v>
      </c>
      <c r="B262" s="3">
        <v>55.910345948310308</v>
      </c>
    </row>
    <row r="263" spans="1:2" ht="15.75" customHeight="1">
      <c r="A263" s="14" t="s">
        <v>272</v>
      </c>
      <c r="B263" s="3">
        <v>59.727928651739468</v>
      </c>
    </row>
    <row r="264" spans="1:2" ht="15.75" customHeight="1">
      <c r="A264" s="14" t="s">
        <v>273</v>
      </c>
      <c r="B264" s="3">
        <v>58.73217965929944</v>
      </c>
    </row>
    <row r="265" spans="1:2" ht="15.75" customHeight="1">
      <c r="A265" s="14" t="s">
        <v>274</v>
      </c>
      <c r="B265" s="3">
        <v>55.730454372184731</v>
      </c>
    </row>
    <row r="266" spans="1:2" ht="15.75" customHeight="1">
      <c r="A266" s="14" t="s">
        <v>275</v>
      </c>
      <c r="B266" s="3">
        <v>59.450229284816487</v>
      </c>
    </row>
    <row r="267" spans="1:2" ht="15.75" customHeight="1">
      <c r="A267" s="14" t="s">
        <v>276</v>
      </c>
      <c r="B267" s="3">
        <v>54.517031997704159</v>
      </c>
    </row>
    <row r="268" spans="1:2" ht="15.75" customHeight="1">
      <c r="A268" s="14" t="s">
        <v>277</v>
      </c>
      <c r="B268" s="3">
        <v>46.250779196280305</v>
      </c>
    </row>
    <row r="269" spans="1:2" ht="15.75" customHeight="1">
      <c r="A269" s="14" t="s">
        <v>278</v>
      </c>
      <c r="B269" s="3">
        <v>46.250779196280305</v>
      </c>
    </row>
    <row r="270" spans="1:2" ht="15.75" customHeight="1">
      <c r="A270" s="14" t="s">
        <v>279</v>
      </c>
      <c r="B270" s="3">
        <v>32.72651891982072</v>
      </c>
    </row>
    <row r="271" spans="1:2" ht="15.75" customHeight="1">
      <c r="A271" s="14" t="s">
        <v>280</v>
      </c>
      <c r="B271" s="3">
        <v>28.356688005105269</v>
      </c>
    </row>
    <row r="272" spans="1:2" ht="15.75" customHeight="1">
      <c r="A272" s="14" t="s">
        <v>281</v>
      </c>
      <c r="B272" s="3">
        <v>22.3485546395613</v>
      </c>
    </row>
    <row r="273" spans="1:2" ht="15.75" customHeight="1">
      <c r="A273" s="14" t="s">
        <v>282</v>
      </c>
      <c r="B273" s="3">
        <v>21.222407996057939</v>
      </c>
    </row>
    <row r="274" spans="1:2" ht="15.75" customHeight="1">
      <c r="A274" s="14" t="s">
        <v>283</v>
      </c>
      <c r="B274" s="3">
        <v>31.934093639770992</v>
      </c>
    </row>
    <row r="275" spans="1:2" ht="15.75" customHeight="1">
      <c r="A275" s="14" t="s">
        <v>284</v>
      </c>
      <c r="B275" s="3">
        <v>36.126884999435937</v>
      </c>
    </row>
    <row r="276" spans="1:2" ht="15.75" customHeight="1">
      <c r="A276" s="14" t="s">
        <v>285</v>
      </c>
      <c r="B276" s="3">
        <v>38.32975400116851</v>
      </c>
    </row>
    <row r="277" spans="1:2" ht="15.75" customHeight="1">
      <c r="A277" s="14" t="s">
        <v>286</v>
      </c>
      <c r="B277" s="3">
        <v>35.330412548534269</v>
      </c>
    </row>
    <row r="278" spans="1:2" ht="15.75" customHeight="1">
      <c r="A278" s="14" t="s">
        <v>287</v>
      </c>
      <c r="B278" s="3">
        <v>33.73147177006669</v>
      </c>
    </row>
    <row r="279" spans="1:2" ht="15.75" customHeight="1">
      <c r="A279" s="14" t="s">
        <v>288</v>
      </c>
      <c r="B279" s="3">
        <v>35.816911792126575</v>
      </c>
    </row>
    <row r="280" spans="1:2" ht="15.75" customHeight="1">
      <c r="A280" s="14" t="s">
        <v>289</v>
      </c>
      <c r="B280" s="3">
        <v>40.207416832893571</v>
      </c>
    </row>
    <row r="281" spans="1:2" ht="15.75" customHeight="1">
      <c r="A281" s="14" t="s">
        <v>290</v>
      </c>
      <c r="B281" s="3">
        <v>42.173550236519795</v>
      </c>
    </row>
    <row r="282" spans="1:2" ht="15.75" customHeight="1">
      <c r="A282" s="14" t="s">
        <v>291</v>
      </c>
      <c r="B282" s="3">
        <v>38.327954222760113</v>
      </c>
    </row>
    <row r="283" spans="1:2" ht="15.75" customHeight="1">
      <c r="A283" s="14" t="s">
        <v>292</v>
      </c>
      <c r="B283" s="3">
        <v>37.044060447197261</v>
      </c>
    </row>
    <row r="284" spans="1:2" ht="15.75" customHeight="1">
      <c r="A284" s="14" t="s">
        <v>293</v>
      </c>
      <c r="B284" s="3">
        <v>35.142450508605663</v>
      </c>
    </row>
    <row r="285" spans="1:2" ht="15.75" customHeight="1">
      <c r="A285" s="14" t="s">
        <v>294</v>
      </c>
      <c r="B285" s="3">
        <v>40.946251119241765</v>
      </c>
    </row>
    <row r="286" spans="1:2" ht="15.75" customHeight="1">
      <c r="A286" s="14" t="s">
        <v>295</v>
      </c>
      <c r="B286" s="3">
        <v>43.335311860810755</v>
      </c>
    </row>
    <row r="287" spans="1:2" ht="15.75" customHeight="1">
      <c r="A287" s="14" t="s">
        <v>296</v>
      </c>
      <c r="B287" s="3">
        <v>39.861928616074309</v>
      </c>
    </row>
    <row r="288" spans="1:2" ht="15.75" customHeight="1">
      <c r="A288" s="14" t="s">
        <v>297</v>
      </c>
      <c r="B288" s="3">
        <v>39.861928616074309</v>
      </c>
    </row>
    <row r="289" spans="1:2" ht="15.75" customHeight="1">
      <c r="A289" s="14" t="s">
        <v>298</v>
      </c>
      <c r="B289" s="3">
        <v>38.830625135687917</v>
      </c>
    </row>
    <row r="290" spans="1:2" ht="15.75" customHeight="1">
      <c r="A290" s="14" t="s">
        <v>299</v>
      </c>
      <c r="B290" s="3">
        <v>37.523764506743973</v>
      </c>
    </row>
    <row r="291" spans="1:2" ht="15.75" customHeight="1">
      <c r="A291" s="14" t="s">
        <v>300</v>
      </c>
      <c r="B291" s="3">
        <v>35.959761360169963</v>
      </c>
    </row>
    <row r="292" spans="1:2" ht="15.75" customHeight="1">
      <c r="A292" s="14" t="s">
        <v>301</v>
      </c>
      <c r="B292" s="3">
        <v>35.959761360169963</v>
      </c>
    </row>
    <row r="293" spans="1:2" ht="15.75" customHeight="1">
      <c r="A293" s="14" t="s">
        <v>302</v>
      </c>
      <c r="B293" s="3">
        <v>44.070538689766984</v>
      </c>
    </row>
    <row r="294" spans="1:2" ht="15.75" customHeight="1">
      <c r="A294" s="14" t="s">
        <v>303</v>
      </c>
      <c r="B294" s="3">
        <v>52.676674792697348</v>
      </c>
    </row>
    <row r="295" spans="1:2" ht="15.75" customHeight="1">
      <c r="A295" s="14" t="s">
        <v>304</v>
      </c>
      <c r="B295" s="3">
        <v>55.445377306079244</v>
      </c>
    </row>
    <row r="296" spans="1:2" ht="15.75" customHeight="1">
      <c r="A296" s="14" t="s">
        <v>305</v>
      </c>
      <c r="B296" s="3">
        <v>56.060592996272028</v>
      </c>
    </row>
    <row r="297" spans="1:2" ht="15.75" customHeight="1">
      <c r="A297" s="14" t="s">
        <v>306</v>
      </c>
      <c r="B297" s="3">
        <v>58.23432911840554</v>
      </c>
    </row>
    <row r="298" spans="1:2" ht="15.75" customHeight="1">
      <c r="A298" s="14" t="s">
        <v>307</v>
      </c>
      <c r="B298" s="3">
        <v>59.16667125875626</v>
      </c>
    </row>
    <row r="299" spans="1:2" ht="15.75" customHeight="1">
      <c r="A299" s="14" t="s">
        <v>308</v>
      </c>
      <c r="B299" s="3">
        <v>56.024051522653082</v>
      </c>
    </row>
    <row r="300" spans="1:2" ht="15.75" customHeight="1">
      <c r="A300" s="14" t="s">
        <v>309</v>
      </c>
      <c r="B300" s="3">
        <v>49.54619096104517</v>
      </c>
    </row>
    <row r="301" spans="1:2" ht="15.75" customHeight="1">
      <c r="A301" s="14" t="s">
        <v>310</v>
      </c>
      <c r="B301" s="3">
        <v>40.942907573924572</v>
      </c>
    </row>
    <row r="302" spans="1:2" ht="15.75" customHeight="1">
      <c r="A302" s="14" t="s">
        <v>311</v>
      </c>
      <c r="B302" s="3">
        <v>39.572534714722529</v>
      </c>
    </row>
    <row r="303" spans="1:2" ht="15.75" customHeight="1">
      <c r="A303" s="14" t="s">
        <v>312</v>
      </c>
      <c r="B303" s="3">
        <v>46.513097678057754</v>
      </c>
    </row>
    <row r="304" spans="1:2" ht="15.75" customHeight="1">
      <c r="A304" s="14" t="s">
        <v>313</v>
      </c>
      <c r="B304" s="3">
        <v>44.378372791133401</v>
      </c>
    </row>
    <row r="305" spans="1:2" ht="15.75" customHeight="1">
      <c r="A305" s="14" t="s">
        <v>314</v>
      </c>
      <c r="B305" s="3">
        <v>45.906153933255851</v>
      </c>
    </row>
    <row r="306" spans="1:2" ht="15.75" customHeight="1">
      <c r="A306" s="14" t="s">
        <v>315</v>
      </c>
      <c r="B306" s="3">
        <v>45.237091239592083</v>
      </c>
    </row>
    <row r="307" spans="1:2" ht="15.75" customHeight="1">
      <c r="A307" s="14" t="s">
        <v>316</v>
      </c>
      <c r="B307" s="3">
        <v>42.564757214443283</v>
      </c>
    </row>
    <row r="308" spans="1:2" ht="15.75" customHeight="1">
      <c r="A308" s="14" t="s">
        <v>317</v>
      </c>
      <c r="B308" s="3">
        <v>34.813144740749763</v>
      </c>
    </row>
    <row r="309" spans="1:2" ht="15.75" customHeight="1">
      <c r="A309" s="14" t="s">
        <v>318</v>
      </c>
      <c r="B309" s="3">
        <v>29.982891567063163</v>
      </c>
    </row>
    <row r="310" spans="1:2" ht="15.75" customHeight="1">
      <c r="A310" s="14" t="s">
        <v>319</v>
      </c>
      <c r="B310" s="3">
        <v>38.03418488370454</v>
      </c>
    </row>
    <row r="311" spans="1:2" ht="15.75" customHeight="1">
      <c r="A311" s="14" t="s">
        <v>320</v>
      </c>
      <c r="B311" s="3">
        <v>41.305027003699365</v>
      </c>
    </row>
    <row r="312" spans="1:2" ht="15.75" customHeight="1">
      <c r="A312" s="14" t="s">
        <v>321</v>
      </c>
      <c r="B312" s="3">
        <v>50.125401634466591</v>
      </c>
    </row>
    <row r="313" spans="1:2" ht="15.75" customHeight="1">
      <c r="A313" s="14" t="s">
        <v>322</v>
      </c>
      <c r="B313" s="3">
        <v>45.882349144515544</v>
      </c>
    </row>
    <row r="314" spans="1:2" ht="15.75" customHeight="1">
      <c r="A314" s="14" t="s">
        <v>323</v>
      </c>
      <c r="B314" s="3">
        <v>45.882349144515544</v>
      </c>
    </row>
    <row r="315" spans="1:2" ht="15.75" customHeight="1">
      <c r="A315" s="14" t="s">
        <v>324</v>
      </c>
      <c r="B315" s="3">
        <v>44.783228627130441</v>
      </c>
    </row>
    <row r="316" spans="1:2" ht="15.75" customHeight="1">
      <c r="A316" s="14" t="s">
        <v>325</v>
      </c>
      <c r="B316" s="3">
        <v>45.137065748367789</v>
      </c>
    </row>
    <row r="317" spans="1:2" ht="15.75" customHeight="1">
      <c r="A317" s="14" t="s">
        <v>326</v>
      </c>
      <c r="B317" s="3">
        <v>41.421018767528025</v>
      </c>
    </row>
    <row r="318" spans="1:2" ht="15.75" customHeight="1">
      <c r="A318" s="14" t="s">
        <v>327</v>
      </c>
      <c r="B318" s="3">
        <v>42.209292779281832</v>
      </c>
    </row>
    <row r="319" spans="1:2" ht="15.75" customHeight="1">
      <c r="A319" s="14" t="s">
        <v>328</v>
      </c>
      <c r="B319" s="3">
        <v>49.202636227364508</v>
      </c>
    </row>
    <row r="320" spans="1:2" ht="15.75" customHeight="1">
      <c r="A320" s="14" t="s">
        <v>329</v>
      </c>
      <c r="B320" s="3">
        <v>55.059312789532733</v>
      </c>
    </row>
    <row r="321" spans="1:2" ht="15.75" customHeight="1">
      <c r="A321" s="14" t="s">
        <v>330</v>
      </c>
      <c r="B321" s="3">
        <v>62.219257038403903</v>
      </c>
    </row>
    <row r="322" spans="1:2" ht="15.75" customHeight="1">
      <c r="A322" s="14" t="s">
        <v>331</v>
      </c>
      <c r="B322" s="3">
        <v>66.744555336338621</v>
      </c>
    </row>
    <row r="323" spans="1:2" ht="15.75" customHeight="1">
      <c r="A323" s="14" t="s">
        <v>332</v>
      </c>
      <c r="B323" s="3">
        <v>61.248524288012014</v>
      </c>
    </row>
    <row r="324" spans="1:2" ht="15.75" customHeight="1">
      <c r="A324" s="14" t="s">
        <v>333</v>
      </c>
      <c r="B324" s="3">
        <v>55.974554903517998</v>
      </c>
    </row>
    <row r="325" spans="1:2" ht="15.75" customHeight="1">
      <c r="A325" s="14" t="s">
        <v>334</v>
      </c>
      <c r="B325" s="3">
        <v>58.251828425821358</v>
      </c>
    </row>
    <row r="326" spans="1:2" ht="15.75" customHeight="1">
      <c r="A326" s="14" t="s">
        <v>335</v>
      </c>
      <c r="B326" s="3">
        <v>61.070946836813384</v>
      </c>
    </row>
    <row r="327" spans="1:2" ht="15.75" customHeight="1">
      <c r="A327" s="14" t="s">
        <v>336</v>
      </c>
      <c r="B327" s="3">
        <v>60.731220513885518</v>
      </c>
    </row>
    <row r="328" spans="1:2" ht="15.75" customHeight="1">
      <c r="A328" s="14" t="s">
        <v>337</v>
      </c>
      <c r="B328" s="3">
        <v>53.65916271914314</v>
      </c>
    </row>
    <row r="329" spans="1:2" ht="15.75" customHeight="1">
      <c r="A329" s="14" t="s">
        <v>338</v>
      </c>
      <c r="B329" s="3">
        <v>51.318907698941146</v>
      </c>
    </row>
    <row r="330" spans="1:2" ht="15.75" customHeight="1">
      <c r="A330" s="14" t="s">
        <v>339</v>
      </c>
      <c r="B330" s="3">
        <v>58.609116132223377</v>
      </c>
    </row>
    <row r="331" spans="1:2" ht="15.75" customHeight="1">
      <c r="A331" s="14" t="s">
        <v>340</v>
      </c>
      <c r="B331" s="3">
        <v>62.444991798651749</v>
      </c>
    </row>
    <row r="332" spans="1:2" ht="15.75" customHeight="1">
      <c r="A332" s="14" t="s">
        <v>341</v>
      </c>
      <c r="B332" s="3">
        <v>62.835427961119052</v>
      </c>
    </row>
    <row r="333" spans="1:2" ht="15.75" customHeight="1">
      <c r="A333" s="14" t="s">
        <v>342</v>
      </c>
      <c r="B333" s="3">
        <v>66.408337058624781</v>
      </c>
    </row>
    <row r="334" spans="1:2" ht="15.75" customHeight="1">
      <c r="A334" s="14" t="s">
        <v>343</v>
      </c>
      <c r="B334" s="3">
        <v>66.048433257597111</v>
      </c>
    </row>
    <row r="335" spans="1:2" ht="15.75" customHeight="1">
      <c r="A335" s="14" t="s">
        <v>344</v>
      </c>
      <c r="B335" s="3">
        <v>62.063875833186124</v>
      </c>
    </row>
    <row r="336" spans="1:2" ht="15.75" customHeight="1">
      <c r="A336" s="14" t="s">
        <v>345</v>
      </c>
      <c r="B336" s="3">
        <v>65.525330158078077</v>
      </c>
    </row>
    <row r="337" spans="1:2" ht="15.75" customHeight="1">
      <c r="A337" s="14" t="s">
        <v>346</v>
      </c>
      <c r="B337" s="3">
        <v>71.047838085638944</v>
      </c>
    </row>
    <row r="338" spans="1:2" ht="15.75" customHeight="1">
      <c r="A338" s="14" t="s">
        <v>347</v>
      </c>
      <c r="B338" s="3">
        <v>76.361514257925634</v>
      </c>
    </row>
    <row r="339" spans="1:2" ht="15.75" customHeight="1">
      <c r="A339" s="14" t="s">
        <v>348</v>
      </c>
      <c r="B339" s="3">
        <v>78.621639685514793</v>
      </c>
    </row>
    <row r="340" spans="1:2" ht="15.75" customHeight="1">
      <c r="A340" s="14" t="s">
        <v>349</v>
      </c>
      <c r="B340" s="3">
        <v>79.449642158947526</v>
      </c>
    </row>
    <row r="341" spans="1:2" ht="15.75" customHeight="1">
      <c r="A341" s="14" t="s">
        <v>350</v>
      </c>
      <c r="B341" s="3">
        <v>80.184322351800489</v>
      </c>
    </row>
    <row r="342" spans="1:2" ht="15.75" customHeight="1">
      <c r="A342" s="14" t="s">
        <v>351</v>
      </c>
      <c r="B342" s="3">
        <v>70.963447847426266</v>
      </c>
    </row>
    <row r="343" spans="1:2" ht="15.75" customHeight="1">
      <c r="A343" s="14" t="s">
        <v>352</v>
      </c>
      <c r="B343" s="3">
        <v>66.681540854680719</v>
      </c>
    </row>
    <row r="344" spans="1:2" ht="15.75" customHeight="1">
      <c r="A344" s="14" t="s">
        <v>353</v>
      </c>
      <c r="B344" s="3">
        <v>69.6407117679571</v>
      </c>
    </row>
    <row r="345" spans="1:2" ht="15.75" customHeight="1">
      <c r="A345" s="14" t="s">
        <v>354</v>
      </c>
      <c r="B345" s="3">
        <v>71.702829796233743</v>
      </c>
    </row>
    <row r="346" spans="1:2" ht="15.75" customHeight="1">
      <c r="A346" s="14" t="s">
        <v>355</v>
      </c>
      <c r="B346" s="3">
        <v>69.479314113192785</v>
      </c>
    </row>
    <row r="347" spans="1:2" ht="15.75" customHeight="1">
      <c r="A347" s="14" t="s">
        <v>356</v>
      </c>
      <c r="B347" s="3">
        <v>68.49893150916526</v>
      </c>
    </row>
    <row r="348" spans="1:2" ht="15.75" customHeight="1">
      <c r="A348" s="14" t="s">
        <v>357</v>
      </c>
      <c r="B348" s="3">
        <v>70.303956971085654</v>
      </c>
    </row>
    <row r="349" spans="1:2" ht="15.75" customHeight="1">
      <c r="A349" s="14" t="s">
        <v>358</v>
      </c>
      <c r="B349" s="3">
        <v>57.331859841273065</v>
      </c>
    </row>
    <row r="350" spans="1:2" ht="15.75" customHeight="1">
      <c r="A350" s="14">
        <v>1</v>
      </c>
      <c r="B350" s="3">
        <v>58.819652539488196</v>
      </c>
    </row>
    <row r="351" spans="1:2" ht="15.75" customHeight="1">
      <c r="A351" s="14">
        <v>32</v>
      </c>
      <c r="B351" s="3">
        <v>60.841516609860122</v>
      </c>
    </row>
    <row r="352" spans="1:2" ht="15.75" customHeight="1">
      <c r="A352" s="14">
        <v>61</v>
      </c>
      <c r="B352" s="3">
        <v>61.760558880469667</v>
      </c>
    </row>
    <row r="353" spans="1:2" ht="15.75" customHeight="1">
      <c r="A353" s="14">
        <v>92</v>
      </c>
      <c r="B353" s="3">
        <v>63.246866360462029</v>
      </c>
    </row>
    <row r="354" spans="1:2" ht="15.75" customHeight="1">
      <c r="A354" s="14">
        <v>122</v>
      </c>
      <c r="B354" s="3">
        <v>54.666013030608219</v>
      </c>
    </row>
    <row r="355" spans="1:2" ht="15.75" customHeight="1">
      <c r="A355" s="14">
        <v>153</v>
      </c>
      <c r="B355" s="3">
        <v>50.259961693645479</v>
      </c>
    </row>
    <row r="356" spans="1:2" ht="15.75" customHeight="1">
      <c r="A356" s="14">
        <v>183</v>
      </c>
      <c r="B356" s="3">
        <v>50.259961693645465</v>
      </c>
    </row>
    <row r="357" spans="1:2" ht="15.75" customHeight="1">
      <c r="A357" s="14">
        <v>214</v>
      </c>
      <c r="B357" s="3">
        <v>52.243986366394367</v>
      </c>
    </row>
    <row r="358" spans="1:2" ht="15.75" customHeight="1">
      <c r="A358" s="14">
        <v>245</v>
      </c>
      <c r="B358" s="3">
        <v>48.591223182486573</v>
      </c>
    </row>
    <row r="359" spans="1:2" ht="15.75" customHeight="1">
      <c r="A359" s="14">
        <v>275</v>
      </c>
      <c r="B359" s="3">
        <v>53.808276970888329</v>
      </c>
    </row>
    <row r="360" spans="1:2" ht="15.75" customHeight="1">
      <c r="A360" s="14">
        <v>306</v>
      </c>
      <c r="B360" s="3">
        <v>62.886203648396844</v>
      </c>
    </row>
    <row r="361" spans="1:2" ht="15.75" customHeight="1">
      <c r="A361" s="14">
        <v>336</v>
      </c>
      <c r="B361" s="3">
        <v>68.430447965616551</v>
      </c>
    </row>
    <row r="362" spans="1:2" ht="15.75" customHeight="1">
      <c r="A362" s="14">
        <v>367</v>
      </c>
      <c r="B362" s="3">
        <v>70.836457419606518</v>
      </c>
    </row>
    <row r="363" spans="1:2" ht="15.75" customHeight="1">
      <c r="A363" s="14">
        <v>398</v>
      </c>
      <c r="B363" s="3">
        <v>72.842524707041747</v>
      </c>
    </row>
    <row r="364" spans="1:2" ht="15.75" customHeight="1">
      <c r="A364" s="14">
        <v>426</v>
      </c>
      <c r="B364" s="3">
        <v>75.467540032265759</v>
      </c>
    </row>
    <row r="365" spans="1:2" ht="15.75" customHeight="1">
      <c r="A365" s="14">
        <v>457</v>
      </c>
      <c r="B365" s="3">
        <v>80.408960549591711</v>
      </c>
    </row>
    <row r="366" spans="1:2" ht="15.75" customHeight="1">
      <c r="A366" s="14">
        <v>487</v>
      </c>
      <c r="B366" s="3">
        <v>70.461934238700707</v>
      </c>
    </row>
    <row r="367" spans="1:2" ht="15.75" customHeight="1">
      <c r="A367" s="14">
        <v>518</v>
      </c>
      <c r="B367" s="3">
        <v>76.373252156145412</v>
      </c>
    </row>
    <row r="368" spans="1:2" ht="15.75" customHeight="1">
      <c r="A368" s="14">
        <v>548</v>
      </c>
      <c r="B368" s="3">
        <v>65.865098319591709</v>
      </c>
    </row>
    <row r="369" spans="1:2" ht="15.75" customHeight="1">
      <c r="A369" s="14">
        <v>579</v>
      </c>
      <c r="B369" s="3">
        <v>66.814045339320586</v>
      </c>
    </row>
    <row r="370" spans="1:2" ht="15.75" customHeight="1">
      <c r="A370" s="14">
        <v>610</v>
      </c>
      <c r="B370" s="3">
        <v>66.09449597388577</v>
      </c>
    </row>
    <row r="371" spans="1:2" ht="15.75" customHeight="1">
      <c r="A371" s="14">
        <v>640</v>
      </c>
      <c r="B371" s="3">
        <v>64.413612207437737</v>
      </c>
    </row>
    <row r="372" spans="1:2" ht="15.75" customHeight="1">
      <c r="A372" s="14">
        <v>671</v>
      </c>
      <c r="B372" s="3">
        <v>66.164031514485274</v>
      </c>
    </row>
    <row r="373" spans="1:2" ht="15.75" customHeight="1">
      <c r="A373" s="14">
        <v>701</v>
      </c>
      <c r="B373" s="3">
        <v>63.588220626796414</v>
      </c>
    </row>
    <row r="374" spans="1:2" ht="15.75" customHeight="1">
      <c r="A374" s="14">
        <v>732</v>
      </c>
      <c r="B374" s="3">
        <v>65.480754088598985</v>
      </c>
    </row>
    <row r="375" spans="1:2" ht="15.75" customHeight="1">
      <c r="A375" s="14">
        <v>763</v>
      </c>
      <c r="B375" s="3">
        <v>66.258433686311534</v>
      </c>
    </row>
    <row r="376" spans="1:2" ht="15.75" customHeight="1">
      <c r="A376" s="14">
        <v>791</v>
      </c>
      <c r="B376" s="3">
        <v>66.374977341457878</v>
      </c>
    </row>
    <row r="377" spans="1:2" ht="15.75" customHeight="1">
      <c r="A377" s="14">
        <v>822</v>
      </c>
      <c r="B377" s="3">
        <v>69.546734833615943</v>
      </c>
    </row>
    <row r="378" spans="1:2" ht="15.75" customHeight="1">
      <c r="A378" s="14">
        <v>852</v>
      </c>
      <c r="B378" s="3">
        <v>69.045742659730138</v>
      </c>
    </row>
    <row r="379" spans="1:2" ht="15.75" customHeight="1">
      <c r="A379" s="14">
        <v>883</v>
      </c>
      <c r="B379" s="3">
        <v>67.732111316387432</v>
      </c>
    </row>
    <row r="380" spans="1:2" ht="15.75" customHeight="1">
      <c r="A380" s="14">
        <v>913</v>
      </c>
      <c r="B380" s="3">
        <v>70.062958277519442</v>
      </c>
    </row>
    <row r="381" spans="1:2" ht="15.75" customHeight="1">
      <c r="A381" s="14">
        <v>944</v>
      </c>
      <c r="B381" s="3">
        <v>72.63944023854711</v>
      </c>
    </row>
    <row r="382" spans="1:2" ht="15.75" customHeight="1">
      <c r="A382" s="14">
        <v>975</v>
      </c>
      <c r="B382" s="3">
        <v>72.858188143481584</v>
      </c>
    </row>
    <row r="383" spans="1:2" ht="15.75" customHeight="1">
      <c r="A383" s="14">
        <v>1005</v>
      </c>
      <c r="B383" s="3">
        <v>65.020597136714713</v>
      </c>
    </row>
    <row r="384" spans="1:2" ht="15.75" customHeight="1">
      <c r="A384" s="14">
        <v>1036</v>
      </c>
      <c r="B384" s="3">
        <v>57.209485199625867</v>
      </c>
    </row>
    <row r="385" spans="1:2" ht="15.75" customHeight="1">
      <c r="A385" s="14">
        <v>1066</v>
      </c>
      <c r="B385" s="3">
        <v>53.243485045745942</v>
      </c>
    </row>
    <row r="386" spans="1:2" ht="15.75" customHeight="1">
      <c r="A386" s="14">
        <v>1097</v>
      </c>
      <c r="B386" s="3">
        <v>59.730898351846562</v>
      </c>
    </row>
    <row r="387" spans="1:2" ht="15.75" customHeight="1">
      <c r="A387" s="14">
        <v>1128</v>
      </c>
      <c r="B387" s="3">
        <v>58.661949906860009</v>
      </c>
    </row>
    <row r="388" spans="1:2" ht="15.75" customHeight="1">
      <c r="A388" s="14">
        <v>1156</v>
      </c>
      <c r="B388" s="3">
        <v>52.042194626419892</v>
      </c>
    </row>
    <row r="389" spans="1:2" ht="15.75" customHeight="1">
      <c r="A389" s="14">
        <v>1187</v>
      </c>
      <c r="B389" s="3">
        <v>46.40301043524375</v>
      </c>
    </row>
    <row r="390" spans="1:2" ht="15.75" customHeight="1">
      <c r="A390" s="14">
        <v>1217</v>
      </c>
      <c r="B390" s="3">
        <v>44.065664451847603</v>
      </c>
    </row>
    <row r="391" spans="1:2" ht="15.75" customHeight="1">
      <c r="A391" s="14">
        <v>1248</v>
      </c>
      <c r="B391" s="3">
        <v>38.255209414222215</v>
      </c>
    </row>
    <row r="392" spans="1:2" ht="15.75" customHeight="1">
      <c r="A392" s="14">
        <v>1278</v>
      </c>
      <c r="B392" s="3">
        <v>34.415381648529902</v>
      </c>
    </row>
    <row r="393" spans="1:2" ht="15.75" customHeight="1">
      <c r="A393" s="14">
        <v>1309</v>
      </c>
      <c r="B393" s="3">
        <v>32.10200303300941</v>
      </c>
    </row>
    <row r="394" spans="1:2" ht="15.75" customHeight="1">
      <c r="A394" s="14">
        <v>1340</v>
      </c>
      <c r="B394" s="3">
        <v>30.496447387162334</v>
      </c>
    </row>
    <row r="395" spans="1:2" ht="15.75" customHeight="1">
      <c r="A395" s="14">
        <v>1370</v>
      </c>
      <c r="B395" s="3">
        <v>28.482901834387988</v>
      </c>
    </row>
    <row r="396" spans="1:2" ht="15.75" customHeight="1">
      <c r="A396" s="14">
        <v>1401</v>
      </c>
      <c r="B396" s="3">
        <v>28.96394761770172</v>
      </c>
    </row>
    <row r="397" spans="1:2" ht="15.75" customHeight="1">
      <c r="A397" s="14">
        <v>1431</v>
      </c>
      <c r="B397" s="3">
        <v>35.715947982688704</v>
      </c>
    </row>
    <row r="398" spans="1:2" ht="15.75" customHeight="1">
      <c r="A398" s="14">
        <v>1462</v>
      </c>
      <c r="B398" s="3">
        <v>38.11861205809425</v>
      </c>
    </row>
    <row r="399" spans="1:2" ht="15.75" customHeight="1">
      <c r="A399" s="14">
        <v>1493</v>
      </c>
      <c r="B399" s="3">
        <v>35.763078934960063</v>
      </c>
    </row>
    <row r="400" spans="1:2" ht="15.75" customHeight="1">
      <c r="A400" s="14">
        <v>1522</v>
      </c>
      <c r="B400" s="3">
        <v>35.500578672060399</v>
      </c>
    </row>
    <row r="401" spans="1:2" ht="15.75" customHeight="1">
      <c r="A401" s="14">
        <v>1553</v>
      </c>
      <c r="B401" s="3">
        <v>39.33672665904183</v>
      </c>
    </row>
    <row r="402" spans="1:2" ht="15.75" customHeight="1">
      <c r="A402" s="14">
        <v>1583</v>
      </c>
      <c r="B402" s="3">
        <v>37.249121755485952</v>
      </c>
    </row>
    <row r="403" spans="1:2" ht="15.75" customHeight="1">
      <c r="A403" s="14">
        <v>1614</v>
      </c>
      <c r="B403" s="3">
        <v>37.504249228622371</v>
      </c>
    </row>
    <row r="404" spans="1:2" ht="15.75" customHeight="1">
      <c r="A404" s="14">
        <v>1644</v>
      </c>
      <c r="B404" s="3">
        <v>44.111330345055968</v>
      </c>
    </row>
    <row r="405" spans="1:2" ht="15.75" customHeight="1">
      <c r="A405" s="14">
        <v>1675</v>
      </c>
      <c r="B405" s="3">
        <v>49.052510544375409</v>
      </c>
    </row>
    <row r="406" spans="1:2" ht="15.75" customHeight="1">
      <c r="A406" s="14">
        <v>1706</v>
      </c>
      <c r="B406" s="3">
        <v>54.846963285746078</v>
      </c>
    </row>
    <row r="407" spans="1:2" ht="15.75" customHeight="1">
      <c r="A407" s="14">
        <v>1736</v>
      </c>
      <c r="B407" s="3">
        <v>61.404203453749311</v>
      </c>
    </row>
    <row r="408" spans="1:2" ht="15.75" customHeight="1">
      <c r="A408" s="14">
        <v>1767</v>
      </c>
      <c r="B408" s="3">
        <v>66.518690476631022</v>
      </c>
    </row>
    <row r="409" spans="1:2" ht="15.75" customHeight="1">
      <c r="A409" s="14">
        <v>1797</v>
      </c>
      <c r="B409" s="3">
        <v>67.404708034189525</v>
      </c>
    </row>
    <row r="410" spans="1:2" ht="15.75" customHeight="1">
      <c r="A410" s="14">
        <v>1828</v>
      </c>
      <c r="B410" s="3">
        <v>69.368839463708099</v>
      </c>
    </row>
    <row r="411" spans="1:2" ht="15.75" customHeight="1">
      <c r="A411" s="14">
        <v>1859</v>
      </c>
      <c r="B411" s="3">
        <v>72.973902853232516</v>
      </c>
    </row>
    <row r="412" spans="1:2" ht="15.75" customHeight="1">
      <c r="A412" s="14">
        <v>1887</v>
      </c>
      <c r="B412" s="3">
        <v>75.105819660545805</v>
      </c>
    </row>
    <row r="413" spans="1:2" ht="15.75" customHeight="1">
      <c r="A413" s="14">
        <v>1918</v>
      </c>
      <c r="B413" s="3">
        <v>72.399615607386721</v>
      </c>
    </row>
    <row r="414" spans="1:2" ht="15.75" customHeight="1">
      <c r="A414" s="14">
        <v>1948</v>
      </c>
      <c r="B414" s="3">
        <v>62.672023691743824</v>
      </c>
    </row>
    <row r="415" spans="1:2" ht="15.75" customHeight="1">
      <c r="A415" s="14">
        <v>1979</v>
      </c>
      <c r="B415" s="3">
        <v>63.860480660876107</v>
      </c>
    </row>
    <row r="416" spans="1:2" ht="15.75" customHeight="1">
      <c r="A416" s="14">
        <v>2009</v>
      </c>
      <c r="B416" s="3">
        <v>66.922643342694528</v>
      </c>
    </row>
    <row r="417" spans="1:2" ht="15.75" customHeight="1">
      <c r="A417" s="14">
        <v>2040</v>
      </c>
      <c r="B417" s="3">
        <v>70.241522602346549</v>
      </c>
    </row>
    <row r="418" spans="1:2" ht="15.75" customHeight="1">
      <c r="A418" s="14">
        <v>2071</v>
      </c>
      <c r="B418" s="3">
        <v>70.531002240448402</v>
      </c>
    </row>
    <row r="419" spans="1:2" ht="15.75" customHeight="1">
      <c r="A419" s="14">
        <v>2101</v>
      </c>
      <c r="B419" s="3">
        <v>71.810674568363495</v>
      </c>
    </row>
    <row r="420" spans="1:2" ht="15.75" customHeight="1">
      <c r="A420" s="14">
        <v>2132</v>
      </c>
      <c r="B420" s="3">
        <v>70.541878658687651</v>
      </c>
    </row>
    <row r="421" spans="1:2" ht="15.75" customHeight="1">
      <c r="A421" s="14">
        <v>2162</v>
      </c>
      <c r="B421" s="3">
        <v>72.912761081745515</v>
      </c>
    </row>
    <row r="422" spans="1:2" ht="15.75" customHeight="1">
      <c r="A422" s="14">
        <v>2193</v>
      </c>
      <c r="B422" s="3">
        <v>75.908718642893859</v>
      </c>
    </row>
    <row r="423" spans="1:2" ht="15.75" customHeight="1">
      <c r="A423" s="14">
        <v>2224</v>
      </c>
      <c r="B423" s="3">
        <v>74.038059210379004</v>
      </c>
    </row>
    <row r="424" spans="1:2" ht="15.75" customHeight="1">
      <c r="A424" s="14">
        <v>2252</v>
      </c>
      <c r="B424" s="3">
        <v>67.86309277994286</v>
      </c>
    </row>
    <row r="425" spans="1:2" ht="15.75" customHeight="1">
      <c r="A425" s="14">
        <v>2283</v>
      </c>
      <c r="B425" s="3">
        <v>64.714628078764335</v>
      </c>
    </row>
    <row r="426" spans="1:2" ht="15.75" customHeight="1">
      <c r="A426" s="14">
        <v>2313</v>
      </c>
      <c r="B426" s="3">
        <v>59.041722687940627</v>
      </c>
    </row>
    <row r="427" spans="1:2" ht="15.75" customHeight="1">
      <c r="A427" s="14">
        <v>2344</v>
      </c>
      <c r="B427" s="3">
        <v>60.817236537724888</v>
      </c>
    </row>
    <row r="428" spans="1:2" ht="15.75" customHeight="1">
      <c r="A428" s="14">
        <v>2374</v>
      </c>
      <c r="B428" s="3">
        <v>55.623768423623069</v>
      </c>
    </row>
    <row r="429" spans="1:2" ht="15.75" customHeight="1">
      <c r="A429" s="14">
        <v>2405</v>
      </c>
      <c r="B429" s="3">
        <v>64.689168511690184</v>
      </c>
    </row>
    <row r="430" spans="1:2" ht="15.75" customHeight="1">
      <c r="A430" s="14">
        <v>2436</v>
      </c>
      <c r="B430" s="3">
        <v>67.855619380613348</v>
      </c>
    </row>
    <row r="431" spans="1:2" ht="15.75" customHeight="1">
      <c r="A431" s="14">
        <v>2466</v>
      </c>
      <c r="B431" s="3">
        <v>61.879788307416831</v>
      </c>
    </row>
    <row r="432" spans="1:2" ht="15.75" customHeight="1">
      <c r="A432" s="14">
        <v>2497</v>
      </c>
      <c r="B432" s="3">
        <v>64.14670220912268</v>
      </c>
    </row>
    <row r="433" spans="1:2" ht="15.75" customHeight="1">
      <c r="A433" s="14">
        <v>2527</v>
      </c>
      <c r="B433" s="3">
        <v>62.349850103503393</v>
      </c>
    </row>
    <row r="434" spans="1:2" ht="15.75" customHeight="1">
      <c r="A434" s="14">
        <v>2558</v>
      </c>
      <c r="B434" s="3">
        <v>57.000321553361765</v>
      </c>
    </row>
    <row r="435" spans="1:2" ht="15.75" customHeight="1">
      <c r="A435" s="14">
        <v>2589</v>
      </c>
      <c r="B435" s="3">
        <v>51.86570207751091</v>
      </c>
    </row>
    <row r="436" spans="1:2" ht="15.75" customHeight="1">
      <c r="A436" s="14">
        <v>2617</v>
      </c>
      <c r="B436" s="3">
        <v>40.073538992272987</v>
      </c>
    </row>
    <row r="437" spans="1:2" ht="15.75" customHeight="1">
      <c r="A437" s="14">
        <v>2648</v>
      </c>
      <c r="B437" s="3">
        <v>40.711634919501883</v>
      </c>
    </row>
    <row r="438" spans="1:2" ht="15.75" customHeight="1">
      <c r="A438" s="14">
        <v>2678</v>
      </c>
      <c r="B438" s="3">
        <v>37.586811255741544</v>
      </c>
    </row>
    <row r="439" spans="1:2" ht="15.75" customHeight="1">
      <c r="A439" s="14">
        <v>2709</v>
      </c>
      <c r="B439" s="3">
        <v>34.993501434106363</v>
      </c>
    </row>
    <row r="440" spans="1:2" ht="15.75" customHeight="1">
      <c r="A440" s="14">
        <v>2739</v>
      </c>
      <c r="B440" s="3">
        <v>40.126663456199161</v>
      </c>
    </row>
    <row r="441" spans="1:2" ht="15.75" customHeight="1">
      <c r="A441" s="14">
        <v>2770</v>
      </c>
      <c r="B441" s="3">
        <v>34.211188458230936</v>
      </c>
    </row>
    <row r="442" spans="1:2" ht="15.75" customHeight="1">
      <c r="A442" s="14">
        <v>2801</v>
      </c>
      <c r="B442" s="3">
        <v>33.513406111077728</v>
      </c>
    </row>
    <row r="443" spans="1:2" ht="15.75" customHeight="1">
      <c r="A443" s="14">
        <v>2831</v>
      </c>
      <c r="B443" s="3">
        <v>27.416109088913089</v>
      </c>
    </row>
    <row r="444" spans="1:2" ht="15.75" customHeight="1">
      <c r="A444" s="14">
        <v>2862</v>
      </c>
      <c r="B444" s="3">
        <v>25.052706512455003</v>
      </c>
    </row>
    <row r="445" spans="1:2" ht="15.75" customHeight="1">
      <c r="A445" s="14">
        <v>2892</v>
      </c>
      <c r="B445" s="3">
        <v>30.357588656216194</v>
      </c>
    </row>
    <row r="446" spans="1:2" ht="15.75" customHeight="1">
      <c r="A446" s="14">
        <v>2923</v>
      </c>
      <c r="B446" s="3">
        <v>34.712154475999895</v>
      </c>
    </row>
    <row r="447" spans="1:2" ht="15.75" customHeight="1">
      <c r="A447" s="14">
        <v>2954</v>
      </c>
      <c r="B447" s="3">
        <v>32.743528557012013</v>
      </c>
    </row>
    <row r="448" spans="1:2" ht="15.75" customHeight="1">
      <c r="A448" s="14">
        <v>2983</v>
      </c>
      <c r="B448" s="3">
        <v>36.905342447140136</v>
      </c>
    </row>
    <row r="449" spans="1:2" ht="15.75" customHeight="1">
      <c r="A449" s="14">
        <v>3014</v>
      </c>
      <c r="B449" s="3">
        <v>42.185066788093913</v>
      </c>
    </row>
    <row r="450" spans="1:2" ht="15.75" customHeight="1">
      <c r="A450" s="14">
        <v>3044</v>
      </c>
      <c r="B450" s="3">
        <v>47.200369069129216</v>
      </c>
    </row>
    <row r="451" spans="1:2" ht="15.75" customHeight="1">
      <c r="A451" s="14">
        <v>3075</v>
      </c>
      <c r="B451" s="3">
        <v>47.32654281184972</v>
      </c>
    </row>
    <row r="452" spans="1:2" ht="15.75" customHeight="1">
      <c r="A452" s="14">
        <v>3105</v>
      </c>
      <c r="B452" s="3">
        <v>50.866960069914271</v>
      </c>
    </row>
    <row r="453" spans="1:2" ht="15.75" customHeight="1">
      <c r="A453" s="14">
        <v>3136</v>
      </c>
      <c r="B453" s="3">
        <v>54.836631153634841</v>
      </c>
    </row>
    <row r="454" spans="1:2" ht="15.75" customHeight="1">
      <c r="A454" s="14">
        <v>3167</v>
      </c>
      <c r="B454" s="3">
        <v>53.602075228687823</v>
      </c>
    </row>
    <row r="455" spans="1:2" ht="15.75" customHeight="1">
      <c r="A455" s="14">
        <v>3197</v>
      </c>
      <c r="B455" s="3">
        <v>54.819202703848077</v>
      </c>
    </row>
    <row r="456" spans="1:2" ht="15.75" customHeight="1">
      <c r="A456" s="14">
        <v>3228</v>
      </c>
      <c r="B456" s="3">
        <v>60.990550736986016</v>
      </c>
    </row>
    <row r="457" spans="1:2" ht="15.75" customHeight="1">
      <c r="A457" s="14">
        <v>3258</v>
      </c>
      <c r="B457" s="3">
        <v>62.93764003788457</v>
      </c>
    </row>
    <row r="458" spans="1:2" ht="15.75" customHeight="1">
      <c r="A458" s="14">
        <v>3289</v>
      </c>
      <c r="B458" s="3">
        <v>63.234080462205029</v>
      </c>
    </row>
    <row r="459" spans="1:2" ht="15.75" customHeight="1">
      <c r="A459" s="14">
        <v>3320</v>
      </c>
      <c r="B459" s="3">
        <v>58.841451596442205</v>
      </c>
    </row>
    <row r="460" spans="1:2" ht="15.75" customHeight="1">
      <c r="A460" s="14">
        <v>3348</v>
      </c>
      <c r="B460" s="3">
        <v>60.21512620243616</v>
      </c>
    </row>
    <row r="461" spans="1:2" ht="15.75" customHeight="1">
      <c r="A461" s="14">
        <v>3379</v>
      </c>
      <c r="B461" s="3">
        <v>64.471713208386134</v>
      </c>
    </row>
    <row r="462" spans="1:2" ht="15.75" customHeight="1">
      <c r="A462" s="14">
        <v>3409</v>
      </c>
      <c r="B462" s="3">
        <v>67.384162980790421</v>
      </c>
    </row>
    <row r="463" spans="1:2" ht="15.75" customHeight="1">
      <c r="A463" s="14">
        <v>3440</v>
      </c>
      <c r="B463" s="3">
        <v>68.890258418443466</v>
      </c>
    </row>
    <row r="464" spans="1:2" ht="15.75" customHeight="1">
      <c r="A464" s="14">
        <v>3470</v>
      </c>
      <c r="B464" s="3">
        <v>70.114178229155314</v>
      </c>
    </row>
    <row r="465" spans="1:2" ht="15.75" customHeight="1">
      <c r="A465" s="14">
        <v>3501</v>
      </c>
      <c r="B465" s="3">
        <v>72.137845667635816</v>
      </c>
    </row>
    <row r="466" spans="1:2" ht="15.75" customHeight="1">
      <c r="A466" s="14">
        <v>3532</v>
      </c>
      <c r="B466" s="3">
        <v>72.222246068574663</v>
      </c>
    </row>
    <row r="467" spans="1:2" ht="15.75" customHeight="1">
      <c r="A467" s="14">
        <v>3562</v>
      </c>
      <c r="B467" s="3">
        <v>72.580046780550731</v>
      </c>
    </row>
    <row r="468" spans="1:2" ht="15.75" customHeight="1">
      <c r="A468" s="14">
        <v>3593</v>
      </c>
      <c r="B468" s="3">
        <v>71.342988759440132</v>
      </c>
    </row>
    <row r="469" spans="1:2" ht="15.75" customHeight="1">
      <c r="A469" s="14">
        <v>3623</v>
      </c>
      <c r="B469" s="3">
        <v>72.552130973305239</v>
      </c>
    </row>
    <row r="470" spans="1:2" ht="15.75" customHeight="1">
      <c r="A470" s="14">
        <v>3654</v>
      </c>
      <c r="B470" s="3">
        <v>66.97293117104627</v>
      </c>
    </row>
    <row r="471" spans="1:2" ht="15.75" customHeight="1">
      <c r="A471" s="14">
        <v>3685</v>
      </c>
      <c r="B471" s="3">
        <v>58.98024408635186</v>
      </c>
    </row>
    <row r="472" spans="1:2" ht="15.75" customHeight="1">
      <c r="A472" s="14">
        <v>3713</v>
      </c>
      <c r="B472" s="3">
        <v>62.217504024256783</v>
      </c>
    </row>
    <row r="473" spans="1:2" ht="15.75" customHeight="1">
      <c r="A473" s="14">
        <v>3744</v>
      </c>
      <c r="B473" s="3">
        <v>57.343836180284768</v>
      </c>
    </row>
    <row r="474" spans="1:2" ht="15.75" customHeight="1">
      <c r="A474" s="14">
        <v>3774</v>
      </c>
      <c r="B474" s="3">
        <v>54.290593288355765</v>
      </c>
    </row>
    <row r="475" spans="1:2" ht="15.75" customHeight="1">
      <c r="A475" s="14">
        <v>3805</v>
      </c>
      <c r="B475" s="3">
        <v>46.607244150243723</v>
      </c>
    </row>
    <row r="476" spans="1:2" ht="15.75" customHeight="1">
      <c r="A476" s="14">
        <v>3835</v>
      </c>
      <c r="B476" s="3">
        <v>40.443317809309335</v>
      </c>
    </row>
    <row r="477" spans="1:2" ht="15.75" customHeight="1">
      <c r="A477" s="14">
        <v>3866</v>
      </c>
      <c r="B477" s="3">
        <v>44.079307973248795</v>
      </c>
    </row>
    <row r="478" spans="1:2" ht="15.75" customHeight="1">
      <c r="A478" s="14">
        <v>3897</v>
      </c>
      <c r="B478" s="3">
        <v>45.110403449506755</v>
      </c>
    </row>
    <row r="479" spans="1:2" ht="15.75" customHeight="1">
      <c r="A479" s="14">
        <v>3927</v>
      </c>
      <c r="B479" s="3">
        <v>51.66844816695901</v>
      </c>
    </row>
    <row r="480" spans="1:2" ht="15.75" customHeight="1">
      <c r="A480" s="14">
        <v>3958</v>
      </c>
      <c r="B480" s="3">
        <v>51.506807811601952</v>
      </c>
    </row>
    <row r="481" spans="1:2" ht="15.75" customHeight="1">
      <c r="A481" s="14">
        <v>3988</v>
      </c>
      <c r="B481" s="3">
        <v>47.358417671611164</v>
      </c>
    </row>
    <row r="482" spans="1:2" ht="15.75" customHeight="1">
      <c r="A482" s="14">
        <v>4019</v>
      </c>
      <c r="B482" s="3">
        <v>50.957730036637983</v>
      </c>
    </row>
    <row r="483" spans="1:2" ht="15.75" customHeight="1">
      <c r="A483" s="14">
        <v>4050</v>
      </c>
      <c r="B483" s="3">
        <v>53.450529452479891</v>
      </c>
    </row>
    <row r="484" spans="1:2" ht="15.75" customHeight="1">
      <c r="A484" s="14">
        <v>4078</v>
      </c>
      <c r="B484" s="3">
        <v>51.511956273197974</v>
      </c>
    </row>
    <row r="485" spans="1:2" ht="15.75" customHeight="1">
      <c r="A485" s="14">
        <v>4109</v>
      </c>
      <c r="B485" s="3">
        <v>50.790574273735288</v>
      </c>
    </row>
    <row r="486" spans="1:2" ht="15.75" customHeight="1">
      <c r="A486" s="14">
        <v>4139</v>
      </c>
      <c r="B486" s="3">
        <v>54.241116635322001</v>
      </c>
    </row>
    <row r="487" spans="1:2" ht="15.75" customHeight="1">
      <c r="A487" s="14">
        <v>4170</v>
      </c>
      <c r="B487" s="3">
        <v>57.304026888226652</v>
      </c>
    </row>
    <row r="488" spans="1:2" ht="15.75" customHeight="1">
      <c r="A488" s="14">
        <v>4200</v>
      </c>
      <c r="B488" s="3">
        <v>56.44739578742103</v>
      </c>
    </row>
    <row r="489" spans="1:2" ht="15.75" customHeight="1">
      <c r="A489" s="14">
        <v>4231</v>
      </c>
      <c r="B489" s="3">
        <v>47.629460935755382</v>
      </c>
    </row>
    <row r="490" spans="1:2" ht="15.75" customHeight="1">
      <c r="A490" s="14">
        <v>4262</v>
      </c>
      <c r="B490" s="3">
        <v>40.266339224276656</v>
      </c>
    </row>
    <row r="491" spans="1:2" ht="15.75" customHeight="1">
      <c r="A491" s="14">
        <v>4292</v>
      </c>
      <c r="B491" s="3">
        <v>41.244520557669958</v>
      </c>
    </row>
    <row r="492" spans="1:2" ht="15.75" customHeight="1">
      <c r="A492" s="14">
        <v>4323</v>
      </c>
      <c r="B492" s="3">
        <v>47.700742959264652</v>
      </c>
    </row>
    <row r="493" spans="1:2" ht="15.75" customHeight="1">
      <c r="A493" s="14">
        <v>4353</v>
      </c>
      <c r="B493" s="3">
        <v>48.398602787925562</v>
      </c>
    </row>
    <row r="494" spans="1:2" ht="15.75" customHeight="1">
      <c r="A494" s="14">
        <v>4384</v>
      </c>
      <c r="B494" s="3">
        <v>48.583317473123593</v>
      </c>
    </row>
    <row r="495" spans="1:2" ht="15.75" customHeight="1">
      <c r="A495" s="14">
        <v>4415</v>
      </c>
      <c r="B495" s="3">
        <v>47.129832553893479</v>
      </c>
    </row>
    <row r="496" spans="1:2" ht="15.75" customHeight="1">
      <c r="A496" s="14">
        <v>4444</v>
      </c>
      <c r="B496" s="3">
        <v>52.14116829869991</v>
      </c>
    </row>
    <row r="497" spans="1:2" ht="15.75" customHeight="1">
      <c r="A497" s="14">
        <v>4475</v>
      </c>
      <c r="B497" s="3">
        <v>57.033158489173246</v>
      </c>
    </row>
    <row r="498" spans="1:2" ht="15.75" customHeight="1">
      <c r="A498" s="14">
        <v>4505</v>
      </c>
      <c r="B498" s="3">
        <v>56.817487269884708</v>
      </c>
    </row>
    <row r="499" spans="1:2" ht="15.75" customHeight="1">
      <c r="A499" s="14">
        <v>4536</v>
      </c>
      <c r="B499" s="3">
        <v>56.817487269884708</v>
      </c>
    </row>
    <row r="500" spans="1:2" ht="15.75" customHeight="1">
      <c r="A500" s="14">
        <v>4566</v>
      </c>
      <c r="B500" s="3">
        <v>57.006043786625391</v>
      </c>
    </row>
    <row r="501" spans="1:2" ht="15.75" customHeight="1">
      <c r="A501" s="14">
        <v>4597</v>
      </c>
      <c r="B501" s="3">
        <v>61.036876430389185</v>
      </c>
    </row>
    <row r="502" spans="1:2" ht="15.75" customHeight="1">
      <c r="A502" s="14">
        <v>4628</v>
      </c>
      <c r="B502" s="3">
        <v>61.910893961595853</v>
      </c>
    </row>
    <row r="503" spans="1:2" ht="15.75" customHeight="1">
      <c r="A503" s="14">
        <v>4658</v>
      </c>
      <c r="B503" s="3">
        <v>61.318375761059599</v>
      </c>
    </row>
    <row r="504" spans="1:2" ht="15.75" customHeight="1">
      <c r="A504" s="14">
        <v>4689</v>
      </c>
      <c r="B504" s="3">
        <v>58.028902576320782</v>
      </c>
    </row>
    <row r="505" spans="1:2" ht="15.75" customHeight="1">
      <c r="A505" s="14">
        <v>4719</v>
      </c>
      <c r="B505" s="3">
        <v>49.018297179038363</v>
      </c>
    </row>
    <row r="506" spans="1:2" ht="15.75" customHeight="1">
      <c r="A506" s="14">
        <v>4750</v>
      </c>
      <c r="B506" s="3">
        <v>47.213683984427604</v>
      </c>
    </row>
    <row r="507" spans="1:2" ht="15.75" customHeight="1">
      <c r="A507" s="14">
        <v>4781</v>
      </c>
      <c r="B507" s="3">
        <v>40.577481449173568</v>
      </c>
    </row>
    <row r="508" spans="1:2" ht="15.75" customHeight="1">
      <c r="A508" s="14">
        <v>4809</v>
      </c>
      <c r="B508" s="3">
        <v>37.642220965339618</v>
      </c>
    </row>
    <row r="509" spans="1:2" ht="15.75" customHeight="1">
      <c r="A509" s="14">
        <v>4840</v>
      </c>
      <c r="B509" s="3">
        <v>37.47051437004427</v>
      </c>
    </row>
    <row r="510" spans="1:2" ht="15.75" customHeight="1">
      <c r="A510" s="14">
        <v>4870</v>
      </c>
      <c r="B510" s="3">
        <v>33.518713898344345</v>
      </c>
    </row>
    <row r="511" spans="1:2" ht="15.75" customHeight="1">
      <c r="A511" s="14">
        <v>4901</v>
      </c>
      <c r="B511" s="3">
        <v>27.851215513649592</v>
      </c>
    </row>
    <row r="512" spans="1:2" ht="15.75" customHeight="1">
      <c r="A512" s="14">
        <v>4931</v>
      </c>
      <c r="B512" s="3">
        <v>31.062427370896899</v>
      </c>
    </row>
    <row r="513" spans="1:2" ht="15.75" customHeight="1">
      <c r="A513" s="14">
        <v>4962</v>
      </c>
      <c r="B513" s="3">
        <v>37.092937166013165</v>
      </c>
    </row>
    <row r="514" spans="1:2" ht="15.75" customHeight="1">
      <c r="A514" s="14">
        <v>4993</v>
      </c>
      <c r="B514" s="3">
        <v>39.176568814870507</v>
      </c>
    </row>
    <row r="515" spans="1:2" ht="15.75" customHeight="1">
      <c r="A515" s="14">
        <v>5023</v>
      </c>
      <c r="B515" s="3">
        <v>34.966993443428237</v>
      </c>
    </row>
    <row r="516" spans="1:2" ht="15.75" customHeight="1">
      <c r="A516" s="14">
        <v>5054</v>
      </c>
      <c r="B516" s="3">
        <v>32.079751961113914</v>
      </c>
    </row>
    <row r="517" spans="1:2" ht="15.75" customHeight="1">
      <c r="A517" s="14">
        <v>5084</v>
      </c>
      <c r="B517" s="3">
        <v>31.944486748323385</v>
      </c>
    </row>
    <row r="518" spans="1:2" ht="15.75" customHeight="1">
      <c r="A518" s="14">
        <v>5115</v>
      </c>
      <c r="B518" s="3">
        <v>40.813519474255116</v>
      </c>
    </row>
    <row r="519" spans="1:2" ht="15.75" customHeight="1">
      <c r="A519" s="14">
        <v>5146</v>
      </c>
      <c r="B519" s="3">
        <v>43.458623459939496</v>
      </c>
    </row>
    <row r="520" spans="1:2" ht="15.75" customHeight="1">
      <c r="A520" s="14">
        <v>5174</v>
      </c>
      <c r="B520" s="3">
        <v>40.61532684806015</v>
      </c>
    </row>
    <row r="521" spans="1:2" ht="15.75" customHeight="1">
      <c r="A521" s="14">
        <v>5205</v>
      </c>
      <c r="B521" s="3">
        <v>37.32777228176105</v>
      </c>
    </row>
    <row r="522" spans="1:2" ht="15.75" customHeight="1">
      <c r="A522" s="14">
        <v>5235</v>
      </c>
      <c r="B522" s="3">
        <v>38.664429712462464</v>
      </c>
    </row>
    <row r="523" spans="1:2" ht="15.75" customHeight="1">
      <c r="A523" s="14">
        <v>5266</v>
      </c>
      <c r="B523" s="3">
        <v>37.966802081239791</v>
      </c>
    </row>
    <row r="524" spans="1:2" ht="15.75" customHeight="1">
      <c r="A524" s="14">
        <v>5296</v>
      </c>
      <c r="B524" s="3">
        <v>31.156093872604558</v>
      </c>
    </row>
    <row r="525" spans="1:2" ht="15.75" customHeight="1">
      <c r="A525" s="14">
        <v>5327</v>
      </c>
      <c r="B525" s="3">
        <v>31.156093872604558</v>
      </c>
    </row>
    <row r="526" spans="1:2" ht="15.75" customHeight="1">
      <c r="A526" s="14">
        <v>5358</v>
      </c>
      <c r="B526" s="3">
        <v>31.156093872604558</v>
      </c>
    </row>
    <row r="527" spans="1:2" ht="15.75" customHeight="1">
      <c r="A527" s="14">
        <v>5388</v>
      </c>
      <c r="B527" s="3">
        <v>31.156093872604558</v>
      </c>
    </row>
    <row r="528" spans="1:2" ht="15.75" customHeight="1">
      <c r="A528" s="14">
        <v>5419</v>
      </c>
      <c r="B528" s="3">
        <v>31.156093872604558</v>
      </c>
    </row>
    <row r="529" spans="1:2" ht="15.75" customHeight="1">
      <c r="A529" s="14">
        <v>5449</v>
      </c>
      <c r="B529" s="3">
        <v>26.169456361558346</v>
      </c>
    </row>
    <row r="530" spans="1:2" ht="15.75" customHeight="1">
      <c r="A530" s="14">
        <v>5480</v>
      </c>
      <c r="B530" s="3">
        <v>30.863896351774102</v>
      </c>
    </row>
    <row r="531" spans="1:2" ht="15.75" customHeight="1">
      <c r="A531" s="14">
        <v>5511</v>
      </c>
      <c r="B531" s="3">
        <v>29.319544424577202</v>
      </c>
    </row>
    <row r="532" spans="1:2" ht="15.75" customHeight="1">
      <c r="A532" s="14">
        <v>5539</v>
      </c>
      <c r="B532" s="3">
        <v>35.884020752061247</v>
      </c>
    </row>
    <row r="533" spans="1:2" ht="15.75" customHeight="1">
      <c r="A533" s="14">
        <v>5570</v>
      </c>
      <c r="B533" s="3">
        <v>50.682254936060509</v>
      </c>
    </row>
    <row r="534" spans="1:2" ht="15.75" customHeight="1">
      <c r="A534" s="14">
        <v>5600</v>
      </c>
      <c r="B534" s="3">
        <v>46.804382121011372</v>
      </c>
    </row>
    <row r="535" spans="1:2" ht="15.75" customHeight="1">
      <c r="A535" s="14">
        <v>5631</v>
      </c>
      <c r="B535" s="3">
        <v>48.802672136366354</v>
      </c>
    </row>
    <row r="536" spans="1:2" ht="15.75" customHeight="1">
      <c r="A536" s="14">
        <v>5661</v>
      </c>
      <c r="B536" s="3">
        <v>48.153331726698255</v>
      </c>
    </row>
    <row r="537" spans="1:2" ht="15.75" customHeight="1">
      <c r="A537" s="14">
        <v>5692</v>
      </c>
      <c r="B537" s="3">
        <v>55.396665553913593</v>
      </c>
    </row>
    <row r="538" spans="1:2" ht="15.75" customHeight="1">
      <c r="A538" s="14">
        <v>5723</v>
      </c>
      <c r="B538" s="3">
        <v>60.77718131980901</v>
      </c>
    </row>
    <row r="539" spans="1:2" ht="15.75" customHeight="1">
      <c r="A539" s="14">
        <v>5753</v>
      </c>
      <c r="B539" s="3">
        <v>67.345621269660597</v>
      </c>
    </row>
    <row r="540" spans="1:2" ht="15.75" customHeight="1">
      <c r="A540" s="14">
        <v>5784</v>
      </c>
      <c r="B540" s="3">
        <v>70.850319698602732</v>
      </c>
    </row>
    <row r="541" spans="1:2" ht="15.75" customHeight="1">
      <c r="A541" s="14">
        <v>5814</v>
      </c>
      <c r="B541" s="3">
        <v>71.059384869091858</v>
      </c>
    </row>
    <row r="542" spans="1:2" ht="15.75" customHeight="1">
      <c r="A542" s="14">
        <v>5845</v>
      </c>
      <c r="B542" s="3">
        <v>67.168405937063994</v>
      </c>
    </row>
    <row r="543" spans="1:2" ht="15.75" customHeight="1">
      <c r="A543" s="14">
        <v>5876</v>
      </c>
      <c r="B543" s="3">
        <v>63.902583068562336</v>
      </c>
    </row>
    <row r="544" spans="1:2" ht="15.75" customHeight="1">
      <c r="A544" s="14">
        <v>5905</v>
      </c>
      <c r="B544" s="3">
        <v>63.139639757683341</v>
      </c>
    </row>
    <row r="545" spans="1:2" ht="15.75" customHeight="1">
      <c r="A545" s="14">
        <v>5936</v>
      </c>
      <c r="B545" s="3">
        <v>60.544779430591007</v>
      </c>
    </row>
    <row r="546" spans="1:2" ht="15.75" customHeight="1">
      <c r="A546" s="14">
        <v>5966</v>
      </c>
      <c r="B546" s="3">
        <v>63.753233561506377</v>
      </c>
    </row>
    <row r="547" spans="1:2" ht="15.75" customHeight="1">
      <c r="A547" s="14">
        <v>5997</v>
      </c>
      <c r="B547" s="3">
        <v>65.127502127453056</v>
      </c>
    </row>
    <row r="548" spans="1:2" ht="15.75" customHeight="1">
      <c r="A548" s="14">
        <v>6027</v>
      </c>
      <c r="B548" s="3">
        <v>61.500352474406277</v>
      </c>
    </row>
    <row r="549" spans="1:2" ht="15.75" customHeight="1">
      <c r="A549" s="14">
        <v>6058</v>
      </c>
      <c r="B549" s="3">
        <v>62.704814724139574</v>
      </c>
    </row>
    <row r="550" spans="1:2" ht="15.75" customHeight="1">
      <c r="A550" s="14">
        <v>6089</v>
      </c>
      <c r="B550" s="3">
        <v>68.47131746748164</v>
      </c>
    </row>
    <row r="551" spans="1:2" ht="15.75" customHeight="1">
      <c r="A551" s="14">
        <v>6119</v>
      </c>
      <c r="B551" s="3">
        <v>72.134428106431159</v>
      </c>
    </row>
    <row r="552" spans="1:2" ht="15.75" customHeight="1">
      <c r="A552" s="14">
        <v>6150</v>
      </c>
      <c r="B552" s="3">
        <v>74.573486975708832</v>
      </c>
    </row>
    <row r="553" spans="1:2" ht="15.75" customHeight="1">
      <c r="A553" s="14">
        <v>6180</v>
      </c>
      <c r="B553" s="3">
        <v>63.84535024876201</v>
      </c>
    </row>
    <row r="554" spans="1:2" ht="15.75" customHeight="1">
      <c r="A554" s="14">
        <v>6211</v>
      </c>
      <c r="B554" s="3">
        <v>58.740249701326363</v>
      </c>
    </row>
    <row r="555" spans="1:2" ht="15.75" customHeight="1">
      <c r="A555" s="14">
        <v>6242</v>
      </c>
      <c r="B555" s="3">
        <v>48.861680753641878</v>
      </c>
    </row>
    <row r="556" spans="1:2" ht="15.75" customHeight="1">
      <c r="A556" s="14">
        <v>6270</v>
      </c>
      <c r="B556" s="3">
        <v>53.251760989023325</v>
      </c>
    </row>
    <row r="557" spans="1:2" ht="15.75" customHeight="1">
      <c r="A557" s="14">
        <v>6301</v>
      </c>
      <c r="B557" s="3">
        <v>50.898937164444334</v>
      </c>
    </row>
    <row r="558" spans="1:2" ht="15.75" customHeight="1">
      <c r="A558" s="14">
        <v>6331</v>
      </c>
      <c r="B558" s="3">
        <v>46.04740477575448</v>
      </c>
    </row>
    <row r="559" spans="1:2" ht="15.75" customHeight="1">
      <c r="A559" s="14">
        <v>6362</v>
      </c>
      <c r="B559" s="3">
        <v>49.082239271125083</v>
      </c>
    </row>
    <row r="560" spans="1:2" ht="15.75" customHeight="1">
      <c r="A560" s="14">
        <v>6392</v>
      </c>
      <c r="B560" s="3">
        <v>45.273195138248198</v>
      </c>
    </row>
    <row r="561" spans="1:2" ht="15.75" customHeight="1">
      <c r="A561" s="14">
        <v>6423</v>
      </c>
      <c r="B561" s="3">
        <v>41.65281620590649</v>
      </c>
    </row>
    <row r="562" spans="1:2" ht="15.75" customHeight="1">
      <c r="A562" s="14">
        <v>6454</v>
      </c>
      <c r="B562" s="3">
        <v>36.672584051008982</v>
      </c>
    </row>
    <row r="563" spans="1:2" ht="15.75" customHeight="1">
      <c r="A563" s="14">
        <v>6484</v>
      </c>
      <c r="B563" s="3">
        <v>32.220251029548407</v>
      </c>
    </row>
    <row r="564" spans="1:2" ht="15.75" customHeight="1">
      <c r="A564" s="14">
        <v>6515</v>
      </c>
      <c r="B564" s="3">
        <v>27.071813389245335</v>
      </c>
    </row>
    <row r="565" spans="1:2" ht="15.75" customHeight="1">
      <c r="A565" s="14">
        <v>6545</v>
      </c>
      <c r="B565" s="3">
        <v>25.43076313411359</v>
      </c>
    </row>
    <row r="566" spans="1:2" ht="15.75" customHeight="1">
      <c r="A566" s="14">
        <v>6576</v>
      </c>
      <c r="B566" s="3">
        <v>32.912515654644963</v>
      </c>
    </row>
    <row r="567" spans="1:2" ht="15.75" customHeight="1">
      <c r="A567" s="14">
        <v>6607</v>
      </c>
      <c r="B567" s="3">
        <v>36.588992227065368</v>
      </c>
    </row>
    <row r="568" spans="1:2" ht="15.75" customHeight="1">
      <c r="A568" s="14">
        <v>6635</v>
      </c>
      <c r="B568" s="3">
        <v>35.17365146886678</v>
      </c>
    </row>
    <row r="569" spans="1:2" ht="15.75" customHeight="1">
      <c r="A569" s="14">
        <v>6666</v>
      </c>
      <c r="B569" s="3">
        <v>34.502906064627837</v>
      </c>
    </row>
    <row r="570" spans="1:2" ht="15.75" customHeight="1">
      <c r="A570" s="14">
        <v>6696</v>
      </c>
      <c r="B570" s="3">
        <v>38.643077258163359</v>
      </c>
    </row>
    <row r="571" spans="1:2" ht="15.75" customHeight="1">
      <c r="A571" s="14">
        <v>6727</v>
      </c>
      <c r="B571" s="3">
        <v>38.824141706923307</v>
      </c>
    </row>
    <row r="572" spans="1:2" ht="15.75" customHeight="1">
      <c r="A572" s="14">
        <v>6757</v>
      </c>
      <c r="B572" s="3">
        <v>39.968817370442643</v>
      </c>
    </row>
    <row r="573" spans="1:2" ht="15.75" customHeight="1">
      <c r="A573" s="14">
        <v>6788</v>
      </c>
      <c r="B573" s="3">
        <v>41.34767393676956</v>
      </c>
    </row>
    <row r="574" spans="1:2" ht="15.75" customHeight="1">
      <c r="A574" s="14">
        <v>6819</v>
      </c>
      <c r="B574" s="3">
        <v>40.771379753757905</v>
      </c>
    </row>
    <row r="575" spans="1:2" ht="15.75" customHeight="1">
      <c r="A575" s="14">
        <v>6849</v>
      </c>
      <c r="B575" s="3">
        <v>47.121043140309624</v>
      </c>
    </row>
    <row r="576" spans="1:2" ht="15.75" customHeight="1">
      <c r="A576" s="14">
        <v>6880</v>
      </c>
      <c r="B576" s="3">
        <v>50.679878718596449</v>
      </c>
    </row>
    <row r="577" spans="1:2" ht="15.75" customHeight="1">
      <c r="A577" s="14">
        <v>6910</v>
      </c>
      <c r="B577" s="3">
        <v>47.902362233357159</v>
      </c>
    </row>
    <row r="578" spans="1:2" ht="15.75" customHeight="1">
      <c r="A578" s="14">
        <v>6941</v>
      </c>
      <c r="B578" s="3">
        <v>47.034850119689956</v>
      </c>
    </row>
    <row r="579" spans="1:2" ht="15.75" customHeight="1">
      <c r="A579" s="14">
        <v>6972</v>
      </c>
      <c r="B579" s="3">
        <v>47.647471588523146</v>
      </c>
    </row>
    <row r="580" spans="1:2" ht="15.75" customHeight="1">
      <c r="A580" s="14">
        <v>7000</v>
      </c>
      <c r="B580" s="3">
        <v>52.391638021225781</v>
      </c>
    </row>
    <row r="581" spans="1:2" ht="15.75" customHeight="1">
      <c r="A581" s="14">
        <v>7031</v>
      </c>
      <c r="B581" s="3">
        <v>57.10143538191064</v>
      </c>
    </row>
    <row r="582" spans="1:2" ht="15.75" customHeight="1">
      <c r="A582" s="14">
        <v>7061</v>
      </c>
      <c r="B582" s="3">
        <v>65.090733381725016</v>
      </c>
    </row>
    <row r="583" spans="1:2" ht="15.75" customHeight="1">
      <c r="A583" s="14">
        <v>7092</v>
      </c>
      <c r="B583" s="3">
        <v>67.76589148840614</v>
      </c>
    </row>
    <row r="584" spans="1:2" ht="15.75" customHeight="1">
      <c r="A584" s="14">
        <v>7122</v>
      </c>
      <c r="B584" s="3">
        <v>70.780155738847483</v>
      </c>
    </row>
    <row r="585" spans="1:2" ht="15.75" customHeight="1">
      <c r="A585" s="14">
        <v>7153</v>
      </c>
      <c r="B585" s="3">
        <v>58.263088990123663</v>
      </c>
    </row>
    <row r="586" spans="1:2" ht="15.75" customHeight="1">
      <c r="A586" s="14">
        <v>7184</v>
      </c>
      <c r="B586" s="3">
        <v>59.932325725949546</v>
      </c>
    </row>
    <row r="587" spans="1:2" ht="15.75" customHeight="1">
      <c r="A587" s="14">
        <v>7214</v>
      </c>
      <c r="B587" s="3">
        <v>64.899660467166456</v>
      </c>
    </row>
    <row r="588" spans="1:2" ht="15.75" customHeight="1">
      <c r="A588" s="14">
        <v>7245</v>
      </c>
      <c r="B588" s="3">
        <v>60.021864212415906</v>
      </c>
    </row>
    <row r="589" spans="1:2" ht="15.75" customHeight="1">
      <c r="A589" s="14">
        <v>7275</v>
      </c>
      <c r="B589" s="3">
        <v>55.676338593068643</v>
      </c>
    </row>
    <row r="590" spans="1:2" ht="15.75" customHeight="1">
      <c r="A590" s="14">
        <v>7306</v>
      </c>
      <c r="B590" s="3">
        <v>54.265997836485255</v>
      </c>
    </row>
    <row r="591" spans="1:2" ht="15.75" customHeight="1">
      <c r="A591" s="14">
        <v>7337</v>
      </c>
      <c r="B591" s="3">
        <v>44.43414719190018</v>
      </c>
    </row>
    <row r="592" spans="1:2" ht="15.75" customHeight="1">
      <c r="A592" s="14">
        <v>7366</v>
      </c>
      <c r="B592" s="3">
        <v>51.780427772877104</v>
      </c>
    </row>
    <row r="593" spans="1:2" ht="15.75" customHeight="1">
      <c r="A593" s="14">
        <v>7397</v>
      </c>
      <c r="B593" s="3">
        <v>50.890601994006168</v>
      </c>
    </row>
    <row r="594" spans="1:2" ht="15.75" customHeight="1">
      <c r="A594" s="14">
        <v>7427</v>
      </c>
      <c r="B594" s="3">
        <v>44.532892789720961</v>
      </c>
    </row>
    <row r="595" spans="1:2" ht="15.75" customHeight="1">
      <c r="A595" s="14">
        <v>7458</v>
      </c>
      <c r="B595" s="3">
        <v>43.031920215642643</v>
      </c>
    </row>
    <row r="596" spans="1:2" ht="15.75" customHeight="1">
      <c r="A596" s="14">
        <v>7488</v>
      </c>
      <c r="B596" s="3">
        <v>42.920640836218162</v>
      </c>
    </row>
    <row r="597" spans="1:2" ht="15.75" customHeight="1">
      <c r="A597" s="14">
        <v>7519</v>
      </c>
      <c r="B597" s="3">
        <v>39.509700782629324</v>
      </c>
    </row>
    <row r="598" spans="1:2" ht="15.75" customHeight="1">
      <c r="A598" s="14">
        <v>7550</v>
      </c>
      <c r="B598" s="3">
        <v>43.705912810747634</v>
      </c>
    </row>
    <row r="599" spans="1:2" ht="15.75" customHeight="1">
      <c r="A599" s="14">
        <v>7580</v>
      </c>
      <c r="B599" s="3">
        <v>43.861242833009626</v>
      </c>
    </row>
    <row r="600" spans="1:2" ht="15.75" customHeight="1">
      <c r="A600" s="14">
        <v>7611</v>
      </c>
      <c r="B600" s="3">
        <v>39.201710641895843</v>
      </c>
    </row>
    <row r="601" spans="1:2" ht="15.75" customHeight="1">
      <c r="A601" s="14">
        <v>7641</v>
      </c>
      <c r="B601" s="3">
        <v>32.897584569562298</v>
      </c>
    </row>
    <row r="602" spans="1:2" ht="15.75" customHeight="1">
      <c r="A602" s="14">
        <v>7672</v>
      </c>
      <c r="B602" s="3">
        <v>37.726548315008827</v>
      </c>
    </row>
    <row r="603" spans="1:2" ht="15.75" customHeight="1">
      <c r="A603" s="14">
        <v>7703</v>
      </c>
      <c r="B603" s="3">
        <v>37.245462451628093</v>
      </c>
    </row>
    <row r="604" spans="1:2" ht="15.75" customHeight="1">
      <c r="A604" s="14">
        <v>7731</v>
      </c>
      <c r="B604" s="3">
        <v>35.490858081324632</v>
      </c>
    </row>
    <row r="605" spans="1:2" ht="15.75" customHeight="1">
      <c r="A605" s="14">
        <v>7762</v>
      </c>
      <c r="B605" s="3">
        <v>36.031741658442499</v>
      </c>
    </row>
    <row r="606" spans="1:2" ht="15.75" customHeight="1">
      <c r="A606" s="14">
        <v>7792</v>
      </c>
      <c r="B606" s="3">
        <v>39.834615761835352</v>
      </c>
    </row>
    <row r="607" spans="1:2" ht="15.75" customHeight="1">
      <c r="A607" s="14">
        <v>7823</v>
      </c>
      <c r="B607" s="3">
        <v>33.937177699117825</v>
      </c>
    </row>
    <row r="608" spans="1:2" ht="15.75" customHeight="1">
      <c r="A608" s="14">
        <v>7853</v>
      </c>
      <c r="B608" s="3">
        <v>33.748380513268103</v>
      </c>
    </row>
    <row r="609" spans="1:2" ht="15.75" customHeight="1">
      <c r="A609" s="14">
        <v>7884</v>
      </c>
      <c r="B609" s="3">
        <v>32.958552383654364</v>
      </c>
    </row>
    <row r="610" spans="1:2" ht="15.75" customHeight="1">
      <c r="A610" s="14">
        <v>7915</v>
      </c>
      <c r="B610" s="3">
        <v>36.175766366890429</v>
      </c>
    </row>
    <row r="611" spans="1:2" ht="15.75" customHeight="1">
      <c r="A611" s="14">
        <v>7945</v>
      </c>
      <c r="B611" s="3">
        <v>37.978719763511712</v>
      </c>
    </row>
    <row r="612" spans="1:2" ht="15.75" customHeight="1">
      <c r="A612" s="14">
        <v>7976</v>
      </c>
      <c r="B612" s="3">
        <v>44.707133272396256</v>
      </c>
    </row>
    <row r="613" spans="1:2" ht="15.75" customHeight="1">
      <c r="A613" s="14">
        <v>8006</v>
      </c>
      <c r="B613" s="3">
        <v>48.856524427768989</v>
      </c>
    </row>
    <row r="614" spans="1:2" ht="15.75" customHeight="1">
      <c r="A614" s="14">
        <v>8037</v>
      </c>
      <c r="B614" s="3">
        <v>48.699096836163591</v>
      </c>
    </row>
    <row r="615" spans="1:2" ht="15.75" customHeight="1">
      <c r="A615" s="14">
        <v>8068</v>
      </c>
      <c r="B615" s="3">
        <v>51.397586652232327</v>
      </c>
    </row>
    <row r="616" spans="1:2" ht="15.75" customHeight="1">
      <c r="A616" s="14">
        <v>8096</v>
      </c>
      <c r="B616" s="3">
        <v>55.781137704736047</v>
      </c>
    </row>
    <row r="617" spans="1:2" ht="15.75" customHeight="1">
      <c r="A617" s="14">
        <v>8127</v>
      </c>
      <c r="B617" s="3">
        <v>61.979912472128127</v>
      </c>
    </row>
    <row r="618" spans="1:2" ht="15.75" customHeight="1">
      <c r="A618" s="14">
        <v>8157</v>
      </c>
      <c r="B618" s="3">
        <v>65.52361173939245</v>
      </c>
    </row>
    <row r="619" spans="1:2" ht="15.75" customHeight="1">
      <c r="A619" s="14">
        <v>8188</v>
      </c>
      <c r="B619" s="3">
        <v>63.919618214362373</v>
      </c>
    </row>
    <row r="620" spans="1:2" ht="15.75" customHeight="1">
      <c r="A620" s="14">
        <v>8218</v>
      </c>
      <c r="B620" s="3">
        <v>64.619168225633658</v>
      </c>
    </row>
    <row r="621" spans="1:2" ht="15.75" customHeight="1">
      <c r="A621" s="14">
        <v>8249</v>
      </c>
      <c r="B621" s="3">
        <v>68.164396041988539</v>
      </c>
    </row>
    <row r="622" spans="1:2" ht="15.75" customHeight="1">
      <c r="A622" s="14">
        <v>8280</v>
      </c>
      <c r="B622" s="3">
        <v>70.45584517621387</v>
      </c>
    </row>
    <row r="623" spans="1:2" ht="15.75" customHeight="1">
      <c r="A623" s="14">
        <v>8310</v>
      </c>
      <c r="B623" s="3">
        <v>72.321480786447353</v>
      </c>
    </row>
    <row r="624" spans="1:2" ht="15.75" customHeight="1">
      <c r="A624" s="14">
        <v>8341</v>
      </c>
      <c r="B624" s="3">
        <v>62.539590162321389</v>
      </c>
    </row>
    <row r="625" spans="1:2" ht="15.75" customHeight="1">
      <c r="A625" s="14">
        <v>8371</v>
      </c>
      <c r="B625" s="3">
        <v>62.146016852989838</v>
      </c>
    </row>
    <row r="626" spans="1:2" ht="15.75" customHeight="1">
      <c r="A626" s="14">
        <v>8402</v>
      </c>
      <c r="B626" s="3">
        <v>63.625151580374407</v>
      </c>
    </row>
    <row r="627" spans="1:2" ht="15.75" customHeight="1">
      <c r="A627" s="14">
        <v>8433</v>
      </c>
      <c r="B627" s="3">
        <v>67.902324124341163</v>
      </c>
    </row>
    <row r="628" spans="1:2" ht="15.75" customHeight="1">
      <c r="A628" s="14">
        <v>8461</v>
      </c>
      <c r="B628" s="3">
        <v>69.430375740816089</v>
      </c>
    </row>
    <row r="629" spans="1:2" ht="15.75" customHeight="1">
      <c r="A629" s="14">
        <v>8492</v>
      </c>
      <c r="B629" s="3">
        <v>62.393044703326112</v>
      </c>
    </row>
    <row r="630" spans="1:2" ht="15.75" customHeight="1">
      <c r="A630" s="14">
        <v>8522</v>
      </c>
      <c r="B630" s="3">
        <v>54.623787889588854</v>
      </c>
    </row>
    <row r="631" spans="1:2" ht="15.75" customHeight="1">
      <c r="A631" s="14">
        <v>8553</v>
      </c>
      <c r="B631" s="3">
        <v>49.526798588970905</v>
      </c>
    </row>
    <row r="632" spans="1:2" ht="15.75" customHeight="1">
      <c r="A632" s="14">
        <v>8583</v>
      </c>
      <c r="B632" s="3">
        <v>45.635756422449127</v>
      </c>
    </row>
    <row r="633" spans="1:2" ht="15.75" customHeight="1">
      <c r="A633" s="14">
        <v>8614</v>
      </c>
      <c r="B633" s="3">
        <v>46.285000357936518</v>
      </c>
    </row>
    <row r="634" spans="1:2" ht="15.75" customHeight="1">
      <c r="A634" s="14">
        <v>8645</v>
      </c>
      <c r="B634" s="3">
        <v>47.134882011474424</v>
      </c>
    </row>
    <row r="635" spans="1:2" ht="15.75" customHeight="1">
      <c r="A635" s="14">
        <v>8675</v>
      </c>
      <c r="B635" s="3">
        <v>45.283079143823741</v>
      </c>
    </row>
    <row r="636" spans="1:2" ht="15.75" customHeight="1">
      <c r="A636" s="14">
        <v>8706</v>
      </c>
      <c r="B636" s="3">
        <v>49.55193526752894</v>
      </c>
    </row>
    <row r="637" spans="1:2" ht="15.75" customHeight="1">
      <c r="A637" s="14">
        <v>8736</v>
      </c>
      <c r="B637" s="3">
        <v>54.055485464829161</v>
      </c>
    </row>
    <row r="638" spans="1:2" ht="15.75" customHeight="1">
      <c r="A638" s="14">
        <v>8767</v>
      </c>
      <c r="B638" s="3">
        <v>58.085100935328413</v>
      </c>
    </row>
    <row r="639" spans="1:2" ht="15.75" customHeight="1">
      <c r="A639" s="14">
        <v>8798</v>
      </c>
      <c r="B639" s="3">
        <v>58.643139413221256</v>
      </c>
    </row>
    <row r="640" spans="1:2" ht="15.75" customHeight="1">
      <c r="A640" s="14">
        <v>8827</v>
      </c>
      <c r="B640" s="3">
        <v>55.27494132910499</v>
      </c>
    </row>
    <row r="641" spans="1:2" ht="15.75" customHeight="1">
      <c r="A641" s="14">
        <v>8858</v>
      </c>
      <c r="B641" s="3">
        <v>51.525485329442461</v>
      </c>
    </row>
    <row r="642" spans="1:2" ht="15.75" customHeight="1">
      <c r="A642" s="14">
        <v>8888</v>
      </c>
      <c r="B642" s="3">
        <v>50.967008630172266</v>
      </c>
    </row>
    <row r="643" spans="1:2" ht="15.75" customHeight="1">
      <c r="A643" s="14">
        <v>8919</v>
      </c>
      <c r="B643" s="3">
        <v>53.840609484773211</v>
      </c>
    </row>
    <row r="644" spans="1:2" ht="15.75" customHeight="1">
      <c r="A644" s="14">
        <v>8949</v>
      </c>
      <c r="B644" s="3">
        <v>60.131256240196919</v>
      </c>
    </row>
    <row r="645" spans="1:2" ht="15.75" customHeight="1">
      <c r="A645" s="14">
        <v>8980</v>
      </c>
      <c r="B645" s="3">
        <v>64.202897392722633</v>
      </c>
    </row>
    <row r="646" spans="1:2" ht="15.75" customHeight="1">
      <c r="A646" s="14">
        <v>9011</v>
      </c>
      <c r="B646" s="3">
        <v>62.216314355241643</v>
      </c>
    </row>
    <row r="647" spans="1:2" ht="15.75" customHeight="1">
      <c r="A647" s="14">
        <v>9041</v>
      </c>
      <c r="B647" s="3">
        <v>59.569640108413999</v>
      </c>
    </row>
    <row r="648" spans="1:2" ht="15.75" customHeight="1">
      <c r="A648" s="14">
        <v>9072</v>
      </c>
      <c r="B648" s="3">
        <v>66.158616280747339</v>
      </c>
    </row>
    <row r="649" spans="1:2" ht="15.75" customHeight="1">
      <c r="A649" s="14">
        <v>9102</v>
      </c>
      <c r="B649" s="3">
        <v>71.295283619589625</v>
      </c>
    </row>
    <row r="650" spans="1:2" ht="15.75" customHeight="1">
      <c r="A650" s="14">
        <v>9133</v>
      </c>
      <c r="B650" s="3">
        <v>74.643089694239507</v>
      </c>
    </row>
    <row r="651" spans="1:2" ht="15.75" customHeight="1">
      <c r="A651" s="14">
        <v>9164</v>
      </c>
      <c r="B651" s="3">
        <v>75.307669315401412</v>
      </c>
    </row>
    <row r="652" spans="1:2" ht="15.75" customHeight="1">
      <c r="A652" s="14">
        <v>9192</v>
      </c>
      <c r="B652" s="3">
        <v>69.228608436880222</v>
      </c>
    </row>
    <row r="653" spans="1:2" ht="15.75" customHeight="1">
      <c r="A653" s="14">
        <v>9223</v>
      </c>
      <c r="B653" s="3">
        <v>66.942389420658941</v>
      </c>
    </row>
    <row r="654" spans="1:2" ht="15.75" customHeight="1">
      <c r="A654" s="14">
        <v>9253</v>
      </c>
      <c r="B654" s="3">
        <v>70.129390783140295</v>
      </c>
    </row>
    <row r="655" spans="1:2" ht="15.75" customHeight="1">
      <c r="A655" s="14">
        <v>9284</v>
      </c>
      <c r="B655" s="3">
        <v>71.814254069774961</v>
      </c>
    </row>
    <row r="656" spans="1:2" ht="15.75" customHeight="1">
      <c r="A656" s="14">
        <v>9314</v>
      </c>
      <c r="B656" s="3">
        <v>74.281013382463854</v>
      </c>
    </row>
    <row r="657" spans="1:2" ht="15.75" customHeight="1">
      <c r="A657" s="14">
        <v>9345</v>
      </c>
      <c r="B657" s="3">
        <v>75.438476682922115</v>
      </c>
    </row>
    <row r="658" spans="1:2" ht="15.75" customHeight="1">
      <c r="A658" s="14">
        <v>9376</v>
      </c>
      <c r="B658" s="3">
        <v>77.341933370979262</v>
      </c>
    </row>
    <row r="659" spans="1:2" ht="15.75" customHeight="1">
      <c r="A659" s="14">
        <v>9406</v>
      </c>
      <c r="B659" s="3">
        <v>79.805254425013629</v>
      </c>
    </row>
    <row r="660" spans="1:2" ht="15.75" customHeight="1">
      <c r="A660" s="14">
        <v>9437</v>
      </c>
      <c r="B660" s="3">
        <v>81.871845604472128</v>
      </c>
    </row>
    <row r="661" spans="1:2" ht="15.75" customHeight="1">
      <c r="A661" s="14">
        <v>9467</v>
      </c>
      <c r="B661" s="3">
        <v>82.891030530345517</v>
      </c>
    </row>
    <row r="662" spans="1:2" ht="15.75" customHeight="1">
      <c r="A662" s="14">
        <v>9498</v>
      </c>
      <c r="B662" s="3">
        <v>83.821588770623066</v>
      </c>
    </row>
    <row r="663" spans="1:2" ht="15.75" customHeight="1">
      <c r="A663" s="14">
        <v>9529</v>
      </c>
      <c r="B663" s="3">
        <v>83.920728369613428</v>
      </c>
    </row>
    <row r="664" spans="1:2" ht="15.75" customHeight="1">
      <c r="A664" s="14">
        <v>9557</v>
      </c>
      <c r="B664" s="3">
        <v>65.370600720671547</v>
      </c>
    </row>
    <row r="665" spans="1:2" ht="15.75" customHeight="1">
      <c r="A665" s="14">
        <v>9588</v>
      </c>
      <c r="B665" s="3">
        <v>59.899196205336608</v>
      </c>
    </row>
    <row r="666" spans="1:2" ht="15.75" customHeight="1">
      <c r="A666" s="14">
        <v>9618</v>
      </c>
      <c r="B666" s="3">
        <v>60.756712654223371</v>
      </c>
    </row>
    <row r="667" spans="1:2" ht="15.75" customHeight="1">
      <c r="A667" s="14">
        <v>9649</v>
      </c>
      <c r="B667" s="3">
        <v>66.120630173296561</v>
      </c>
    </row>
    <row r="668" spans="1:2" ht="15.75" customHeight="1">
      <c r="A668" s="14">
        <v>9679</v>
      </c>
      <c r="B668" s="3">
        <v>70.189535820189633</v>
      </c>
    </row>
    <row r="669" spans="1:2" ht="15.75" customHeight="1">
      <c r="A669" s="14">
        <v>9710</v>
      </c>
      <c r="B669" s="3">
        <v>73.544190776273908</v>
      </c>
    </row>
    <row r="670" spans="1:2" ht="15.75" customHeight="1">
      <c r="A670" s="14">
        <v>9741</v>
      </c>
      <c r="B670" s="3">
        <v>74.767359838471933</v>
      </c>
    </row>
    <row r="671" spans="1:2" ht="15.75" customHeight="1">
      <c r="A671" s="14">
        <v>9771</v>
      </c>
      <c r="B671" s="3">
        <v>69.571329447379711</v>
      </c>
    </row>
    <row r="672" spans="1:2" ht="15.75" customHeight="1">
      <c r="A672" s="14">
        <v>9802</v>
      </c>
      <c r="B672" s="3">
        <v>70.809316906843662</v>
      </c>
    </row>
    <row r="673" spans="1:2" ht="15.75" customHeight="1">
      <c r="A673" s="14">
        <v>9832</v>
      </c>
      <c r="B673" s="3">
        <v>72.904345389075019</v>
      </c>
    </row>
    <row r="674" spans="1:2" ht="15.75" customHeight="1">
      <c r="A674" s="14">
        <v>9863</v>
      </c>
      <c r="B674" s="3">
        <v>71.252193949750179</v>
      </c>
    </row>
    <row r="675" spans="1:2" ht="15.75" customHeight="1">
      <c r="A675" s="14">
        <v>9894</v>
      </c>
      <c r="B675" s="3">
        <v>73.145533427186493</v>
      </c>
    </row>
    <row r="676" spans="1:2" ht="15.75" customHeight="1">
      <c r="A676" s="14">
        <v>9922</v>
      </c>
      <c r="B676" s="3">
        <v>74.600584181208106</v>
      </c>
    </row>
    <row r="677" spans="1:2" ht="15.75" customHeight="1">
      <c r="A677" s="14">
        <v>9953</v>
      </c>
      <c r="B677" s="3">
        <v>76.79300919352886</v>
      </c>
    </row>
    <row r="678" spans="1:2" ht="15.75" customHeight="1">
      <c r="A678" s="14">
        <v>9983</v>
      </c>
      <c r="B678" s="3">
        <v>79.534713951127046</v>
      </c>
    </row>
    <row r="679" spans="1:2" ht="15.75" customHeight="1">
      <c r="A679" s="14">
        <v>10014</v>
      </c>
      <c r="B679" s="3">
        <v>80.49687604006516</v>
      </c>
    </row>
    <row r="680" spans="1:2" ht="15.75" customHeight="1">
      <c r="A680" s="14">
        <v>10044</v>
      </c>
      <c r="B680" s="3">
        <v>82.07330923376243</v>
      </c>
    </row>
    <row r="681" spans="1:2" ht="15.75" customHeight="1">
      <c r="A681" s="14">
        <v>10075</v>
      </c>
      <c r="B681" s="3">
        <v>85.229255127840403</v>
      </c>
    </row>
    <row r="682" spans="1:2" ht="15.75" customHeight="1">
      <c r="A682" s="14">
        <v>10106</v>
      </c>
      <c r="B682" s="3">
        <v>87.822918906664341</v>
      </c>
    </row>
    <row r="683" spans="1:2" ht="15.75" customHeight="1">
      <c r="A683" s="14">
        <v>10136</v>
      </c>
      <c r="B683" s="3">
        <v>83.32115022164183</v>
      </c>
    </row>
    <row r="684" spans="1:2" ht="15.75" customHeight="1">
      <c r="A684" s="14">
        <v>10167</v>
      </c>
      <c r="B684" s="3">
        <v>84.566349610029889</v>
      </c>
    </row>
    <row r="685" spans="1:2" ht="15.75" customHeight="1">
      <c r="A685" s="14">
        <v>10197</v>
      </c>
      <c r="B685" s="3">
        <v>85.770609387437659</v>
      </c>
    </row>
    <row r="686" spans="1:2" ht="15.75" customHeight="1">
      <c r="A686" s="14">
        <v>10228</v>
      </c>
      <c r="B686" s="3">
        <v>85.97682456298871</v>
      </c>
    </row>
    <row r="687" spans="1:2" ht="15.75" customHeight="1">
      <c r="A687" s="14">
        <v>10259</v>
      </c>
      <c r="B687" s="3">
        <v>82.13135611206809</v>
      </c>
    </row>
    <row r="688" spans="1:2" ht="15.75" customHeight="1">
      <c r="A688" s="14">
        <v>10288</v>
      </c>
      <c r="B688" s="3">
        <v>85.272842130420145</v>
      </c>
    </row>
    <row r="689" spans="1:2" ht="15.75" customHeight="1">
      <c r="A689" s="14">
        <v>10319</v>
      </c>
      <c r="B689" s="3">
        <v>88.066696678268812</v>
      </c>
    </row>
    <row r="690" spans="1:2" ht="15.75" customHeight="1">
      <c r="A690" s="14">
        <v>10349</v>
      </c>
      <c r="B690" s="3">
        <v>89.216163016396138</v>
      </c>
    </row>
    <row r="691" spans="1:2" ht="15.75" customHeight="1">
      <c r="A691" s="14">
        <v>10380</v>
      </c>
      <c r="B691" s="3">
        <v>76.2901763053531</v>
      </c>
    </row>
    <row r="692" spans="1:2" ht="15.75" customHeight="1">
      <c r="A692" s="14">
        <v>10410</v>
      </c>
      <c r="B692" s="3">
        <v>76.807141244861313</v>
      </c>
    </row>
    <row r="693" spans="1:2" ht="15.75" customHeight="1">
      <c r="A693" s="14">
        <v>10441</v>
      </c>
      <c r="B693" s="3">
        <v>78.991737743214358</v>
      </c>
    </row>
    <row r="694" spans="1:2" ht="15.75" customHeight="1">
      <c r="A694" s="14">
        <v>10472</v>
      </c>
      <c r="B694" s="3">
        <v>82.884182015850882</v>
      </c>
    </row>
    <row r="695" spans="1:2" ht="15.75" customHeight="1">
      <c r="A695" s="14">
        <v>10502</v>
      </c>
      <c r="B695" s="3">
        <v>83.879256693651925</v>
      </c>
    </row>
    <row r="696" spans="1:2" ht="15.75" customHeight="1">
      <c r="A696" s="14">
        <v>10533</v>
      </c>
      <c r="B696" s="3">
        <v>86.705443973747265</v>
      </c>
    </row>
    <row r="697" spans="1:2" ht="15.75" customHeight="1">
      <c r="A697" s="14">
        <v>10563</v>
      </c>
      <c r="B697" s="3">
        <v>86.858390204858125</v>
      </c>
    </row>
    <row r="698" spans="1:2" ht="15.75" customHeight="1">
      <c r="A698" s="14">
        <v>10594</v>
      </c>
      <c r="B698" s="3">
        <v>89.362450674270875</v>
      </c>
    </row>
    <row r="699" spans="1:2" ht="15.75" customHeight="1">
      <c r="A699" s="14">
        <v>10625</v>
      </c>
      <c r="B699" s="3">
        <v>89.525848777017714</v>
      </c>
    </row>
    <row r="700" spans="1:2" ht="15.75" customHeight="1">
      <c r="A700" s="14">
        <v>10653</v>
      </c>
      <c r="B700" s="3">
        <v>90.081188896896634</v>
      </c>
    </row>
    <row r="701" spans="1:2" ht="15.75" customHeight="1">
      <c r="A701" s="14">
        <v>10684</v>
      </c>
      <c r="B701" s="3">
        <v>88.361202184736101</v>
      </c>
    </row>
    <row r="702" spans="1:2" ht="15.75" customHeight="1">
      <c r="A702" s="14">
        <v>10714</v>
      </c>
      <c r="B702" s="3">
        <v>88.937467603680474</v>
      </c>
    </row>
    <row r="703" spans="1:2" ht="15.75" customHeight="1">
      <c r="A703" s="14">
        <v>10745</v>
      </c>
      <c r="B703" s="3">
        <v>89.649152136217097</v>
      </c>
    </row>
    <row r="704" spans="1:2" ht="15.75" customHeight="1">
      <c r="A704" s="14">
        <v>10775</v>
      </c>
      <c r="B704" s="3">
        <v>92.214134543073484</v>
      </c>
    </row>
    <row r="705" spans="1:2" ht="15.75" customHeight="1">
      <c r="A705" s="14">
        <v>10806</v>
      </c>
      <c r="B705" s="3">
        <v>93.4326768891748</v>
      </c>
    </row>
    <row r="706" spans="1:2" ht="15.75" customHeight="1">
      <c r="A706" s="14">
        <v>10837</v>
      </c>
      <c r="B706" s="3">
        <v>94.1615951841206</v>
      </c>
    </row>
    <row r="707" spans="1:2" ht="15.75" customHeight="1">
      <c r="A707" s="14">
        <v>10867</v>
      </c>
      <c r="B707" s="3">
        <v>70.814045696634281</v>
      </c>
    </row>
    <row r="708" spans="1:2" ht="15.75" customHeight="1">
      <c r="A708" s="14">
        <v>10898</v>
      </c>
      <c r="B708" s="3">
        <v>44.320234215069931</v>
      </c>
    </row>
    <row r="709" spans="1:2" ht="15.75" customHeight="1">
      <c r="A709" s="14">
        <v>10928</v>
      </c>
      <c r="B709" s="3">
        <v>46.696846124186081</v>
      </c>
    </row>
    <row r="710" spans="1:2" ht="15.75" customHeight="1">
      <c r="A710" s="14">
        <v>10959</v>
      </c>
      <c r="B710" s="3">
        <v>47.607312827161969</v>
      </c>
    </row>
    <row r="711" spans="1:2" ht="15.75" customHeight="1">
      <c r="A711" s="14">
        <v>10990</v>
      </c>
      <c r="B711" s="3">
        <v>51.519671086484841</v>
      </c>
    </row>
    <row r="712" spans="1:2" ht="15.75" customHeight="1">
      <c r="A712" s="14">
        <v>11018</v>
      </c>
      <c r="B712" s="3">
        <v>53.891658976463432</v>
      </c>
    </row>
    <row r="713" spans="1:2" ht="15.75" customHeight="1">
      <c r="A713" s="14">
        <v>11049</v>
      </c>
      <c r="B713" s="3">
        <v>57.778441068342268</v>
      </c>
    </row>
    <row r="714" spans="1:2" ht="15.75" customHeight="1">
      <c r="A714" s="14">
        <v>11079</v>
      </c>
      <c r="B714" s="3">
        <v>52.969786278251775</v>
      </c>
    </row>
    <row r="715" spans="1:2" ht="15.75" customHeight="1">
      <c r="A715" s="14">
        <v>11110</v>
      </c>
      <c r="B715" s="3">
        <v>46.355066503598337</v>
      </c>
    </row>
    <row r="716" spans="1:2" ht="15.75" customHeight="1">
      <c r="A716" s="14">
        <v>11140</v>
      </c>
      <c r="B716" s="3">
        <v>45.199632141213954</v>
      </c>
    </row>
    <row r="717" spans="1:2" ht="15.75" customHeight="1">
      <c r="A717" s="14">
        <v>11171</v>
      </c>
      <c r="B717" s="3">
        <v>44.498525140665109</v>
      </c>
    </row>
    <row r="718" spans="1:2" ht="15.75" customHeight="1">
      <c r="A718" s="14">
        <v>11202</v>
      </c>
      <c r="B718" s="3">
        <v>44.471011546273338</v>
      </c>
    </row>
    <row r="719" spans="1:2" ht="15.75" customHeight="1">
      <c r="A719" s="14">
        <v>11232</v>
      </c>
      <c r="B719" s="3">
        <v>37.356864367323148</v>
      </c>
    </row>
    <row r="720" spans="1:2" ht="15.75" customHeight="1">
      <c r="A720" s="14">
        <v>11263</v>
      </c>
      <c r="B720" s="3">
        <v>34.643954879250742</v>
      </c>
    </row>
    <row r="721" spans="1:2" ht="15.75" customHeight="1">
      <c r="A721" s="14">
        <v>11293</v>
      </c>
      <c r="B721" s="3">
        <v>32.475337790197358</v>
      </c>
    </row>
    <row r="722" spans="1:2" ht="15.75" customHeight="1">
      <c r="A722" s="14">
        <v>11324</v>
      </c>
      <c r="B722" s="3">
        <v>34.349272758230597</v>
      </c>
    </row>
    <row r="723" spans="1:2" ht="15.75" customHeight="1">
      <c r="A723" s="14">
        <v>11355</v>
      </c>
      <c r="B723" s="3">
        <v>39.075662857175168</v>
      </c>
    </row>
    <row r="724" spans="1:2" ht="15.75" customHeight="1">
      <c r="A724" s="14">
        <v>11383</v>
      </c>
      <c r="B724" s="3">
        <v>40.327091303443517</v>
      </c>
    </row>
    <row r="725" spans="1:2" ht="15.75" customHeight="1">
      <c r="A725" s="14">
        <v>11414</v>
      </c>
      <c r="B725" s="3">
        <v>36.267182802091924</v>
      </c>
    </row>
    <row r="726" spans="1:2" ht="15.75" customHeight="1">
      <c r="A726" s="14">
        <v>11444</v>
      </c>
      <c r="B726" s="3">
        <v>32.990270169298569</v>
      </c>
    </row>
    <row r="727" spans="1:2" ht="15.75" customHeight="1">
      <c r="A727" s="14">
        <v>11475</v>
      </c>
      <c r="B727" s="3">
        <v>32.0525679265223</v>
      </c>
    </row>
    <row r="728" spans="1:2" ht="15.75" customHeight="1">
      <c r="A728" s="14">
        <v>11505</v>
      </c>
      <c r="B728" s="3">
        <v>34.070666842199728</v>
      </c>
    </row>
    <row r="729" spans="1:2" ht="15.75" customHeight="1">
      <c r="A729" s="14">
        <v>11536</v>
      </c>
      <c r="B729" s="3">
        <v>33.081543451914129</v>
      </c>
    </row>
    <row r="730" spans="1:2" ht="15.75" customHeight="1">
      <c r="A730" s="14">
        <v>11567</v>
      </c>
      <c r="B730" s="3">
        <v>28.753885304294045</v>
      </c>
    </row>
    <row r="731" spans="1:2" ht="15.75" customHeight="1">
      <c r="A731" s="14">
        <v>11597</v>
      </c>
      <c r="B731" s="3">
        <v>25.962120836399052</v>
      </c>
    </row>
    <row r="732" spans="1:2" ht="15.75" customHeight="1">
      <c r="A732" s="14">
        <v>11628</v>
      </c>
      <c r="B732" s="3">
        <v>26.641772990766782</v>
      </c>
    </row>
    <row r="733" spans="1:2" ht="15.75" customHeight="1">
      <c r="A733" s="14">
        <v>11658</v>
      </c>
      <c r="B733" s="3">
        <v>23.417286534196748</v>
      </c>
    </row>
    <row r="734" spans="1:2" ht="15.75" customHeight="1">
      <c r="A734" s="14">
        <v>11689</v>
      </c>
      <c r="B734" s="3">
        <v>23.200182970958693</v>
      </c>
    </row>
    <row r="735" spans="1:2" ht="15.75" customHeight="1">
      <c r="A735" s="14">
        <v>11720</v>
      </c>
      <c r="B735" s="3">
        <v>23.084940165448117</v>
      </c>
    </row>
    <row r="736" spans="1:2" ht="15.75" customHeight="1">
      <c r="A736" s="14">
        <v>11749</v>
      </c>
      <c r="B736" s="3">
        <v>23.260873107011207</v>
      </c>
    </row>
    <row r="737" spans="1:2" ht="15.75" customHeight="1">
      <c r="A737" s="14">
        <v>11780</v>
      </c>
      <c r="B737" s="3">
        <v>20.007993831337203</v>
      </c>
    </row>
    <row r="738" spans="1:2" ht="15.75" customHeight="1">
      <c r="A738" s="14">
        <v>11810</v>
      </c>
      <c r="B738" s="3">
        <v>18.901019906017154</v>
      </c>
    </row>
    <row r="739" spans="1:2" ht="15.75" customHeight="1">
      <c r="A739" s="14">
        <v>11841</v>
      </c>
      <c r="B739" s="3">
        <v>17.877343911228763</v>
      </c>
    </row>
    <row r="740" spans="1:2" ht="15.75" customHeight="1">
      <c r="A740" s="14">
        <v>11871</v>
      </c>
      <c r="B740" s="3">
        <v>19.401978837053861</v>
      </c>
    </row>
    <row r="741" spans="1:2" ht="15.75" customHeight="1">
      <c r="A741" s="14">
        <v>11902</v>
      </c>
      <c r="B741" s="3">
        <v>33.386274100802467</v>
      </c>
    </row>
    <row r="742" spans="1:2" ht="15.75" customHeight="1">
      <c r="A742" s="14">
        <v>11933</v>
      </c>
      <c r="B742" s="3">
        <v>36.806805031121378</v>
      </c>
    </row>
    <row r="743" spans="1:2" ht="15.75" customHeight="1">
      <c r="A743" s="14">
        <v>11963</v>
      </c>
      <c r="B743" s="3">
        <v>33.880954676735726</v>
      </c>
    </row>
    <row r="744" spans="1:2" ht="15.75" customHeight="1">
      <c r="A744" s="14">
        <v>11994</v>
      </c>
      <c r="B744" s="3">
        <v>33.703788593764926</v>
      </c>
    </row>
    <row r="745" spans="1:2" ht="15.75" customHeight="1">
      <c r="A745" s="14">
        <v>12024</v>
      </c>
      <c r="B745" s="3">
        <v>33.091500403998822</v>
      </c>
    </row>
    <row r="746" spans="1:2" ht="15.75" customHeight="1">
      <c r="A746" s="14">
        <v>12055</v>
      </c>
      <c r="B746" s="3">
        <v>34.593665217821126</v>
      </c>
    </row>
    <row r="747" spans="1:2" ht="15.75" customHeight="1">
      <c r="A747" s="14">
        <v>12086</v>
      </c>
      <c r="B747" s="3">
        <v>32.173552902921642</v>
      </c>
    </row>
    <row r="748" spans="1:2" ht="15.75" customHeight="1">
      <c r="A748" s="14">
        <v>12114</v>
      </c>
      <c r="B748" s="3">
        <v>32.115943281851045</v>
      </c>
    </row>
    <row r="749" spans="1:2" ht="15.75" customHeight="1">
      <c r="A749" s="14">
        <v>12145</v>
      </c>
      <c r="B749" s="3">
        <v>36.177288185341723</v>
      </c>
    </row>
    <row r="750" spans="1:2" ht="15.75" customHeight="1">
      <c r="A750" s="14">
        <v>12175</v>
      </c>
      <c r="B750" s="3">
        <v>46.515311236658761</v>
      </c>
    </row>
    <row r="751" spans="1:2" ht="15.75" customHeight="1">
      <c r="A751" s="14">
        <v>12206</v>
      </c>
      <c r="B751" s="3">
        <v>52.831785882401334</v>
      </c>
    </row>
    <row r="752" spans="1:2" ht="15.75" customHeight="1">
      <c r="A752" s="14">
        <v>12236</v>
      </c>
      <c r="B752" s="3">
        <v>55.929315460775449</v>
      </c>
    </row>
    <row r="753" spans="1:2" ht="15.75" customHeight="1">
      <c r="A753" s="14">
        <v>12267</v>
      </c>
      <c r="B753" s="3">
        <v>53.411110578929261</v>
      </c>
    </row>
    <row r="754" spans="1:2" ht="15.75" customHeight="1">
      <c r="A754" s="14">
        <v>12298</v>
      </c>
      <c r="B754" s="3">
        <v>52.998109579859836</v>
      </c>
    </row>
    <row r="755" spans="1:2" ht="15.75" customHeight="1">
      <c r="A755" s="14">
        <v>12328</v>
      </c>
      <c r="B755" s="3">
        <v>48.386785317978756</v>
      </c>
    </row>
    <row r="756" spans="1:2" ht="15.75" customHeight="1">
      <c r="A756" s="14">
        <v>12359</v>
      </c>
      <c r="B756" s="3">
        <v>49.44459651331384</v>
      </c>
    </row>
    <row r="757" spans="1:2" ht="15.75" customHeight="1">
      <c r="A757" s="14">
        <v>12389</v>
      </c>
      <c r="B757" s="3">
        <v>50.34986649257754</v>
      </c>
    </row>
    <row r="758" spans="1:2" ht="15.75" customHeight="1">
      <c r="A758" s="14">
        <v>12420</v>
      </c>
      <c r="B758" s="3">
        <v>53.065130662753248</v>
      </c>
    </row>
    <row r="759" spans="1:2" ht="15.75" customHeight="1">
      <c r="A759" s="14">
        <v>12451</v>
      </c>
      <c r="B759" s="3">
        <v>56.565627206068605</v>
      </c>
    </row>
    <row r="760" spans="1:2" ht="15.75" customHeight="1">
      <c r="A760" s="14">
        <v>12479</v>
      </c>
      <c r="B760" s="3">
        <v>53.377675239212905</v>
      </c>
    </row>
    <row r="761" spans="1:2" ht="15.75" customHeight="1">
      <c r="A761" s="14">
        <v>12510</v>
      </c>
      <c r="B761" s="3">
        <v>54.239617165979148</v>
      </c>
    </row>
    <row r="762" spans="1:2" ht="15.75" customHeight="1">
      <c r="A762" s="14">
        <v>12540</v>
      </c>
      <c r="B762" s="3">
        <v>48.308423522987141</v>
      </c>
    </row>
    <row r="763" spans="1:2" ht="15.75" customHeight="1">
      <c r="A763" s="14">
        <v>12571</v>
      </c>
      <c r="B763" s="3">
        <v>49.011660044861699</v>
      </c>
    </row>
    <row r="764" spans="1:2" ht="15.75" customHeight="1">
      <c r="A764" s="14">
        <v>12601</v>
      </c>
      <c r="B764" s="3">
        <v>46.546161767356232</v>
      </c>
    </row>
    <row r="765" spans="1:2" ht="15.75" customHeight="1">
      <c r="A765" s="14">
        <v>12632</v>
      </c>
      <c r="B765" s="3">
        <v>44.642279021621313</v>
      </c>
    </row>
    <row r="766" spans="1:2" ht="15.75" customHeight="1">
      <c r="A766" s="14">
        <v>12663</v>
      </c>
      <c r="B766" s="3">
        <v>43.50286943939679</v>
      </c>
    </row>
    <row r="767" spans="1:2" ht="15.75" customHeight="1">
      <c r="A767" s="14">
        <v>12693</v>
      </c>
      <c r="B767" s="3">
        <v>43.992691403976458</v>
      </c>
    </row>
    <row r="768" spans="1:2" ht="15.75" customHeight="1">
      <c r="A768" s="14">
        <v>12724</v>
      </c>
      <c r="B768" s="3">
        <v>45.800022106410232</v>
      </c>
    </row>
    <row r="769" spans="1:2" ht="15.75" customHeight="1">
      <c r="A769" s="14">
        <v>12754</v>
      </c>
      <c r="B769" s="3">
        <v>46.248334529079301</v>
      </c>
    </row>
    <row r="770" spans="1:2" ht="15.75" customHeight="1">
      <c r="A770" s="14">
        <v>12785</v>
      </c>
      <c r="B770" s="3">
        <v>46.248334529079294</v>
      </c>
    </row>
    <row r="771" spans="1:2" ht="15.75" customHeight="1">
      <c r="A771" s="14">
        <v>12816</v>
      </c>
      <c r="B771" s="3">
        <v>44.266650220616242</v>
      </c>
    </row>
    <row r="772" spans="1:2" ht="15.75" customHeight="1">
      <c r="A772" s="14">
        <v>12844</v>
      </c>
      <c r="B772" s="3">
        <v>40.465421924170869</v>
      </c>
    </row>
    <row r="773" spans="1:2" ht="15.75" customHeight="1">
      <c r="A773" s="14">
        <v>12875</v>
      </c>
      <c r="B773" s="3">
        <v>45.986224381086338</v>
      </c>
    </row>
    <row r="774" spans="1:2" ht="15.75" customHeight="1">
      <c r="A774" s="14">
        <v>12905</v>
      </c>
      <c r="B774" s="3">
        <v>51.450359482047418</v>
      </c>
    </row>
    <row r="775" spans="1:2" ht="15.75" customHeight="1">
      <c r="A775" s="14">
        <v>12936</v>
      </c>
      <c r="B775" s="3">
        <v>54.0586087511236</v>
      </c>
    </row>
    <row r="776" spans="1:2" ht="15.75" customHeight="1">
      <c r="A776" s="14">
        <v>12966</v>
      </c>
      <c r="B776" s="3">
        <v>57.574600485256354</v>
      </c>
    </row>
    <row r="777" spans="1:2" ht="15.75" customHeight="1">
      <c r="A777" s="14">
        <v>12997</v>
      </c>
      <c r="B777" s="3">
        <v>61.846485565611246</v>
      </c>
    </row>
    <row r="778" spans="1:2" ht="15.75" customHeight="1">
      <c r="A778" s="14">
        <v>13028</v>
      </c>
      <c r="B778" s="3">
        <v>63.177463188680115</v>
      </c>
    </row>
    <row r="779" spans="1:2" ht="15.75" customHeight="1">
      <c r="A779" s="14">
        <v>13058</v>
      </c>
      <c r="B779" s="3">
        <v>64.881606004736042</v>
      </c>
    </row>
    <row r="780" spans="1:2" ht="15.75" customHeight="1">
      <c r="A780" s="14">
        <v>13089</v>
      </c>
      <c r="B780" s="3">
        <v>70.240330181903502</v>
      </c>
    </row>
    <row r="781" spans="1:2" ht="15.75" customHeight="1">
      <c r="A781" s="14">
        <v>13119</v>
      </c>
      <c r="B781" s="3">
        <v>70.240330181903502</v>
      </c>
    </row>
    <row r="782" spans="1:2" ht="15.75" customHeight="1">
      <c r="A782" s="14">
        <v>13150</v>
      </c>
      <c r="B782" s="3">
        <v>73.280129707749026</v>
      </c>
    </row>
    <row r="783" spans="1:2" ht="15.75" customHeight="1">
      <c r="A783" s="14">
        <v>13181</v>
      </c>
      <c r="B783" s="3">
        <v>76.157808313495266</v>
      </c>
    </row>
    <row r="784" spans="1:2" ht="15.75" customHeight="1">
      <c r="A784" s="14">
        <v>13210</v>
      </c>
      <c r="B784" s="3">
        <v>77.195681578359</v>
      </c>
    </row>
    <row r="785" spans="1:2" ht="15.75" customHeight="1">
      <c r="A785" s="14">
        <v>13241</v>
      </c>
      <c r="B785" s="3">
        <v>77.264444876268726</v>
      </c>
    </row>
    <row r="786" spans="1:2" ht="15.75" customHeight="1">
      <c r="A786" s="14">
        <v>13271</v>
      </c>
      <c r="B786" s="3">
        <v>68.480523289694702</v>
      </c>
    </row>
    <row r="787" spans="1:2" ht="15.75" customHeight="1">
      <c r="A787" s="14">
        <v>13302</v>
      </c>
      <c r="B787" s="3">
        <v>71.162049216173031</v>
      </c>
    </row>
    <row r="788" spans="1:2" ht="15.75" customHeight="1">
      <c r="A788" s="14">
        <v>13332</v>
      </c>
      <c r="B788" s="3">
        <v>74.543852668204508</v>
      </c>
    </row>
    <row r="789" spans="1:2" ht="15.75" customHeight="1">
      <c r="A789" s="14">
        <v>13363</v>
      </c>
      <c r="B789" s="3">
        <v>75.640046964586375</v>
      </c>
    </row>
    <row r="790" spans="1:2" ht="15.75" customHeight="1">
      <c r="A790" s="14">
        <v>13394</v>
      </c>
      <c r="B790" s="3">
        <v>76.278791456983498</v>
      </c>
    </row>
    <row r="791" spans="1:2" ht="15.75" customHeight="1">
      <c r="A791" s="14">
        <v>13424</v>
      </c>
      <c r="B791" s="3">
        <v>79.040754318224714</v>
      </c>
    </row>
    <row r="792" spans="1:2" ht="15.75" customHeight="1">
      <c r="A792" s="14">
        <v>13455</v>
      </c>
      <c r="B792" s="3">
        <v>80.414832868359042</v>
      </c>
    </row>
    <row r="793" spans="1:2" ht="15.75" customHeight="1">
      <c r="A793" s="14">
        <v>13485</v>
      </c>
      <c r="B793" s="3">
        <v>76.947171714511555</v>
      </c>
    </row>
    <row r="794" spans="1:2" ht="15.75" customHeight="1">
      <c r="A794" s="14">
        <v>13516</v>
      </c>
      <c r="B794" s="3">
        <v>78.69508392288779</v>
      </c>
    </row>
    <row r="795" spans="1:2" ht="15.75" customHeight="1">
      <c r="A795" s="14">
        <v>13547</v>
      </c>
      <c r="B795" s="3">
        <v>80.275305013951595</v>
      </c>
    </row>
    <row r="796" spans="1:2" ht="15.75" customHeight="1">
      <c r="A796" s="14">
        <v>13575</v>
      </c>
      <c r="B796" s="3">
        <v>80.029438642317587</v>
      </c>
    </row>
    <row r="797" spans="1:2" ht="15.75" customHeight="1">
      <c r="A797" s="14">
        <v>13606</v>
      </c>
      <c r="B797" s="3">
        <v>67.930189086425074</v>
      </c>
    </row>
    <row r="798" spans="1:2" ht="15.75" customHeight="1">
      <c r="A798" s="14">
        <v>13636</v>
      </c>
      <c r="B798" s="3">
        <v>60.947263776584954</v>
      </c>
    </row>
    <row r="799" spans="1:2" ht="15.75" customHeight="1">
      <c r="A799" s="14">
        <v>13667</v>
      </c>
      <c r="B799" s="3">
        <v>55.973785991494999</v>
      </c>
    </row>
    <row r="800" spans="1:2" ht="15.75" customHeight="1">
      <c r="A800" s="14">
        <v>13697</v>
      </c>
      <c r="B800" s="3">
        <v>61.175533451433061</v>
      </c>
    </row>
    <row r="801" spans="1:2" ht="15.75" customHeight="1">
      <c r="A801" s="14">
        <v>13728</v>
      </c>
      <c r="B801" s="3">
        <v>62.058020945446266</v>
      </c>
    </row>
    <row r="802" spans="1:2" ht="15.75" customHeight="1">
      <c r="A802" s="14">
        <v>13759</v>
      </c>
      <c r="B802" s="3">
        <v>46.268401418420559</v>
      </c>
    </row>
    <row r="803" spans="1:2" ht="15.75" customHeight="1">
      <c r="A803" s="14">
        <v>13789</v>
      </c>
      <c r="B803" s="3">
        <v>37.264150443481121</v>
      </c>
    </row>
    <row r="804" spans="1:2" ht="15.75" customHeight="1">
      <c r="A804" s="14">
        <v>13820</v>
      </c>
      <c r="B804" s="3">
        <v>33.622825348358262</v>
      </c>
    </row>
    <row r="805" spans="1:2" ht="15.75" customHeight="1">
      <c r="A805" s="14">
        <v>13850</v>
      </c>
      <c r="B805" s="3">
        <v>33.04328342450485</v>
      </c>
    </row>
    <row r="806" spans="1:2" ht="15.75" customHeight="1">
      <c r="A806" s="14">
        <v>13881</v>
      </c>
      <c r="B806" s="3">
        <v>34.987556747397534</v>
      </c>
    </row>
    <row r="807" spans="1:2" ht="15.75" customHeight="1">
      <c r="A807" s="14">
        <v>13912</v>
      </c>
      <c r="B807" s="3">
        <v>33.997720358024438</v>
      </c>
    </row>
    <row r="808" spans="1:2" ht="15.75" customHeight="1">
      <c r="A808" s="14">
        <v>13940</v>
      </c>
      <c r="B808" s="3">
        <v>31.410307305973262</v>
      </c>
    </row>
    <row r="809" spans="1:2" ht="15.75" customHeight="1">
      <c r="A809" s="14">
        <v>13971</v>
      </c>
      <c r="B809" s="3">
        <v>29.995854942771587</v>
      </c>
    </row>
    <row r="810" spans="1:2" ht="15.75" customHeight="1">
      <c r="A810" s="14">
        <v>14001</v>
      </c>
      <c r="B810" s="3">
        <v>30.715847409013179</v>
      </c>
    </row>
    <row r="811" spans="1:2" ht="15.75" customHeight="1">
      <c r="A811" s="14">
        <v>14032</v>
      </c>
      <c r="B811" s="3">
        <v>32.62300185185677</v>
      </c>
    </row>
    <row r="812" spans="1:2" ht="15.75" customHeight="1">
      <c r="A812" s="14">
        <v>14062</v>
      </c>
      <c r="B812" s="3">
        <v>46.595720133820834</v>
      </c>
    </row>
    <row r="813" spans="1:2" ht="15.75" customHeight="1">
      <c r="A813" s="14">
        <v>14093</v>
      </c>
      <c r="B813" s="3">
        <v>47.00385174792013</v>
      </c>
    </row>
    <row r="814" spans="1:2" ht="15.75" customHeight="1">
      <c r="A814" s="14">
        <v>14124</v>
      </c>
      <c r="B814" s="3">
        <v>44.100232146096509</v>
      </c>
    </row>
    <row r="815" spans="1:2" ht="15.75" customHeight="1">
      <c r="A815" s="14">
        <v>14154</v>
      </c>
      <c r="B815" s="3">
        <v>51.628030754517894</v>
      </c>
    </row>
    <row r="816" spans="1:2" ht="15.75" customHeight="1">
      <c r="A816" s="14">
        <v>14185</v>
      </c>
      <c r="B816" s="3">
        <v>51.681522235121854</v>
      </c>
    </row>
    <row r="817" spans="1:2" ht="15.75" customHeight="1">
      <c r="A817" s="14">
        <v>14215</v>
      </c>
      <c r="B817" s="3">
        <v>49.443973536355017</v>
      </c>
    </row>
    <row r="818" spans="1:2" ht="15.75" customHeight="1">
      <c r="A818" s="14">
        <v>14246</v>
      </c>
      <c r="B818" s="3">
        <v>48.317562481935546</v>
      </c>
    </row>
    <row r="819" spans="1:2" ht="15.75" customHeight="1">
      <c r="A819" s="14">
        <v>14277</v>
      </c>
      <c r="B819" s="3">
        <v>47.701609371481773</v>
      </c>
    </row>
    <row r="820" spans="1:2" ht="15.75" customHeight="1">
      <c r="A820" s="14">
        <v>14305</v>
      </c>
      <c r="B820" s="3">
        <v>47.636211361585318</v>
      </c>
    </row>
    <row r="821" spans="1:2" ht="15.75" customHeight="1">
      <c r="A821" s="14">
        <v>14336</v>
      </c>
      <c r="B821" s="3">
        <v>38.718401611013128</v>
      </c>
    </row>
    <row r="822" spans="1:2" ht="15.75" customHeight="1">
      <c r="A822" s="14">
        <v>14366</v>
      </c>
      <c r="B822" s="3">
        <v>41.730587074552339</v>
      </c>
    </row>
    <row r="823" spans="1:2" ht="15.75" customHeight="1">
      <c r="A823" s="14">
        <v>14397</v>
      </c>
      <c r="B823" s="3">
        <v>43.233043624555243</v>
      </c>
    </row>
    <row r="824" spans="1:2" ht="15.75" customHeight="1">
      <c r="A824" s="14">
        <v>14427</v>
      </c>
      <c r="B824" s="3">
        <v>45.357296318425412</v>
      </c>
    </row>
    <row r="825" spans="1:2" ht="15.75" customHeight="1">
      <c r="A825" s="14">
        <v>14458</v>
      </c>
      <c r="B825" s="3">
        <v>44.274030106104291</v>
      </c>
    </row>
    <row r="826" spans="1:2" ht="15.75" customHeight="1">
      <c r="A826" s="14">
        <v>14489</v>
      </c>
      <c r="B826" s="3">
        <v>53.017181158563581</v>
      </c>
    </row>
    <row r="827" spans="1:2" ht="15.75" customHeight="1">
      <c r="A827" s="14">
        <v>14519</v>
      </c>
      <c r="B827" s="3">
        <v>53.84148085000264</v>
      </c>
    </row>
    <row r="828" spans="1:2" ht="15.75" customHeight="1">
      <c r="A828" s="14">
        <v>14550</v>
      </c>
      <c r="B828" s="3">
        <v>52.099867079339518</v>
      </c>
    </row>
    <row r="829" spans="1:2" ht="15.75" customHeight="1">
      <c r="A829" s="14">
        <v>14580</v>
      </c>
      <c r="B829" s="3">
        <v>49.835475345135279</v>
      </c>
    </row>
    <row r="830" spans="1:2" ht="15.75" customHeight="1">
      <c r="A830" s="14">
        <v>14611</v>
      </c>
      <c r="B830" s="3">
        <v>49.297084520823745</v>
      </c>
    </row>
    <row r="831" spans="1:2" ht="15.75" customHeight="1">
      <c r="A831" s="14">
        <v>14642</v>
      </c>
      <c r="B831" s="3">
        <v>48.650209487267212</v>
      </c>
    </row>
    <row r="832" spans="1:2" ht="15.75" customHeight="1">
      <c r="A832" s="14">
        <v>14671</v>
      </c>
      <c r="B832" s="3">
        <v>48.056000097282066</v>
      </c>
    </row>
    <row r="833" spans="1:2" ht="15.75" customHeight="1">
      <c r="A833" s="14">
        <v>14702</v>
      </c>
      <c r="B833" s="3">
        <v>49.201444587042481</v>
      </c>
    </row>
    <row r="834" spans="1:2" ht="15.75" customHeight="1">
      <c r="A834" s="14">
        <v>14732</v>
      </c>
      <c r="B834" s="3">
        <v>36.870255710531211</v>
      </c>
    </row>
    <row r="835" spans="1:2" ht="15.75" customHeight="1">
      <c r="A835" s="14">
        <v>14763</v>
      </c>
      <c r="B835" s="3">
        <v>32.191713418639267</v>
      </c>
    </row>
    <row r="836" spans="1:2" ht="15.75" customHeight="1">
      <c r="A836" s="14">
        <v>14793</v>
      </c>
      <c r="B836" s="3">
        <v>35.300757470395325</v>
      </c>
    </row>
    <row r="837" spans="1:2" ht="15.75" customHeight="1">
      <c r="A837" s="14">
        <v>14824</v>
      </c>
      <c r="B837" s="3">
        <v>37.331466213987994</v>
      </c>
    </row>
    <row r="838" spans="1:2" ht="15.75" customHeight="1">
      <c r="A838" s="14">
        <v>14855</v>
      </c>
      <c r="B838" s="3">
        <v>41.388119947917311</v>
      </c>
    </row>
    <row r="839" spans="1:2" ht="15.75" customHeight="1">
      <c r="A839" s="14">
        <v>14885</v>
      </c>
      <c r="B839" s="3">
        <v>42.323172451372074</v>
      </c>
    </row>
    <row r="840" spans="1:2" ht="15.75" customHeight="1">
      <c r="A840" s="14">
        <v>14916</v>
      </c>
      <c r="B840" s="3">
        <v>44.698439393253828</v>
      </c>
    </row>
    <row r="841" spans="1:2" ht="15.75" customHeight="1">
      <c r="A841" s="14">
        <v>14946</v>
      </c>
      <c r="B841" s="3">
        <v>41.393944666119225</v>
      </c>
    </row>
    <row r="842" spans="1:2" ht="15.75" customHeight="1">
      <c r="A842" s="14">
        <v>14977</v>
      </c>
      <c r="B842" s="3">
        <v>41.600588921048903</v>
      </c>
    </row>
    <row r="843" spans="1:2" ht="15.75" customHeight="1">
      <c r="A843" s="14">
        <v>15008</v>
      </c>
      <c r="B843" s="3">
        <v>36.968173849164266</v>
      </c>
    </row>
    <row r="844" spans="1:2" ht="15.75" customHeight="1">
      <c r="A844" s="14">
        <v>15036</v>
      </c>
      <c r="B844" s="3">
        <v>37.647926462665716</v>
      </c>
    </row>
    <row r="845" spans="1:2" ht="15.75" customHeight="1">
      <c r="A845" s="14">
        <v>15067</v>
      </c>
      <c r="B845" s="3">
        <v>35.516750321768697</v>
      </c>
    </row>
    <row r="846" spans="1:2" ht="15.75" customHeight="1">
      <c r="A846" s="14">
        <v>15097</v>
      </c>
      <c r="B846" s="3">
        <v>34.10817819106262</v>
      </c>
    </row>
    <row r="847" spans="1:2" ht="15.75" customHeight="1">
      <c r="A847" s="14">
        <v>15128</v>
      </c>
      <c r="B847" s="3">
        <v>38.252420459442291</v>
      </c>
    </row>
    <row r="848" spans="1:2" ht="15.75" customHeight="1">
      <c r="A848" s="14">
        <v>15158</v>
      </c>
      <c r="B848" s="3">
        <v>43.999488780770243</v>
      </c>
    </row>
    <row r="849" spans="1:2" ht="15.75" customHeight="1">
      <c r="A849" s="14">
        <v>15189</v>
      </c>
      <c r="B849" s="3">
        <v>43.562844938960104</v>
      </c>
    </row>
    <row r="850" spans="1:2" ht="15.75" customHeight="1">
      <c r="A850" s="14">
        <v>15220</v>
      </c>
      <c r="B850" s="3">
        <v>43.922432622912112</v>
      </c>
    </row>
    <row r="851" spans="1:2" ht="15.75" customHeight="1">
      <c r="A851" s="14">
        <v>15250</v>
      </c>
      <c r="B851" s="3">
        <v>40.156735546667406</v>
      </c>
    </row>
    <row r="852" spans="1:2" ht="15.75" customHeight="1">
      <c r="A852" s="14">
        <v>15281</v>
      </c>
      <c r="B852" s="3">
        <v>36.387369493370549</v>
      </c>
    </row>
    <row r="853" spans="1:2" ht="15.75" customHeight="1">
      <c r="A853" s="14">
        <v>15311</v>
      </c>
      <c r="B853" s="3">
        <v>32.086214579774534</v>
      </c>
    </row>
    <row r="854" spans="1:2" ht="15.75" customHeight="1">
      <c r="A854" s="14">
        <v>15342</v>
      </c>
      <c r="B854" s="3">
        <v>34.412998065969873</v>
      </c>
    </row>
    <row r="855" spans="1:2" ht="15.75" customHeight="1">
      <c r="A855" s="14">
        <v>15373</v>
      </c>
      <c r="B855" s="3">
        <v>32.441515409496134</v>
      </c>
    </row>
    <row r="856" spans="1:2" ht="15.75" customHeight="1">
      <c r="A856" s="14">
        <v>15401</v>
      </c>
      <c r="B856" s="3">
        <v>29.397128337058618</v>
      </c>
    </row>
    <row r="857" spans="1:2" ht="15.75" customHeight="1">
      <c r="A857" s="14">
        <v>15432</v>
      </c>
      <c r="B857" s="3">
        <v>27.394381827446566</v>
      </c>
    </row>
    <row r="858" spans="1:2" ht="15.75" customHeight="1">
      <c r="A858" s="14">
        <v>15462</v>
      </c>
      <c r="B858" s="3">
        <v>28.777585219125442</v>
      </c>
    </row>
    <row r="859" spans="1:2" ht="15.75" customHeight="1">
      <c r="A859" s="14">
        <v>15493</v>
      </c>
      <c r="B859" s="3">
        <v>34.729226437496763</v>
      </c>
    </row>
    <row r="860" spans="1:2" ht="15.75" customHeight="1">
      <c r="A860" s="14">
        <v>15523</v>
      </c>
      <c r="B860" s="3">
        <v>38.984675164768326</v>
      </c>
    </row>
    <row r="861" spans="1:2" ht="15.75" customHeight="1">
      <c r="A861" s="14">
        <v>15554</v>
      </c>
      <c r="B861" s="3">
        <v>38.548136232961205</v>
      </c>
    </row>
    <row r="862" spans="1:2" ht="15.75" customHeight="1">
      <c r="A862" s="14">
        <v>15585</v>
      </c>
      <c r="B862" s="3">
        <v>39.853691400993227</v>
      </c>
    </row>
    <row r="863" spans="1:2" ht="15.75" customHeight="1">
      <c r="A863" s="14">
        <v>15615</v>
      </c>
      <c r="B863" s="3">
        <v>48.270052406210098</v>
      </c>
    </row>
    <row r="864" spans="1:2" ht="15.75" customHeight="1">
      <c r="A864" s="14">
        <v>15646</v>
      </c>
      <c r="B864" s="3">
        <v>50.034785782055685</v>
      </c>
    </row>
    <row r="865" spans="1:2" ht="15.75" customHeight="1">
      <c r="A865" s="14">
        <v>15676</v>
      </c>
      <c r="B865" s="3">
        <v>50.639266008133738</v>
      </c>
    </row>
    <row r="866" spans="1:2" ht="15.75" customHeight="1">
      <c r="A866" s="14">
        <v>15707</v>
      </c>
      <c r="B866" s="3">
        <v>57.022554566088345</v>
      </c>
    </row>
    <row r="867" spans="1:2" ht="15.75" customHeight="1">
      <c r="A867" s="14">
        <v>15738</v>
      </c>
      <c r="B867" s="3">
        <v>62.517379851857001</v>
      </c>
    </row>
    <row r="868" spans="1:2" ht="15.75" customHeight="1">
      <c r="A868" s="14">
        <v>15766</v>
      </c>
      <c r="B868" s="3">
        <v>65.523800243593968</v>
      </c>
    </row>
    <row r="869" spans="1:2" ht="15.75" customHeight="1">
      <c r="A869" s="14">
        <v>15797</v>
      </c>
      <c r="B869" s="3">
        <v>68.198472416177793</v>
      </c>
    </row>
    <row r="870" spans="1:2" ht="15.75" customHeight="1">
      <c r="A870" s="14">
        <v>15827</v>
      </c>
      <c r="B870" s="3">
        <v>71.13183545883571</v>
      </c>
    </row>
    <row r="871" spans="1:2" ht="15.75" customHeight="1">
      <c r="A871" s="14">
        <v>15858</v>
      </c>
      <c r="B871" s="3">
        <v>72.41077158013367</v>
      </c>
    </row>
    <row r="872" spans="1:2" ht="15.75" customHeight="1">
      <c r="A872" s="14">
        <v>15888</v>
      </c>
      <c r="B872" s="3">
        <v>73.89357145770056</v>
      </c>
    </row>
    <row r="873" spans="1:2" ht="15.75" customHeight="1">
      <c r="A873" s="14">
        <v>15919</v>
      </c>
      <c r="B873" s="3">
        <v>64.749236090998878</v>
      </c>
    </row>
    <row r="874" spans="1:2" ht="15.75" customHeight="1">
      <c r="A874" s="14">
        <v>15950</v>
      </c>
      <c r="B874" s="3">
        <v>66.574869028095549</v>
      </c>
    </row>
    <row r="875" spans="1:2" ht="15.75" customHeight="1">
      <c r="A875" s="14">
        <v>15980</v>
      </c>
      <c r="B875" s="3">
        <v>64.980225898029175</v>
      </c>
    </row>
    <row r="876" spans="1:2" ht="15.75" customHeight="1">
      <c r="A876" s="14">
        <v>16011</v>
      </c>
      <c r="B876" s="3">
        <v>57.556797943002735</v>
      </c>
    </row>
    <row r="877" spans="1:2" ht="15.75" customHeight="1">
      <c r="A877" s="14">
        <v>16041</v>
      </c>
      <c r="B877" s="3">
        <v>58.934679081663631</v>
      </c>
    </row>
    <row r="878" spans="1:2" ht="15.75" customHeight="1">
      <c r="A878" s="14">
        <v>16072</v>
      </c>
      <c r="B878" s="3">
        <v>62.194914679625775</v>
      </c>
    </row>
    <row r="879" spans="1:2" ht="15.75" customHeight="1">
      <c r="A879" s="14">
        <v>16103</v>
      </c>
      <c r="B879" s="3">
        <v>61.066038121349372</v>
      </c>
    </row>
    <row r="880" spans="1:2" ht="15.75" customHeight="1">
      <c r="A880" s="14">
        <v>16132</v>
      </c>
      <c r="B880" s="3">
        <v>63.971074188202593</v>
      </c>
    </row>
    <row r="881" spans="1:2" ht="15.75" customHeight="1">
      <c r="A881" s="14">
        <v>16163</v>
      </c>
      <c r="B881" s="3">
        <v>60.85908290949962</v>
      </c>
    </row>
    <row r="882" spans="1:2" ht="15.75" customHeight="1">
      <c r="A882" s="14">
        <v>16193</v>
      </c>
      <c r="B882" s="3">
        <v>62.807554792177463</v>
      </c>
    </row>
    <row r="883" spans="1:2" ht="15.75" customHeight="1">
      <c r="A883" s="14">
        <v>16224</v>
      </c>
      <c r="B883" s="3">
        <v>67.532077026930637</v>
      </c>
    </row>
    <row r="884" spans="1:2" ht="15.75" customHeight="1">
      <c r="A884" s="14">
        <v>16254</v>
      </c>
      <c r="B884" s="3">
        <v>69.914831945522423</v>
      </c>
    </row>
    <row r="885" spans="1:2" ht="15.75" customHeight="1">
      <c r="A885" s="14">
        <v>16285</v>
      </c>
      <c r="B885" s="3">
        <v>66.871895741816189</v>
      </c>
    </row>
    <row r="886" spans="1:2" ht="15.75" customHeight="1">
      <c r="A886" s="14">
        <v>16316</v>
      </c>
      <c r="B886" s="3">
        <v>63.578209689150206</v>
      </c>
    </row>
    <row r="887" spans="1:2" ht="15.75" customHeight="1">
      <c r="A887" s="14">
        <v>16346</v>
      </c>
      <c r="B887" s="3">
        <v>66.222974454468329</v>
      </c>
    </row>
    <row r="888" spans="1:2" ht="15.75" customHeight="1">
      <c r="A888" s="14">
        <v>16377</v>
      </c>
      <c r="B888" s="3">
        <v>64.75286308791253</v>
      </c>
    </row>
    <row r="889" spans="1:2" ht="15.75" customHeight="1">
      <c r="A889" s="14">
        <v>16407</v>
      </c>
      <c r="B889" s="3">
        <v>67.192969047279746</v>
      </c>
    </row>
    <row r="890" spans="1:2" ht="15.75" customHeight="1">
      <c r="A890" s="14">
        <v>16438</v>
      </c>
      <c r="B890" s="3">
        <v>70.279252608716305</v>
      </c>
    </row>
    <row r="891" spans="1:2" ht="15.75" customHeight="1">
      <c r="A891" s="14">
        <v>16469</v>
      </c>
      <c r="B891" s="3">
        <v>73.389882106532596</v>
      </c>
    </row>
    <row r="892" spans="1:2" ht="15.75" customHeight="1">
      <c r="A892" s="14">
        <v>16497</v>
      </c>
      <c r="B892" s="3">
        <v>73.206519620157238</v>
      </c>
    </row>
    <row r="893" spans="1:2" ht="15.75" customHeight="1">
      <c r="A893" s="14">
        <v>16528</v>
      </c>
      <c r="B893" s="3">
        <v>75.512577005127184</v>
      </c>
    </row>
    <row r="894" spans="1:2" ht="15.75" customHeight="1">
      <c r="A894" s="14">
        <v>16558</v>
      </c>
      <c r="B894" s="3">
        <v>78.576277537628158</v>
      </c>
    </row>
    <row r="895" spans="1:2" ht="15.75" customHeight="1">
      <c r="A895" s="14">
        <v>16589</v>
      </c>
      <c r="B895" s="3">
        <v>79.928469663573665</v>
      </c>
    </row>
    <row r="896" spans="1:2" ht="15.75" customHeight="1">
      <c r="A896" s="14">
        <v>16619</v>
      </c>
      <c r="B896" s="3">
        <v>74.142287981585184</v>
      </c>
    </row>
    <row r="897" spans="1:2" ht="15.75" customHeight="1">
      <c r="A897" s="14">
        <v>16650</v>
      </c>
      <c r="B897" s="3">
        <v>74.463392753116665</v>
      </c>
    </row>
    <row r="898" spans="1:2" ht="15.75" customHeight="1">
      <c r="A898" s="14">
        <v>16681</v>
      </c>
      <c r="B898" s="3">
        <v>79.894689208890355</v>
      </c>
    </row>
    <row r="899" spans="1:2" ht="15.75" customHeight="1">
      <c r="A899" s="14">
        <v>16711</v>
      </c>
      <c r="B899" s="3">
        <v>82.512169874962126</v>
      </c>
    </row>
    <row r="900" spans="1:2" ht="15.75" customHeight="1">
      <c r="A900" s="14">
        <v>16742</v>
      </c>
      <c r="B900" s="3">
        <v>84.311789078543768</v>
      </c>
    </row>
    <row r="901" spans="1:2" ht="15.75" customHeight="1">
      <c r="A901" s="14">
        <v>16772</v>
      </c>
      <c r="B901" s="3">
        <v>85.19303987247325</v>
      </c>
    </row>
    <row r="902" spans="1:2" ht="15.75" customHeight="1">
      <c r="A902" s="14">
        <v>16803</v>
      </c>
      <c r="B902" s="3">
        <v>87.056100583515033</v>
      </c>
    </row>
    <row r="903" spans="1:2" ht="15.75" customHeight="1">
      <c r="A903" s="14">
        <v>16834</v>
      </c>
      <c r="B903" s="3">
        <v>87.181960747885583</v>
      </c>
    </row>
    <row r="904" spans="1:2" ht="15.75" customHeight="1">
      <c r="A904" s="14">
        <v>16862</v>
      </c>
      <c r="B904" s="3">
        <v>78.32413355784584</v>
      </c>
    </row>
    <row r="905" spans="1:2" ht="15.75" customHeight="1">
      <c r="A905" s="14">
        <v>16893</v>
      </c>
      <c r="B905" s="3">
        <v>82.362509385845215</v>
      </c>
    </row>
    <row r="906" spans="1:2" ht="15.75" customHeight="1">
      <c r="A906" s="14">
        <v>16923</v>
      </c>
      <c r="B906" s="3">
        <v>82.486892012592548</v>
      </c>
    </row>
    <row r="907" spans="1:2" ht="15.75" customHeight="1">
      <c r="A907" s="14">
        <v>16954</v>
      </c>
      <c r="B907" s="3">
        <v>80.649381188529617</v>
      </c>
    </row>
    <row r="908" spans="1:2" ht="15.75" customHeight="1">
      <c r="A908" s="14">
        <v>16984</v>
      </c>
      <c r="B908" s="3">
        <v>72.922796202851217</v>
      </c>
    </row>
    <row r="909" spans="1:2" ht="15.75" customHeight="1">
      <c r="A909" s="14">
        <v>17015</v>
      </c>
      <c r="B909" s="3">
        <v>68.271210692765649</v>
      </c>
    </row>
    <row r="910" spans="1:2" ht="15.75" customHeight="1">
      <c r="A910" s="14">
        <v>17046</v>
      </c>
      <c r="B910" s="3">
        <v>45.144999241761113</v>
      </c>
    </row>
    <row r="911" spans="1:2" ht="15.75" customHeight="1">
      <c r="A911" s="14">
        <v>17076</v>
      </c>
      <c r="B911" s="3">
        <v>43.096967456163682</v>
      </c>
    </row>
    <row r="912" spans="1:2" ht="15.75" customHeight="1">
      <c r="A912" s="14">
        <v>17107</v>
      </c>
      <c r="B912" s="3">
        <v>42.728581946338458</v>
      </c>
    </row>
    <row r="913" spans="1:2" ht="15.75" customHeight="1">
      <c r="A913" s="14">
        <v>17137</v>
      </c>
      <c r="B913" s="3">
        <v>46.350257789455853</v>
      </c>
    </row>
    <row r="914" spans="1:2" ht="15.75" customHeight="1">
      <c r="A914" s="14">
        <v>17168</v>
      </c>
      <c r="B914" s="3">
        <v>47.006428474021128</v>
      </c>
    </row>
    <row r="915" spans="1:2" ht="15.75" customHeight="1">
      <c r="A915" s="14">
        <v>17199</v>
      </c>
      <c r="B915" s="3">
        <v>51.698420102415348</v>
      </c>
    </row>
    <row r="916" spans="1:2" ht="15.75" customHeight="1">
      <c r="A916" s="14">
        <v>17227</v>
      </c>
      <c r="B916" s="3">
        <v>46.852467597760715</v>
      </c>
    </row>
    <row r="917" spans="1:2" ht="15.75" customHeight="1">
      <c r="A917" s="14">
        <v>17258</v>
      </c>
      <c r="B917" s="3">
        <v>43.049981881139004</v>
      </c>
    </row>
    <row r="918" spans="1:2" ht="15.75" customHeight="1">
      <c r="A918" s="14">
        <v>17288</v>
      </c>
      <c r="B918" s="3">
        <v>41.371166672280708</v>
      </c>
    </row>
    <row r="919" spans="1:2" ht="15.75" customHeight="1">
      <c r="A919" s="14">
        <v>17319</v>
      </c>
      <c r="B919" s="3">
        <v>45.752357138034967</v>
      </c>
    </row>
    <row r="920" spans="1:2" ht="15.75" customHeight="1">
      <c r="A920" s="14">
        <v>17349</v>
      </c>
      <c r="B920" s="3">
        <v>52.81521533364414</v>
      </c>
    </row>
    <row r="921" spans="1:2" ht="15.75" customHeight="1">
      <c r="A921" s="14">
        <v>17380</v>
      </c>
      <c r="B921" s="3">
        <v>50.456994762597382</v>
      </c>
    </row>
    <row r="922" spans="1:2" ht="15.75" customHeight="1">
      <c r="A922" s="14">
        <v>17411</v>
      </c>
      <c r="B922" s="3">
        <v>47.509271424549262</v>
      </c>
    </row>
    <row r="923" spans="1:2" ht="15.75" customHeight="1">
      <c r="A923" s="14">
        <v>17441</v>
      </c>
      <c r="B923" s="3">
        <v>50.543037420446971</v>
      </c>
    </row>
    <row r="924" spans="1:2" ht="15.75" customHeight="1">
      <c r="A924" s="14">
        <v>17472</v>
      </c>
      <c r="B924" s="3">
        <v>49.131627358894882</v>
      </c>
    </row>
    <row r="925" spans="1:2" ht="15.75" customHeight="1">
      <c r="A925" s="14">
        <v>17502</v>
      </c>
      <c r="B925" s="3">
        <v>47.237529271717499</v>
      </c>
    </row>
    <row r="926" spans="1:2" ht="15.75" customHeight="1">
      <c r="A926" s="14">
        <v>17533</v>
      </c>
      <c r="B926" s="3">
        <v>45.657880617735309</v>
      </c>
    </row>
    <row r="927" spans="1:2" ht="15.75" customHeight="1">
      <c r="A927" s="14">
        <v>17564</v>
      </c>
      <c r="B927" s="3">
        <v>40.35352801638156</v>
      </c>
    </row>
    <row r="928" spans="1:2" ht="15.75" customHeight="1">
      <c r="A928" s="14">
        <v>17593</v>
      </c>
      <c r="B928" s="3">
        <v>42.3302981132138</v>
      </c>
    </row>
    <row r="929" spans="1:2" ht="15.75" customHeight="1">
      <c r="A929" s="14">
        <v>17624</v>
      </c>
      <c r="B929" s="3">
        <v>51.793249928713124</v>
      </c>
    </row>
    <row r="930" spans="1:2" ht="15.75" customHeight="1">
      <c r="A930" s="14">
        <v>17654</v>
      </c>
      <c r="B930" s="3">
        <v>56.976880906862306</v>
      </c>
    </row>
    <row r="931" spans="1:2" ht="15.75" customHeight="1">
      <c r="A931" s="14">
        <v>17685</v>
      </c>
      <c r="B931" s="3">
        <v>61.010308325813803</v>
      </c>
    </row>
    <row r="932" spans="1:2" ht="15.75" customHeight="1">
      <c r="A932" s="14">
        <v>17715</v>
      </c>
      <c r="B932" s="3">
        <v>57.541928596648475</v>
      </c>
    </row>
    <row r="933" spans="1:2" ht="15.75" customHeight="1">
      <c r="A933" s="14">
        <v>17746</v>
      </c>
      <c r="B933" s="3">
        <v>53.603841953029459</v>
      </c>
    </row>
    <row r="934" spans="1:2" ht="15.75" customHeight="1">
      <c r="A934" s="14">
        <v>17777</v>
      </c>
      <c r="B934" s="3">
        <v>52.162150602056627</v>
      </c>
    </row>
    <row r="935" spans="1:2" ht="15.75" customHeight="1">
      <c r="A935" s="14">
        <v>17807</v>
      </c>
      <c r="B935" s="3">
        <v>55.257950508069236</v>
      </c>
    </row>
    <row r="936" spans="1:2" ht="15.75" customHeight="1">
      <c r="A936" s="14">
        <v>17838</v>
      </c>
      <c r="B936" s="3">
        <v>48.223662245266418</v>
      </c>
    </row>
    <row r="937" spans="1:2" ht="15.75" customHeight="1">
      <c r="A937" s="14">
        <v>17868</v>
      </c>
      <c r="B937" s="3">
        <v>47.500122665041211</v>
      </c>
    </row>
    <row r="938" spans="1:2" ht="15.75" customHeight="1">
      <c r="A938" s="14">
        <v>17899</v>
      </c>
      <c r="B938" s="3">
        <v>48.903664821289397</v>
      </c>
    </row>
    <row r="939" spans="1:2" ht="15.75" customHeight="1">
      <c r="A939" s="14">
        <v>17930</v>
      </c>
      <c r="B939" s="3">
        <v>44.461087199520755</v>
      </c>
    </row>
    <row r="940" spans="1:2" ht="15.75" customHeight="1">
      <c r="A940" s="14">
        <v>17958</v>
      </c>
      <c r="B940" s="3">
        <v>45.721129507608282</v>
      </c>
    </row>
    <row r="941" spans="1:2" ht="15.75" customHeight="1">
      <c r="A941" s="14">
        <v>17989</v>
      </c>
      <c r="B941" s="3">
        <v>45.562099848361875</v>
      </c>
    </row>
    <row r="942" spans="1:2" ht="15.75" customHeight="1">
      <c r="A942" s="14">
        <v>18019</v>
      </c>
      <c r="B942" s="3">
        <v>44.642379312518315</v>
      </c>
    </row>
    <row r="943" spans="1:2" ht="15.75" customHeight="1">
      <c r="A943" s="14">
        <v>18050</v>
      </c>
      <c r="B943" s="3">
        <v>38.482252481372967</v>
      </c>
    </row>
    <row r="944" spans="1:2" ht="15.75" customHeight="1">
      <c r="A944" s="14">
        <v>18080</v>
      </c>
      <c r="B944" s="3">
        <v>46.269593645862592</v>
      </c>
    </row>
    <row r="945" spans="1:2" ht="15.75" customHeight="1">
      <c r="A945" s="14">
        <v>18111</v>
      </c>
      <c r="B945" s="3">
        <v>50.77190255859712</v>
      </c>
    </row>
    <row r="946" spans="1:2" ht="15.75" customHeight="1">
      <c r="A946" s="14">
        <v>18142</v>
      </c>
      <c r="B946" s="3">
        <v>52.393056560717298</v>
      </c>
    </row>
    <row r="947" spans="1:2" ht="15.75" customHeight="1">
      <c r="A947" s="14">
        <v>18172</v>
      </c>
      <c r="B947" s="3">
        <v>55.546139417960532</v>
      </c>
    </row>
    <row r="948" spans="1:2" ht="15.75" customHeight="1">
      <c r="A948" s="14">
        <v>18203</v>
      </c>
      <c r="B948" s="3">
        <v>57.224211012897804</v>
      </c>
    </row>
    <row r="949" spans="1:2" ht="15.75" customHeight="1">
      <c r="A949" s="14">
        <v>18233</v>
      </c>
      <c r="B949" s="3">
        <v>60.372859612693368</v>
      </c>
    </row>
    <row r="950" spans="1:2" ht="15.75" customHeight="1">
      <c r="A950" s="14">
        <v>18264</v>
      </c>
      <c r="B950" s="3">
        <v>62.710146323956025</v>
      </c>
    </row>
    <row r="951" spans="1:2" ht="15.75" customHeight="1">
      <c r="A951" s="14">
        <v>18295</v>
      </c>
      <c r="B951" s="3">
        <v>64.875595206090082</v>
      </c>
    </row>
    <row r="952" spans="1:2" ht="15.75" customHeight="1">
      <c r="A952" s="14">
        <v>18323</v>
      </c>
      <c r="B952" s="3">
        <v>65.78340084940092</v>
      </c>
    </row>
    <row r="953" spans="1:2" ht="15.75" customHeight="1">
      <c r="A953" s="14">
        <v>18354</v>
      </c>
      <c r="B953" s="3">
        <v>68.820798298262474</v>
      </c>
    </row>
    <row r="954" spans="1:2" ht="15.75" customHeight="1">
      <c r="A954" s="14">
        <v>18384</v>
      </c>
      <c r="B954" s="3">
        <v>72.088132307760517</v>
      </c>
    </row>
    <row r="955" spans="1:2" ht="15.75" customHeight="1">
      <c r="A955" s="14">
        <v>18415</v>
      </c>
      <c r="B955" s="3">
        <v>73.578978479087098</v>
      </c>
    </row>
    <row r="956" spans="1:2" ht="15.75" customHeight="1">
      <c r="A956" s="14">
        <v>18445</v>
      </c>
      <c r="B956" s="3">
        <v>58.360665565879962</v>
      </c>
    </row>
    <row r="957" spans="1:2" ht="15.75" customHeight="1">
      <c r="A957" s="14">
        <v>18476</v>
      </c>
      <c r="B957" s="3">
        <v>64.470589835221844</v>
      </c>
    </row>
    <row r="958" spans="1:2" ht="15.75" customHeight="1">
      <c r="A958" s="14">
        <v>18507</v>
      </c>
      <c r="B958" s="3">
        <v>67.636484626877163</v>
      </c>
    </row>
    <row r="959" spans="1:2" ht="15.75" customHeight="1">
      <c r="A959" s="14">
        <v>18537</v>
      </c>
      <c r="B959" s="3">
        <v>71.016772201125107</v>
      </c>
    </row>
    <row r="960" spans="1:2" ht="15.75" customHeight="1">
      <c r="A960" s="14">
        <v>18568</v>
      </c>
      <c r="B960" s="3">
        <v>70.614601842987611</v>
      </c>
    </row>
    <row r="961" spans="1:2" ht="15.75" customHeight="1">
      <c r="A961" s="14">
        <v>18598</v>
      </c>
      <c r="B961" s="3">
        <v>69.763673192056331</v>
      </c>
    </row>
    <row r="962" spans="1:2" ht="15.75" customHeight="1">
      <c r="A962" s="14">
        <v>18629</v>
      </c>
      <c r="B962" s="3">
        <v>75.553470912532987</v>
      </c>
    </row>
    <row r="963" spans="1:2" ht="15.75" customHeight="1">
      <c r="A963" s="14">
        <v>18660</v>
      </c>
      <c r="B963" s="3">
        <v>78.007439882684011</v>
      </c>
    </row>
    <row r="964" spans="1:2" ht="15.75" customHeight="1">
      <c r="A964" s="14">
        <v>18688</v>
      </c>
      <c r="B964" s="3">
        <v>74.248224171393048</v>
      </c>
    </row>
    <row r="965" spans="1:2" ht="15.75" customHeight="1">
      <c r="A965" s="14">
        <v>18719</v>
      </c>
      <c r="B965" s="3">
        <v>75.254770268812322</v>
      </c>
    </row>
    <row r="966" spans="1:2" ht="15.75" customHeight="1">
      <c r="A966" s="14">
        <v>18749</v>
      </c>
      <c r="B966" s="3">
        <v>75.29063559177861</v>
      </c>
    </row>
    <row r="967" spans="1:2" ht="15.75" customHeight="1">
      <c r="A967" s="14">
        <v>18780</v>
      </c>
      <c r="B967" s="3">
        <v>71.074951051470279</v>
      </c>
    </row>
    <row r="968" spans="1:2" ht="15.75" customHeight="1">
      <c r="A968" s="14">
        <v>18810</v>
      </c>
      <c r="B968" s="3">
        <v>72.719919143932685</v>
      </c>
    </row>
    <row r="969" spans="1:2" ht="15.75" customHeight="1">
      <c r="A969" s="14">
        <v>18841</v>
      </c>
      <c r="B969" s="3">
        <v>76.375222480823908</v>
      </c>
    </row>
    <row r="970" spans="1:2" ht="15.75" customHeight="1">
      <c r="A970" s="14">
        <v>18872</v>
      </c>
      <c r="B970" s="3">
        <v>78.299684237045909</v>
      </c>
    </row>
    <row r="971" spans="1:2" ht="15.75" customHeight="1">
      <c r="A971" s="14">
        <v>18902</v>
      </c>
      <c r="B971" s="3">
        <v>76.927112951018344</v>
      </c>
    </row>
    <row r="972" spans="1:2" ht="15.75" customHeight="1">
      <c r="A972" s="14">
        <v>18933</v>
      </c>
      <c r="B972" s="3">
        <v>69.790561740740529</v>
      </c>
    </row>
    <row r="973" spans="1:2" ht="15.75" customHeight="1">
      <c r="A973" s="14">
        <v>18963</v>
      </c>
      <c r="B973" s="3">
        <v>72.725110434623303</v>
      </c>
    </row>
    <row r="974" spans="1:2" ht="15.75" customHeight="1">
      <c r="A974" s="14">
        <v>18994</v>
      </c>
      <c r="B974" s="3">
        <v>75.572570753781051</v>
      </c>
    </row>
    <row r="975" spans="1:2" ht="15.75" customHeight="1">
      <c r="A975" s="14">
        <v>19025</v>
      </c>
      <c r="B975" s="3">
        <v>71.065481681001899</v>
      </c>
    </row>
    <row r="976" spans="1:2" ht="15.75" customHeight="1">
      <c r="A976" s="14">
        <v>19054</v>
      </c>
      <c r="B976" s="3">
        <v>71.316695993154383</v>
      </c>
    </row>
    <row r="977" spans="1:2" ht="15.75" customHeight="1">
      <c r="A977" s="14">
        <v>19085</v>
      </c>
      <c r="B977" s="3">
        <v>70.547142135473408</v>
      </c>
    </row>
    <row r="978" spans="1:2" ht="15.75" customHeight="1">
      <c r="A978" s="14">
        <v>19115</v>
      </c>
      <c r="B978" s="3">
        <v>70.430220872313114</v>
      </c>
    </row>
    <row r="979" spans="1:2" ht="15.75" customHeight="1">
      <c r="A979" s="14">
        <v>19146</v>
      </c>
      <c r="B979" s="3">
        <v>73.504125390451875</v>
      </c>
    </row>
    <row r="980" spans="1:2" ht="15.75" customHeight="1">
      <c r="A980" s="14">
        <v>19176</v>
      </c>
      <c r="B980" s="3">
        <v>76.354841025878073</v>
      </c>
    </row>
    <row r="981" spans="1:2" ht="15.75" customHeight="1">
      <c r="A981" s="14">
        <v>19207</v>
      </c>
      <c r="B981" s="3">
        <v>76.739853435835386</v>
      </c>
    </row>
    <row r="982" spans="1:2" ht="15.75" customHeight="1">
      <c r="A982" s="14">
        <v>19238</v>
      </c>
      <c r="B982" s="3">
        <v>71.709983152276294</v>
      </c>
    </row>
    <row r="983" spans="1:2" ht="15.75" customHeight="1">
      <c r="A983" s="14">
        <v>19268</v>
      </c>
      <c r="B983" s="3">
        <v>65.682785704883969</v>
      </c>
    </row>
    <row r="984" spans="1:2" ht="15.75" customHeight="1">
      <c r="A984" s="14">
        <v>19299</v>
      </c>
      <c r="B984" s="3">
        <v>69.738754970778501</v>
      </c>
    </row>
    <row r="985" spans="1:2" ht="15.75" customHeight="1">
      <c r="A985" s="14">
        <v>19329</v>
      </c>
      <c r="B985" s="3">
        <v>74.068186283890526</v>
      </c>
    </row>
    <row r="986" spans="1:2" ht="15.75" customHeight="1">
      <c r="A986" s="14">
        <v>19360</v>
      </c>
      <c r="B986" s="3">
        <v>74.610425385185493</v>
      </c>
    </row>
    <row r="987" spans="1:2" ht="15.75" customHeight="1">
      <c r="A987" s="14">
        <v>19391</v>
      </c>
      <c r="B987" s="3">
        <v>70.958123347269037</v>
      </c>
    </row>
    <row r="988" spans="1:2" ht="15.75" customHeight="1">
      <c r="A988" s="14">
        <v>19419</v>
      </c>
      <c r="B988" s="3">
        <v>71.567052971448263</v>
      </c>
    </row>
    <row r="989" spans="1:2" ht="15.75" customHeight="1">
      <c r="A989" s="14">
        <v>19450</v>
      </c>
      <c r="B989" s="3">
        <v>58.549804951453879</v>
      </c>
    </row>
    <row r="990" spans="1:2" ht="15.75" customHeight="1">
      <c r="A990" s="14">
        <v>19480</v>
      </c>
      <c r="B990" s="3">
        <v>59.358333975192529</v>
      </c>
    </row>
    <row r="991" spans="1:2" ht="15.75" customHeight="1">
      <c r="A991" s="14">
        <v>19511</v>
      </c>
      <c r="B991" s="3">
        <v>51.895104963914228</v>
      </c>
    </row>
    <row r="992" spans="1:2" ht="15.75" customHeight="1">
      <c r="A992" s="14">
        <v>19541</v>
      </c>
      <c r="B992" s="3">
        <v>54.26105102776495</v>
      </c>
    </row>
    <row r="993" spans="1:2" ht="15.75" customHeight="1">
      <c r="A993" s="14">
        <v>19572</v>
      </c>
      <c r="B993" s="3">
        <v>54.962658302508061</v>
      </c>
    </row>
    <row r="994" spans="1:2" ht="15.75" customHeight="1">
      <c r="A994" s="14">
        <v>19603</v>
      </c>
      <c r="B994" s="3">
        <v>46.381341850867159</v>
      </c>
    </row>
    <row r="995" spans="1:2" ht="15.75" customHeight="1">
      <c r="A995" s="14">
        <v>19633</v>
      </c>
      <c r="B995" s="3">
        <v>51.480167712622091</v>
      </c>
    </row>
    <row r="996" spans="1:2" ht="15.75" customHeight="1">
      <c r="A996" s="14">
        <v>19664</v>
      </c>
      <c r="B996" s="3">
        <v>54.971597338686351</v>
      </c>
    </row>
    <row r="997" spans="1:2" ht="15.75" customHeight="1">
      <c r="A997" s="14">
        <v>19694</v>
      </c>
      <c r="B997" s="3">
        <v>57.044256980031371</v>
      </c>
    </row>
    <row r="998" spans="1:2" ht="15.75" customHeight="1">
      <c r="A998" s="14">
        <v>19725</v>
      </c>
      <c r="B998" s="3">
        <v>60.757937721654159</v>
      </c>
    </row>
    <row r="999" spans="1:2" ht="15.75" customHeight="1">
      <c r="A999" s="14">
        <v>19756</v>
      </c>
      <c r="B999" s="3">
        <v>63.7573453495461</v>
      </c>
    </row>
    <row r="1000" spans="1:2" ht="15.75" customHeight="1">
      <c r="A1000" s="14">
        <v>19784</v>
      </c>
      <c r="B1000" s="3">
        <v>66.468163325895517</v>
      </c>
    </row>
    <row r="1001" spans="1:2" ht="15.75" customHeight="1">
      <c r="A1001" s="14">
        <v>19815</v>
      </c>
      <c r="B1001" s="3">
        <v>70.974179268668877</v>
      </c>
    </row>
    <row r="1002" spans="1:2" ht="15.75" customHeight="1">
      <c r="A1002" s="14">
        <v>19845</v>
      </c>
      <c r="B1002" s="3">
        <v>74.764066285616423</v>
      </c>
    </row>
    <row r="1003" spans="1:2" ht="15.75" customHeight="1">
      <c r="A1003" s="14">
        <v>19876</v>
      </c>
      <c r="B1003" s="3">
        <v>75.484835776868891</v>
      </c>
    </row>
    <row r="1004" spans="1:2" ht="15.75" customHeight="1">
      <c r="A1004" s="14">
        <v>19906</v>
      </c>
      <c r="B1004" s="3">
        <v>78.801654212876343</v>
      </c>
    </row>
    <row r="1005" spans="1:2" ht="15.75" customHeight="1">
      <c r="A1005" s="14">
        <v>19937</v>
      </c>
      <c r="B1005" s="3">
        <v>80.275471336166973</v>
      </c>
    </row>
    <row r="1006" spans="1:2" ht="15.75" customHeight="1">
      <c r="A1006" s="14">
        <v>19968</v>
      </c>
      <c r="B1006" s="3">
        <v>81.901575375835094</v>
      </c>
    </row>
    <row r="1007" spans="1:2" ht="15.75" customHeight="1">
      <c r="A1007" s="14">
        <v>19998</v>
      </c>
      <c r="B1007" s="3">
        <v>83.396175064140635</v>
      </c>
    </row>
    <row r="1008" spans="1:2" ht="15.75" customHeight="1">
      <c r="A1008" s="14">
        <v>20029</v>
      </c>
      <c r="B1008" s="3">
        <v>85.605735836101601</v>
      </c>
    </row>
    <row r="1009" spans="1:2" ht="15.75" customHeight="1">
      <c r="A1009" s="14">
        <v>20059</v>
      </c>
      <c r="B1009" s="3">
        <v>87.739354115760392</v>
      </c>
    </row>
    <row r="1010" spans="1:2" ht="15.75" customHeight="1">
      <c r="A1010" s="14">
        <v>20090</v>
      </c>
      <c r="B1010" s="3">
        <v>88.495537923806282</v>
      </c>
    </row>
    <row r="1011" spans="1:2" ht="15.75" customHeight="1">
      <c r="A1011" s="14">
        <v>20121</v>
      </c>
      <c r="B1011" s="3">
        <v>89.777990725001644</v>
      </c>
    </row>
    <row r="1012" spans="1:2" ht="15.75" customHeight="1">
      <c r="A1012" s="14">
        <v>20149</v>
      </c>
      <c r="B1012" s="3">
        <v>87.226127544653991</v>
      </c>
    </row>
    <row r="1013" spans="1:2" ht="15.75" customHeight="1">
      <c r="A1013" s="14">
        <v>20180</v>
      </c>
      <c r="B1013" s="3">
        <v>88.725599029128304</v>
      </c>
    </row>
    <row r="1014" spans="1:2" ht="15.75" customHeight="1">
      <c r="A1014" s="14">
        <v>20210</v>
      </c>
      <c r="B1014" s="3">
        <v>87.323810711945583</v>
      </c>
    </row>
    <row r="1015" spans="1:2" ht="15.75" customHeight="1">
      <c r="A1015" s="14">
        <v>20241</v>
      </c>
      <c r="B1015" s="3">
        <v>89.709398714037306</v>
      </c>
    </row>
    <row r="1016" spans="1:2" ht="15.75" customHeight="1">
      <c r="A1016" s="14">
        <v>20271</v>
      </c>
      <c r="B1016" s="3">
        <v>91.900593958231326</v>
      </c>
    </row>
    <row r="1017" spans="1:2" ht="15.75" customHeight="1">
      <c r="A1017" s="14">
        <v>20302</v>
      </c>
      <c r="B1017" s="3">
        <v>90.055511979598876</v>
      </c>
    </row>
    <row r="1018" spans="1:2" ht="15.75" customHeight="1">
      <c r="A1018" s="14">
        <v>20333</v>
      </c>
      <c r="B1018" s="3">
        <v>91.418535802026938</v>
      </c>
    </row>
    <row r="1019" spans="1:2" ht="15.75" customHeight="1">
      <c r="A1019" s="14">
        <v>20363</v>
      </c>
      <c r="B1019" s="3">
        <v>77.979776309420032</v>
      </c>
    </row>
    <row r="1020" spans="1:2" ht="15.75" customHeight="1">
      <c r="A1020" s="14">
        <v>20394</v>
      </c>
      <c r="B1020" s="3">
        <v>81.674478395392271</v>
      </c>
    </row>
    <row r="1021" spans="1:2" ht="15.75" customHeight="1">
      <c r="A1021" s="14">
        <v>20424</v>
      </c>
      <c r="B1021" s="3">
        <v>82.151432616036402</v>
      </c>
    </row>
    <row r="1022" spans="1:2" ht="15.75" customHeight="1">
      <c r="A1022" s="14">
        <v>20455</v>
      </c>
      <c r="B1022" s="3">
        <v>75.966464176938729</v>
      </c>
    </row>
    <row r="1023" spans="1:2" ht="15.75" customHeight="1">
      <c r="A1023" s="14">
        <v>20486</v>
      </c>
      <c r="B1023" s="3">
        <v>76.405515930195946</v>
      </c>
    </row>
    <row r="1024" spans="1:2" ht="15.75" customHeight="1">
      <c r="A1024" s="14">
        <v>20515</v>
      </c>
      <c r="B1024" s="3">
        <v>80.580732199067967</v>
      </c>
    </row>
    <row r="1025" spans="1:2" ht="15.75" customHeight="1">
      <c r="A1025" s="14">
        <v>20546</v>
      </c>
      <c r="B1025" s="3">
        <v>81.235164222697634</v>
      </c>
    </row>
    <row r="1026" spans="1:2" ht="15.75" customHeight="1">
      <c r="A1026" s="14">
        <v>20576</v>
      </c>
      <c r="B1026" s="3">
        <v>73.994100177947274</v>
      </c>
    </row>
    <row r="1027" spans="1:2" ht="15.75" customHeight="1">
      <c r="A1027" s="14">
        <v>20607</v>
      </c>
      <c r="B1027" s="3">
        <v>72.745464479179404</v>
      </c>
    </row>
    <row r="1028" spans="1:2" ht="15.75" customHeight="1">
      <c r="A1028" s="14">
        <v>20637</v>
      </c>
      <c r="B1028" s="3">
        <v>76.684407908145147</v>
      </c>
    </row>
    <row r="1029" spans="1:2" ht="15.75" customHeight="1">
      <c r="A1029" s="14">
        <v>20668</v>
      </c>
      <c r="B1029" s="3">
        <v>75.329790422000698</v>
      </c>
    </row>
    <row r="1030" spans="1:2" ht="15.75" customHeight="1">
      <c r="A1030" s="14">
        <v>20699</v>
      </c>
      <c r="B1030" s="3">
        <v>67.972567533051517</v>
      </c>
    </row>
    <row r="1031" spans="1:2" ht="15.75" customHeight="1">
      <c r="A1031" s="14">
        <v>20729</v>
      </c>
      <c r="B1031" s="3">
        <v>65.468580540422522</v>
      </c>
    </row>
    <row r="1032" spans="1:2" ht="15.75" customHeight="1">
      <c r="A1032" s="14">
        <v>20760</v>
      </c>
      <c r="B1032" s="3">
        <v>63.454685825380032</v>
      </c>
    </row>
    <row r="1033" spans="1:2" ht="15.75" customHeight="1">
      <c r="A1033" s="14">
        <v>20790</v>
      </c>
      <c r="B1033" s="3">
        <v>65.092897430563085</v>
      </c>
    </row>
    <row r="1034" spans="1:2" ht="15.75" customHeight="1">
      <c r="A1034" s="14">
        <v>20821</v>
      </c>
      <c r="B1034" s="3">
        <v>60.737831583022995</v>
      </c>
    </row>
    <row r="1035" spans="1:2" ht="15.75" customHeight="1">
      <c r="A1035" s="14">
        <v>20852</v>
      </c>
      <c r="B1035" s="3">
        <v>53.287044745449862</v>
      </c>
    </row>
    <row r="1036" spans="1:2" ht="15.75" customHeight="1">
      <c r="A1036" s="14">
        <v>20880</v>
      </c>
      <c r="B1036" s="3">
        <v>54.98609484961051</v>
      </c>
    </row>
    <row r="1037" spans="1:2" ht="15.75" customHeight="1">
      <c r="A1037" s="14">
        <v>20911</v>
      </c>
      <c r="B1037" s="3">
        <v>57.983758305683757</v>
      </c>
    </row>
    <row r="1038" spans="1:2" ht="15.75" customHeight="1">
      <c r="A1038" s="14">
        <v>20941</v>
      </c>
      <c r="B1038" s="3">
        <v>62.540260181484584</v>
      </c>
    </row>
    <row r="1039" spans="1:2" ht="15.75" customHeight="1">
      <c r="A1039" s="14">
        <v>20972</v>
      </c>
      <c r="B1039" s="3">
        <v>64.391235231869018</v>
      </c>
    </row>
    <row r="1040" spans="1:2" ht="15.75" customHeight="1">
      <c r="A1040" s="14">
        <v>21002</v>
      </c>
      <c r="B1040" s="3">
        <v>66.60667842777535</v>
      </c>
    </row>
    <row r="1041" spans="1:2" ht="15.75" customHeight="1">
      <c r="A1041" s="14">
        <v>21033</v>
      </c>
      <c r="B1041" s="3">
        <v>56.144225493575611</v>
      </c>
    </row>
    <row r="1042" spans="1:2" ht="15.75" customHeight="1">
      <c r="A1042" s="14">
        <v>21064</v>
      </c>
      <c r="B1042" s="3">
        <v>50.225522217261656</v>
      </c>
    </row>
    <row r="1043" spans="1:2" ht="15.75" customHeight="1">
      <c r="A1043" s="14">
        <v>21094</v>
      </c>
      <c r="B1043" s="3">
        <v>43.029250455923901</v>
      </c>
    </row>
    <row r="1044" spans="1:2" ht="15.75" customHeight="1">
      <c r="A1044" s="14">
        <v>21125</v>
      </c>
      <c r="B1044" s="3">
        <v>40.975572902327116</v>
      </c>
    </row>
    <row r="1045" spans="1:2" ht="15.75" customHeight="1">
      <c r="A1045" s="14">
        <v>21155</v>
      </c>
      <c r="B1045" s="3">
        <v>40.928299501257811</v>
      </c>
    </row>
    <row r="1046" spans="1:2" ht="15.75" customHeight="1">
      <c r="A1046" s="14">
        <v>21186</v>
      </c>
      <c r="B1046" s="3">
        <v>43.691713206300818</v>
      </c>
    </row>
    <row r="1047" spans="1:2" ht="15.75" customHeight="1">
      <c r="A1047" s="14">
        <v>21217</v>
      </c>
      <c r="B1047" s="3">
        <v>44.189982609502671</v>
      </c>
    </row>
    <row r="1048" spans="1:2" ht="15.75" customHeight="1">
      <c r="A1048" s="14">
        <v>21245</v>
      </c>
      <c r="B1048" s="3">
        <v>47.242457077726684</v>
      </c>
    </row>
    <row r="1049" spans="1:2" ht="15.75" customHeight="1">
      <c r="A1049" s="14">
        <v>21276</v>
      </c>
      <c r="B1049" s="3">
        <v>48.070114925528202</v>
      </c>
    </row>
    <row r="1050" spans="1:2" ht="15.75" customHeight="1">
      <c r="A1050" s="14">
        <v>21306</v>
      </c>
      <c r="B1050" s="3">
        <v>52.786687327260196</v>
      </c>
    </row>
    <row r="1051" spans="1:2" ht="15.75" customHeight="1">
      <c r="A1051" s="14">
        <v>21337</v>
      </c>
      <c r="B1051" s="3">
        <v>56.101747744460965</v>
      </c>
    </row>
    <row r="1052" spans="1:2" ht="15.75" customHeight="1">
      <c r="A1052" s="14">
        <v>21367</v>
      </c>
      <c r="B1052" s="3">
        <v>59.673777079330648</v>
      </c>
    </row>
    <row r="1053" spans="1:2" ht="15.75" customHeight="1">
      <c r="A1053" s="14">
        <v>21398</v>
      </c>
      <c r="B1053" s="3">
        <v>64.075895821973916</v>
      </c>
    </row>
    <row r="1054" spans="1:2" ht="15.75" customHeight="1">
      <c r="A1054" s="14">
        <v>21429</v>
      </c>
      <c r="B1054" s="3">
        <v>66.924350834582469</v>
      </c>
    </row>
    <row r="1055" spans="1:2" ht="15.75" customHeight="1">
      <c r="A1055" s="14">
        <v>21459</v>
      </c>
      <c r="B1055" s="3">
        <v>70.854923518224794</v>
      </c>
    </row>
    <row r="1056" spans="1:2" ht="15.75" customHeight="1">
      <c r="A1056" s="14">
        <v>21490</v>
      </c>
      <c r="B1056" s="3">
        <v>73.496780999373385</v>
      </c>
    </row>
    <row r="1057" spans="1:2" ht="15.75" customHeight="1">
      <c r="A1057" s="14">
        <v>21520</v>
      </c>
      <c r="B1057" s="3">
        <v>75.052258053420388</v>
      </c>
    </row>
    <row r="1058" spans="1:2" ht="15.75" customHeight="1">
      <c r="A1058" s="14">
        <v>21551</v>
      </c>
      <c r="B1058" s="3">
        <v>78.038688157130082</v>
      </c>
    </row>
    <row r="1059" spans="1:2" ht="15.75" customHeight="1">
      <c r="A1059" s="14">
        <v>21582</v>
      </c>
      <c r="B1059" s="3">
        <v>74.220402447472807</v>
      </c>
    </row>
    <row r="1060" spans="1:2" ht="15.75" customHeight="1">
      <c r="A1060" s="14">
        <v>21610</v>
      </c>
      <c r="B1060" s="3">
        <v>76.265522015231909</v>
      </c>
    </row>
    <row r="1061" spans="1:2" ht="15.75" customHeight="1">
      <c r="A1061" s="14">
        <v>21641</v>
      </c>
      <c r="B1061" s="3">
        <v>77.56188515523047</v>
      </c>
    </row>
    <row r="1062" spans="1:2" ht="15.75" customHeight="1">
      <c r="A1062" s="14">
        <v>21671</v>
      </c>
      <c r="B1062" s="3">
        <v>78.707726044933779</v>
      </c>
    </row>
    <row r="1063" spans="1:2" ht="15.75" customHeight="1">
      <c r="A1063" s="14">
        <v>21702</v>
      </c>
      <c r="B1063" s="3">
        <v>76.269113059679967</v>
      </c>
    </row>
    <row r="1064" spans="1:2" ht="15.75" customHeight="1">
      <c r="A1064" s="14">
        <v>21732</v>
      </c>
      <c r="B1064" s="3">
        <v>79.402972988287203</v>
      </c>
    </row>
    <row r="1065" spans="1:2" ht="15.75" customHeight="1">
      <c r="A1065" s="14">
        <v>21763</v>
      </c>
      <c r="B1065" s="3">
        <v>77.753986751996464</v>
      </c>
    </row>
    <row r="1066" spans="1:2" ht="15.75" customHeight="1">
      <c r="A1066" s="14">
        <v>21794</v>
      </c>
      <c r="B1066" s="3">
        <v>67.343945453137422</v>
      </c>
    </row>
    <row r="1067" spans="1:2" ht="15.75" customHeight="1">
      <c r="A1067" s="14">
        <v>21824</v>
      </c>
      <c r="B1067" s="3">
        <v>67.137984491423595</v>
      </c>
    </row>
    <row r="1068" spans="1:2" ht="15.75" customHeight="1">
      <c r="A1068" s="14">
        <v>21855</v>
      </c>
      <c r="B1068" s="3">
        <v>67.628432081037857</v>
      </c>
    </row>
    <row r="1069" spans="1:2" ht="15.75" customHeight="1">
      <c r="A1069" s="14">
        <v>21885</v>
      </c>
      <c r="B1069" s="3">
        <v>71.298776022311301</v>
      </c>
    </row>
    <row r="1070" spans="1:2" ht="15.75" customHeight="1">
      <c r="A1070" s="14">
        <v>21916</v>
      </c>
      <c r="B1070" s="3">
        <v>66.713874519105644</v>
      </c>
    </row>
    <row r="1071" spans="1:2" ht="15.75" customHeight="1">
      <c r="A1071" s="14">
        <v>21947</v>
      </c>
      <c r="B1071" s="3">
        <v>57.947629813409861</v>
      </c>
    </row>
    <row r="1072" spans="1:2" ht="15.75" customHeight="1">
      <c r="A1072" s="14">
        <v>21976</v>
      </c>
      <c r="B1072" s="3">
        <v>55.30417958660923</v>
      </c>
    </row>
    <row r="1073" spans="1:2" ht="15.75" customHeight="1">
      <c r="A1073" s="14">
        <v>22007</v>
      </c>
      <c r="B1073" s="3">
        <v>57.265478319006057</v>
      </c>
    </row>
    <row r="1074" spans="1:2" ht="15.75" customHeight="1">
      <c r="A1074" s="14">
        <v>22037</v>
      </c>
      <c r="B1074" s="3">
        <v>55.385430562434031</v>
      </c>
    </row>
    <row r="1075" spans="1:2" ht="15.75" customHeight="1">
      <c r="A1075" s="14">
        <v>22068</v>
      </c>
      <c r="B1075" s="3">
        <v>60.913209585420056</v>
      </c>
    </row>
    <row r="1076" spans="1:2" ht="15.75" customHeight="1">
      <c r="A1076" s="14">
        <v>22098</v>
      </c>
      <c r="B1076" s="3">
        <v>55.736470338093454</v>
      </c>
    </row>
    <row r="1077" spans="1:2" ht="15.75" customHeight="1">
      <c r="A1077" s="14">
        <v>22129</v>
      </c>
      <c r="B1077" s="3">
        <v>57.568790497266676</v>
      </c>
    </row>
    <row r="1078" spans="1:2" ht="15.75" customHeight="1">
      <c r="A1078" s="14">
        <v>22160</v>
      </c>
      <c r="B1078" s="3">
        <v>51.718710469796875</v>
      </c>
    </row>
    <row r="1079" spans="1:2" ht="15.75" customHeight="1">
      <c r="A1079" s="14">
        <v>22190</v>
      </c>
      <c r="B1079" s="3">
        <v>48.356759253307885</v>
      </c>
    </row>
    <row r="1080" spans="1:2" ht="15.75" customHeight="1">
      <c r="A1080" s="14">
        <v>22221</v>
      </c>
      <c r="B1080" s="3">
        <v>53.591026126347018</v>
      </c>
    </row>
    <row r="1081" spans="1:2" ht="15.75" customHeight="1">
      <c r="A1081" s="14">
        <v>22251</v>
      </c>
      <c r="B1081" s="3">
        <v>57.164824150117525</v>
      </c>
    </row>
    <row r="1082" spans="1:2" ht="15.75" customHeight="1">
      <c r="A1082" s="14">
        <v>22282</v>
      </c>
      <c r="B1082" s="3">
        <v>63.762643762627278</v>
      </c>
    </row>
    <row r="1083" spans="1:2" ht="15.75" customHeight="1">
      <c r="A1083" s="14">
        <v>22313</v>
      </c>
      <c r="B1083" s="3">
        <v>68.189883674214485</v>
      </c>
    </row>
    <row r="1084" spans="1:2" ht="15.75" customHeight="1">
      <c r="A1084" s="14">
        <v>22341</v>
      </c>
      <c r="B1084" s="3">
        <v>71.205268815347097</v>
      </c>
    </row>
    <row r="1085" spans="1:2" ht="15.75" customHeight="1">
      <c r="A1085" s="14">
        <v>22372</v>
      </c>
      <c r="B1085" s="3">
        <v>73.571195256801943</v>
      </c>
    </row>
    <row r="1086" spans="1:2" ht="15.75" customHeight="1">
      <c r="A1086" s="14">
        <v>22402</v>
      </c>
      <c r="B1086" s="3">
        <v>74.456774290782903</v>
      </c>
    </row>
    <row r="1087" spans="1:2" ht="15.75" customHeight="1">
      <c r="A1087" s="14">
        <v>22433</v>
      </c>
      <c r="B1087" s="3">
        <v>71.087505705518495</v>
      </c>
    </row>
    <row r="1088" spans="1:2" ht="15.75" customHeight="1">
      <c r="A1088" s="14">
        <v>22463</v>
      </c>
      <c r="B1088" s="3">
        <v>70.385902418842036</v>
      </c>
    </row>
    <row r="1089" spans="1:2" ht="15.75" customHeight="1">
      <c r="A1089" s="14">
        <v>22494</v>
      </c>
      <c r="B1089" s="3">
        <v>73.994537459560647</v>
      </c>
    </row>
    <row r="1090" spans="1:2" ht="15.75" customHeight="1">
      <c r="A1090" s="14">
        <v>22525</v>
      </c>
      <c r="B1090" s="3">
        <v>71.867525930761047</v>
      </c>
    </row>
    <row r="1091" spans="1:2" ht="15.75" customHeight="1">
      <c r="A1091" s="14">
        <v>22555</v>
      </c>
      <c r="B1091" s="3">
        <v>73.033104798660872</v>
      </c>
    </row>
    <row r="1092" spans="1:2" ht="15.75" customHeight="1">
      <c r="A1092" s="14">
        <v>22586</v>
      </c>
      <c r="B1092" s="3">
        <v>77.25677062132678</v>
      </c>
    </row>
    <row r="1093" spans="1:2" ht="15.75" customHeight="1">
      <c r="A1093" s="14">
        <v>22616</v>
      </c>
      <c r="B1093" s="3">
        <v>78.050127349721151</v>
      </c>
    </row>
    <row r="1094" spans="1:2" ht="15.75" customHeight="1">
      <c r="A1094" s="14">
        <v>22647</v>
      </c>
      <c r="B1094" s="3">
        <v>67.753394488633887</v>
      </c>
    </row>
    <row r="1095" spans="1:2" ht="15.75" customHeight="1">
      <c r="A1095" s="14">
        <v>22678</v>
      </c>
      <c r="B1095" s="3">
        <v>69.612855121985604</v>
      </c>
    </row>
    <row r="1096" spans="1:2" ht="15.75" customHeight="1">
      <c r="A1096" s="14">
        <v>22706</v>
      </c>
      <c r="B1096" s="3">
        <v>69.727284948548444</v>
      </c>
    </row>
    <row r="1097" spans="1:2" ht="15.75" customHeight="1">
      <c r="A1097" s="14">
        <v>22737</v>
      </c>
      <c r="B1097" s="3">
        <v>61.717965653557222</v>
      </c>
    </row>
    <row r="1098" spans="1:2" ht="15.75" customHeight="1">
      <c r="A1098" s="14">
        <v>22767</v>
      </c>
      <c r="B1098" s="3">
        <v>48.238472039111251</v>
      </c>
    </row>
    <row r="1099" spans="1:2" ht="15.75" customHeight="1">
      <c r="A1099" s="14">
        <v>22798</v>
      </c>
      <c r="B1099" s="3">
        <v>35.942091366814225</v>
      </c>
    </row>
    <row r="1100" spans="1:2" ht="15.75" customHeight="1">
      <c r="A1100" s="14">
        <v>22828</v>
      </c>
      <c r="B1100" s="3">
        <v>38.991300362803706</v>
      </c>
    </row>
    <row r="1101" spans="1:2" ht="15.75" customHeight="1">
      <c r="A1101" s="14">
        <v>22859</v>
      </c>
      <c r="B1101" s="3">
        <v>42.406376740573563</v>
      </c>
    </row>
    <row r="1102" spans="1:2" ht="15.75" customHeight="1">
      <c r="A1102" s="14">
        <v>22890</v>
      </c>
      <c r="B1102" s="3">
        <v>41.565754929400704</v>
      </c>
    </row>
    <row r="1103" spans="1:2" ht="15.75" customHeight="1">
      <c r="A1103" s="14">
        <v>22920</v>
      </c>
      <c r="B1103" s="3">
        <v>38.6612146045006</v>
      </c>
    </row>
    <row r="1104" spans="1:2" ht="15.75" customHeight="1">
      <c r="A1104" s="14">
        <v>22951</v>
      </c>
      <c r="B1104" s="3">
        <v>47.082620931931778</v>
      </c>
    </row>
    <row r="1105" spans="1:2" ht="15.75" customHeight="1">
      <c r="A1105" s="14">
        <v>22981</v>
      </c>
      <c r="B1105" s="3">
        <v>51.86413358976931</v>
      </c>
    </row>
    <row r="1106" spans="1:2" ht="15.75" customHeight="1">
      <c r="A1106" s="14">
        <v>23012</v>
      </c>
      <c r="B1106" s="3">
        <v>55.861814790445884</v>
      </c>
    </row>
    <row r="1107" spans="1:2" ht="15.75" customHeight="1">
      <c r="A1107" s="14">
        <v>23043</v>
      </c>
      <c r="B1107" s="3">
        <v>57.221482741308911</v>
      </c>
    </row>
    <row r="1108" spans="1:2" ht="15.75" customHeight="1">
      <c r="A1108" s="14">
        <v>23071</v>
      </c>
      <c r="B1108" s="3">
        <v>56.674925582039521</v>
      </c>
    </row>
    <row r="1109" spans="1:2" ht="15.75" customHeight="1">
      <c r="A1109" s="14">
        <v>23102</v>
      </c>
      <c r="B1109" s="3">
        <v>61.561914785904101</v>
      </c>
    </row>
    <row r="1110" spans="1:2" ht="15.75" customHeight="1">
      <c r="A1110" s="14">
        <v>23132</v>
      </c>
      <c r="B1110" s="3">
        <v>63.539909362750343</v>
      </c>
    </row>
    <row r="1111" spans="1:2" ht="15.75" customHeight="1">
      <c r="A1111" s="14">
        <v>23163</v>
      </c>
      <c r="B1111" s="3">
        <v>63.463452952962491</v>
      </c>
    </row>
    <row r="1112" spans="1:2" ht="15.75" customHeight="1">
      <c r="A1112" s="14">
        <v>23193</v>
      </c>
      <c r="B1112" s="3">
        <v>60.735080300926832</v>
      </c>
    </row>
    <row r="1113" spans="1:2" ht="15.75" customHeight="1">
      <c r="A1113" s="14">
        <v>23224</v>
      </c>
      <c r="B1113" s="3">
        <v>63.812085674989206</v>
      </c>
    </row>
    <row r="1114" spans="1:2" ht="15.75" customHeight="1">
      <c r="A1114" s="14">
        <v>23255</v>
      </c>
      <c r="B1114" s="3">
        <v>66.573945194893014</v>
      </c>
    </row>
    <row r="1115" spans="1:2" ht="15.75" customHeight="1">
      <c r="A1115" s="14">
        <v>23285</v>
      </c>
      <c r="B1115" s="3">
        <v>66.836316523598086</v>
      </c>
    </row>
    <row r="1116" spans="1:2" ht="15.75" customHeight="1">
      <c r="A1116" s="14">
        <v>23316</v>
      </c>
      <c r="B1116" s="3">
        <v>65.573741331058869</v>
      </c>
    </row>
    <row r="1117" spans="1:2" ht="15.75" customHeight="1">
      <c r="A1117" s="14">
        <v>23346</v>
      </c>
      <c r="B1117" s="3">
        <v>68.032342497106924</v>
      </c>
    </row>
    <row r="1118" spans="1:2" ht="15.75" customHeight="1">
      <c r="A1118" s="14">
        <v>23377</v>
      </c>
      <c r="B1118" s="3">
        <v>71.281345930182979</v>
      </c>
    </row>
    <row r="1119" spans="1:2" ht="15.75" customHeight="1">
      <c r="A1119" s="14">
        <v>23408</v>
      </c>
      <c r="B1119" s="3">
        <v>72.521320846471511</v>
      </c>
    </row>
    <row r="1120" spans="1:2" ht="15.75" customHeight="1">
      <c r="A1120" s="14">
        <v>23437</v>
      </c>
      <c r="B1120" s="3">
        <v>74.312914792306628</v>
      </c>
    </row>
    <row r="1121" spans="1:2" ht="15.75" customHeight="1">
      <c r="A1121" s="14">
        <v>23468</v>
      </c>
      <c r="B1121" s="3">
        <v>75.692818431868346</v>
      </c>
    </row>
    <row r="1122" spans="1:2" ht="15.75" customHeight="1">
      <c r="A1122" s="14">
        <v>23498</v>
      </c>
      <c r="B1122" s="3">
        <v>76.618334189683992</v>
      </c>
    </row>
    <row r="1123" spans="1:2" ht="15.75" customHeight="1">
      <c r="A1123" s="14">
        <v>23529</v>
      </c>
      <c r="B1123" s="3">
        <v>74.732557024302267</v>
      </c>
    </row>
    <row r="1124" spans="1:2" ht="15.75" customHeight="1">
      <c r="A1124" s="14">
        <v>23559</v>
      </c>
      <c r="B1124" s="3">
        <v>78.302964455085984</v>
      </c>
    </row>
    <row r="1125" spans="1:2" ht="15.75" customHeight="1">
      <c r="A1125" s="14">
        <v>23590</v>
      </c>
      <c r="B1125" s="3">
        <v>73.710815672423337</v>
      </c>
    </row>
    <row r="1126" spans="1:2" ht="15.75" customHeight="1">
      <c r="A1126" s="14">
        <v>23621</v>
      </c>
      <c r="B1126" s="3">
        <v>75.499204304014057</v>
      </c>
    </row>
    <row r="1127" spans="1:2" ht="15.75" customHeight="1">
      <c r="A1127" s="14">
        <v>23651</v>
      </c>
      <c r="B1127" s="3">
        <v>77.204727535144315</v>
      </c>
    </row>
    <row r="1128" spans="1:2" ht="15.75" customHeight="1">
      <c r="A1128" s="14">
        <v>23682</v>
      </c>
      <c r="B1128" s="3">
        <v>77.884021585458626</v>
      </c>
    </row>
    <row r="1129" spans="1:2" ht="15.75" customHeight="1">
      <c r="A1129" s="14">
        <v>23712</v>
      </c>
      <c r="B1129" s="3">
        <v>72.081321178137614</v>
      </c>
    </row>
    <row r="1130" spans="1:2" ht="15.75" customHeight="1">
      <c r="A1130" s="14">
        <v>23743</v>
      </c>
      <c r="B1130" s="3">
        <v>75.007906175007946</v>
      </c>
    </row>
    <row r="1131" spans="1:2" ht="15.75" customHeight="1">
      <c r="A1131" s="14">
        <v>23774</v>
      </c>
      <c r="B1131" s="3">
        <v>75.80456291164819</v>
      </c>
    </row>
    <row r="1132" spans="1:2" ht="15.75" customHeight="1">
      <c r="A1132" s="14">
        <v>23802</v>
      </c>
      <c r="B1132" s="3">
        <v>75.909576896591048</v>
      </c>
    </row>
    <row r="1133" spans="1:2" ht="15.75" customHeight="1">
      <c r="A1133" s="14">
        <v>23833</v>
      </c>
      <c r="B1133" s="3">
        <v>77.41394330895325</v>
      </c>
    </row>
    <row r="1134" spans="1:2" ht="15.75" customHeight="1">
      <c r="A1134" s="14">
        <v>23863</v>
      </c>
      <c r="B1134" s="3">
        <v>79.03415824714881</v>
      </c>
    </row>
    <row r="1135" spans="1:2" ht="15.75" customHeight="1">
      <c r="A1135" s="14">
        <v>23894</v>
      </c>
      <c r="B1135" s="3">
        <v>63.225245957613076</v>
      </c>
    </row>
    <row r="1136" spans="1:2" ht="15.75" customHeight="1">
      <c r="A1136" s="14">
        <v>23924</v>
      </c>
      <c r="B1136" s="3">
        <v>62.810405661948977</v>
      </c>
    </row>
    <row r="1137" spans="1:2" ht="15.75" customHeight="1">
      <c r="A1137" s="14">
        <v>23955</v>
      </c>
      <c r="B1137" s="3">
        <v>65.751633625723201</v>
      </c>
    </row>
    <row r="1138" spans="1:2" ht="15.75" customHeight="1">
      <c r="A1138" s="14">
        <v>23986</v>
      </c>
      <c r="B1138" s="3">
        <v>70.367939121860829</v>
      </c>
    </row>
    <row r="1139" spans="1:2" ht="15.75" customHeight="1">
      <c r="A1139" s="14">
        <v>24016</v>
      </c>
      <c r="B1139" s="3">
        <v>73.085185223644288</v>
      </c>
    </row>
    <row r="1140" spans="1:2" ht="15.75" customHeight="1">
      <c r="A1140" s="14">
        <v>24047</v>
      </c>
      <c r="B1140" s="3">
        <v>74.053997838928041</v>
      </c>
    </row>
    <row r="1141" spans="1:2" ht="15.75" customHeight="1">
      <c r="A1141" s="14">
        <v>24077</v>
      </c>
      <c r="B1141" s="3">
        <v>72.500853245995131</v>
      </c>
    </row>
    <row r="1142" spans="1:2" ht="15.75" customHeight="1">
      <c r="A1142" s="14">
        <v>24108</v>
      </c>
      <c r="B1142" s="3">
        <v>74.666975390906174</v>
      </c>
    </row>
    <row r="1143" spans="1:2" ht="15.75" customHeight="1">
      <c r="A1143" s="14">
        <v>24139</v>
      </c>
      <c r="B1143" s="3">
        <v>72.238895732092317</v>
      </c>
    </row>
    <row r="1144" spans="1:2" ht="15.75" customHeight="1">
      <c r="A1144" s="14">
        <v>24167</v>
      </c>
      <c r="B1144" s="3">
        <v>59.613425580489029</v>
      </c>
    </row>
    <row r="1145" spans="1:2" ht="15.75" customHeight="1">
      <c r="A1145" s="14">
        <v>24198</v>
      </c>
      <c r="B1145" s="3">
        <v>64.397379984723173</v>
      </c>
    </row>
    <row r="1146" spans="1:2" ht="15.75" customHeight="1">
      <c r="A1146" s="14">
        <v>24228</v>
      </c>
      <c r="B1146" s="3">
        <v>52.524083458673317</v>
      </c>
    </row>
    <row r="1147" spans="1:2" ht="15.75" customHeight="1">
      <c r="A1147" s="14">
        <v>24259</v>
      </c>
      <c r="B1147" s="3">
        <v>51.011087257812946</v>
      </c>
    </row>
    <row r="1148" spans="1:2" ht="15.75" customHeight="1">
      <c r="A1148" s="14">
        <v>24289</v>
      </c>
      <c r="B1148" s="3">
        <v>50.53210261214322</v>
      </c>
    </row>
    <row r="1149" spans="1:2" ht="15.75" customHeight="1">
      <c r="A1149" s="14">
        <v>24320</v>
      </c>
      <c r="B1149" s="3">
        <v>40.799278861192576</v>
      </c>
    </row>
    <row r="1150" spans="1:2" ht="15.75" customHeight="1">
      <c r="A1150" s="14">
        <v>24351</v>
      </c>
      <c r="B1150" s="3">
        <v>36.640476618836495</v>
      </c>
    </row>
    <row r="1151" spans="1:2" ht="15.75" customHeight="1">
      <c r="A1151" s="14">
        <v>24381</v>
      </c>
      <c r="B1151" s="3">
        <v>35.702083951551515</v>
      </c>
    </row>
    <row r="1152" spans="1:2" ht="15.75" customHeight="1">
      <c r="A1152" s="14">
        <v>24412</v>
      </c>
      <c r="B1152" s="3">
        <v>44.405996460649867</v>
      </c>
    </row>
    <row r="1153" spans="1:2" ht="15.75" customHeight="1">
      <c r="A1153" s="14">
        <v>24442</v>
      </c>
      <c r="B1153" s="3">
        <v>45.110820413665792</v>
      </c>
    </row>
    <row r="1154" spans="1:2" ht="15.75" customHeight="1">
      <c r="A1154" s="14">
        <v>24473</v>
      </c>
      <c r="B1154" s="3">
        <v>51.222150158357152</v>
      </c>
    </row>
    <row r="1155" spans="1:2" ht="15.75" customHeight="1">
      <c r="A1155" s="14">
        <v>24504</v>
      </c>
      <c r="B1155" s="3">
        <v>56.128459638201058</v>
      </c>
    </row>
    <row r="1156" spans="1:2" ht="15.75" customHeight="1">
      <c r="A1156" s="14">
        <v>24532</v>
      </c>
      <c r="B1156" s="3">
        <v>59.253004688481369</v>
      </c>
    </row>
    <row r="1157" spans="1:2" ht="15.75" customHeight="1">
      <c r="A1157" s="14">
        <v>24563</v>
      </c>
      <c r="B1157" s="3">
        <v>61.46265660112563</v>
      </c>
    </row>
    <row r="1158" spans="1:2" ht="15.75" customHeight="1">
      <c r="A1158" s="14">
        <v>24593</v>
      </c>
      <c r="B1158" s="3">
        <v>63.706092038181296</v>
      </c>
    </row>
    <row r="1159" spans="1:2" ht="15.75" customHeight="1">
      <c r="A1159" s="14">
        <v>24624</v>
      </c>
      <c r="B1159" s="3">
        <v>60.985199918932501</v>
      </c>
    </row>
    <row r="1160" spans="1:2" ht="15.75" customHeight="1">
      <c r="A1160" s="14">
        <v>24654</v>
      </c>
      <c r="B1160" s="3">
        <v>63.285336830421798</v>
      </c>
    </row>
    <row r="1161" spans="1:2" ht="15.75" customHeight="1">
      <c r="A1161" s="14">
        <v>24685</v>
      </c>
      <c r="B1161" s="3">
        <v>65.34626861881344</v>
      </c>
    </row>
    <row r="1162" spans="1:2" ht="15.75" customHeight="1">
      <c r="A1162" s="14">
        <v>24716</v>
      </c>
      <c r="B1162" s="3">
        <v>67.119089288998026</v>
      </c>
    </row>
    <row r="1163" spans="1:2" ht="15.75" customHeight="1">
      <c r="A1163" s="14">
        <v>24746</v>
      </c>
      <c r="B1163" s="3">
        <v>66.701497072928333</v>
      </c>
    </row>
    <row r="1164" spans="1:2" ht="15.75" customHeight="1">
      <c r="A1164" s="14">
        <v>24777</v>
      </c>
      <c r="B1164" s="3">
        <v>58.819402726300069</v>
      </c>
    </row>
    <row r="1165" spans="1:2" ht="15.75" customHeight="1">
      <c r="A1165" s="14">
        <v>24807</v>
      </c>
      <c r="B1165" s="3">
        <v>62.966705582665362</v>
      </c>
    </row>
    <row r="1166" spans="1:2" ht="15.75" customHeight="1">
      <c r="A1166" s="14">
        <v>24838</v>
      </c>
      <c r="B1166" s="3">
        <v>62.301242568761538</v>
      </c>
    </row>
    <row r="1167" spans="1:2" ht="15.75" customHeight="1">
      <c r="A1167" s="14">
        <v>24869</v>
      </c>
      <c r="B1167" s="3">
        <v>52.451221007737956</v>
      </c>
    </row>
    <row r="1168" spans="1:2" ht="15.75" customHeight="1">
      <c r="A1168" s="14">
        <v>24898</v>
      </c>
      <c r="B1168" s="3">
        <v>49.209154953435721</v>
      </c>
    </row>
    <row r="1169" spans="1:2" ht="15.75" customHeight="1">
      <c r="A1169" s="14">
        <v>24929</v>
      </c>
      <c r="B1169" s="3">
        <v>59.812825349195649</v>
      </c>
    </row>
    <row r="1170" spans="1:2" ht="15.75" customHeight="1">
      <c r="A1170" s="14">
        <v>24959</v>
      </c>
      <c r="B1170" s="3">
        <v>62.622538923069449</v>
      </c>
    </row>
    <row r="1171" spans="1:2" ht="15.75" customHeight="1">
      <c r="A1171" s="14">
        <v>24990</v>
      </c>
      <c r="B1171" s="3">
        <v>65.709076102761344</v>
      </c>
    </row>
    <row r="1172" spans="1:2" ht="15.75" customHeight="1">
      <c r="A1172" s="14">
        <v>25020</v>
      </c>
      <c r="B1172" s="3">
        <v>65.267689765382499</v>
      </c>
    </row>
    <row r="1173" spans="1:2" ht="15.75" customHeight="1">
      <c r="A1173" s="14">
        <v>25051</v>
      </c>
      <c r="B1173" s="3">
        <v>60.477158229526104</v>
      </c>
    </row>
    <row r="1174" spans="1:2" ht="15.75" customHeight="1">
      <c r="A1174" s="14">
        <v>25082</v>
      </c>
      <c r="B1174" s="3">
        <v>64.557875123119203</v>
      </c>
    </row>
    <row r="1175" spans="1:2" ht="15.75" customHeight="1">
      <c r="A1175" s="14">
        <v>25112</v>
      </c>
      <c r="B1175" s="3">
        <v>67.398776819553177</v>
      </c>
    </row>
    <row r="1176" spans="1:2" ht="15.75" customHeight="1">
      <c r="A1176" s="14">
        <v>25143</v>
      </c>
      <c r="B1176" s="3">
        <v>69.105571489724326</v>
      </c>
    </row>
    <row r="1177" spans="1:2" ht="15.75" customHeight="1">
      <c r="A1177" s="14">
        <v>25173</v>
      </c>
      <c r="B1177" s="3">
        <v>70.258411216076411</v>
      </c>
    </row>
    <row r="1178" spans="1:2" ht="15.75" customHeight="1">
      <c r="A1178" s="14">
        <v>25204</v>
      </c>
      <c r="B1178" s="3">
        <v>60.338892243656176</v>
      </c>
    </row>
    <row r="1179" spans="1:2" ht="15.75" customHeight="1">
      <c r="A1179" s="14">
        <v>25235</v>
      </c>
      <c r="B1179" s="3">
        <v>59.336457578017146</v>
      </c>
    </row>
    <row r="1180" spans="1:2" ht="15.75" customHeight="1">
      <c r="A1180" s="14">
        <v>25263</v>
      </c>
      <c r="B1180" s="3">
        <v>55.006255300707274</v>
      </c>
    </row>
    <row r="1181" spans="1:2" ht="15.75" customHeight="1">
      <c r="A1181" s="14">
        <v>25294</v>
      </c>
      <c r="B1181" s="3">
        <v>58.006525552255184</v>
      </c>
    </row>
    <row r="1182" spans="1:2" ht="15.75" customHeight="1">
      <c r="A1182" s="14">
        <v>25324</v>
      </c>
      <c r="B1182" s="3">
        <v>62.455163673814461</v>
      </c>
    </row>
    <row r="1183" spans="1:2" ht="15.75" customHeight="1">
      <c r="A1183" s="14">
        <v>25355</v>
      </c>
      <c r="B1183" s="3">
        <v>52.538101580205208</v>
      </c>
    </row>
    <row r="1184" spans="1:2" ht="15.75" customHeight="1">
      <c r="A1184" s="14">
        <v>25385</v>
      </c>
      <c r="B1184" s="3">
        <v>46.136934234096579</v>
      </c>
    </row>
    <row r="1185" spans="1:2" ht="15.75" customHeight="1">
      <c r="A1185" s="14">
        <v>25416</v>
      </c>
      <c r="B1185" s="3">
        <v>45.423874670682103</v>
      </c>
    </row>
    <row r="1186" spans="1:2" ht="15.75" customHeight="1">
      <c r="A1186" s="14">
        <v>25447</v>
      </c>
      <c r="B1186" s="3">
        <v>45.983664429108913</v>
      </c>
    </row>
    <row r="1187" spans="1:2" ht="15.75" customHeight="1">
      <c r="A1187" s="14">
        <v>25477</v>
      </c>
      <c r="B1187" s="3">
        <v>47.750107980999402</v>
      </c>
    </row>
    <row r="1188" spans="1:2" ht="15.75" customHeight="1">
      <c r="A1188" s="14">
        <v>25508</v>
      </c>
      <c r="B1188" s="3">
        <v>48.977680737036309</v>
      </c>
    </row>
    <row r="1189" spans="1:2" ht="15.75" customHeight="1">
      <c r="A1189" s="14">
        <v>25538</v>
      </c>
      <c r="B1189" s="3">
        <v>41.261346826165834</v>
      </c>
    </row>
    <row r="1190" spans="1:2" ht="15.75" customHeight="1">
      <c r="A1190" s="14">
        <v>25569</v>
      </c>
      <c r="B1190" s="3">
        <v>40.191668186851928</v>
      </c>
    </row>
    <row r="1191" spans="1:2" ht="15.75" customHeight="1">
      <c r="A1191" s="14">
        <v>25600</v>
      </c>
      <c r="B1191" s="3">
        <v>36.211002360653019</v>
      </c>
    </row>
    <row r="1192" spans="1:2" ht="15.75" customHeight="1">
      <c r="A1192" s="14">
        <v>25628</v>
      </c>
      <c r="B1192" s="3">
        <v>39.274725876718023</v>
      </c>
    </row>
    <row r="1193" spans="1:2" ht="15.75" customHeight="1">
      <c r="A1193" s="14">
        <v>25659</v>
      </c>
      <c r="B1193" s="3">
        <v>35.909067026098882</v>
      </c>
    </row>
    <row r="1194" spans="1:2" ht="15.75" customHeight="1">
      <c r="A1194" s="14">
        <v>25689</v>
      </c>
      <c r="B1194" s="3">
        <v>26.836971004881974</v>
      </c>
    </row>
    <row r="1195" spans="1:2" ht="15.75" customHeight="1">
      <c r="A1195" s="14">
        <v>25720</v>
      </c>
      <c r="B1195" s="3">
        <v>26.494405253644317</v>
      </c>
    </row>
    <row r="1196" spans="1:2" ht="15.75" customHeight="1">
      <c r="A1196" s="14">
        <v>25750</v>
      </c>
      <c r="B1196" s="3">
        <v>26.772833218708087</v>
      </c>
    </row>
    <row r="1197" spans="1:2" ht="15.75" customHeight="1">
      <c r="A1197" s="14">
        <v>25781</v>
      </c>
      <c r="B1197" s="3">
        <v>31.501487974123506</v>
      </c>
    </row>
    <row r="1198" spans="1:2" ht="15.75" customHeight="1">
      <c r="A1198" s="14">
        <v>25812</v>
      </c>
      <c r="B1198" s="3">
        <v>40.296087833371011</v>
      </c>
    </row>
    <row r="1199" spans="1:2" ht="15.75" customHeight="1">
      <c r="A1199" s="14">
        <v>25842</v>
      </c>
      <c r="B1199" s="3">
        <v>43.307119139462742</v>
      </c>
    </row>
    <row r="1200" spans="1:2" ht="15.75" customHeight="1">
      <c r="A1200" s="14">
        <v>25873</v>
      </c>
      <c r="B1200" s="3">
        <v>43.189179012310213</v>
      </c>
    </row>
    <row r="1201" spans="1:2" ht="15.75" customHeight="1">
      <c r="A1201" s="14">
        <v>25903</v>
      </c>
      <c r="B1201" s="3">
        <v>52.180531589772087</v>
      </c>
    </row>
    <row r="1202" spans="1:2" ht="15.75" customHeight="1">
      <c r="A1202" s="14">
        <v>25934</v>
      </c>
      <c r="B1202" s="3">
        <v>56.591519422959628</v>
      </c>
    </row>
    <row r="1203" spans="1:2" ht="15.75" customHeight="1">
      <c r="A1203" s="14">
        <v>25965</v>
      </c>
      <c r="B1203" s="3">
        <v>60.699805065809151</v>
      </c>
    </row>
    <row r="1204" spans="1:2" ht="15.75" customHeight="1">
      <c r="A1204" s="14">
        <v>25993</v>
      </c>
      <c r="B1204" s="3">
        <v>63.274519090537652</v>
      </c>
    </row>
    <row r="1205" spans="1:2" ht="15.75" customHeight="1">
      <c r="A1205" s="14">
        <v>26024</v>
      </c>
      <c r="B1205" s="3">
        <v>66.501686466697933</v>
      </c>
    </row>
    <row r="1206" spans="1:2" ht="15.75" customHeight="1">
      <c r="A1206" s="14">
        <v>26054</v>
      </c>
      <c r="B1206" s="3">
        <v>64.007556671648658</v>
      </c>
    </row>
    <row r="1207" spans="1:2" ht="15.75" customHeight="1">
      <c r="A1207" s="14">
        <v>26085</v>
      </c>
      <c r="B1207" s="3">
        <v>60.714542388243231</v>
      </c>
    </row>
    <row r="1208" spans="1:2" ht="15.75" customHeight="1">
      <c r="A1208" s="14">
        <v>26115</v>
      </c>
      <c r="B1208" s="3">
        <v>59.453018141569579</v>
      </c>
    </row>
    <row r="1209" spans="1:2" ht="15.75" customHeight="1">
      <c r="A1209" s="14">
        <v>26146</v>
      </c>
      <c r="B1209" s="3">
        <v>56.369732875123347</v>
      </c>
    </row>
    <row r="1210" spans="1:2" ht="15.75" customHeight="1">
      <c r="A1210" s="14">
        <v>26177</v>
      </c>
      <c r="B1210" s="3">
        <v>59.168464649391488</v>
      </c>
    </row>
    <row r="1211" spans="1:2" ht="15.75" customHeight="1">
      <c r="A1211" s="14">
        <v>26207</v>
      </c>
      <c r="B1211" s="3">
        <v>55.428077070300589</v>
      </c>
    </row>
    <row r="1212" spans="1:2" ht="15.75" customHeight="1">
      <c r="A1212" s="14">
        <v>26238</v>
      </c>
      <c r="B1212" s="3">
        <v>48.38707536991717</v>
      </c>
    </row>
    <row r="1213" spans="1:2" ht="15.75" customHeight="1">
      <c r="A1213" s="14">
        <v>26268</v>
      </c>
      <c r="B1213" s="3">
        <v>56.766820548054078</v>
      </c>
    </row>
    <row r="1214" spans="1:2" ht="15.75" customHeight="1">
      <c r="A1214" s="14">
        <v>26299</v>
      </c>
      <c r="B1214" s="3">
        <v>61.156425238558775</v>
      </c>
    </row>
    <row r="1215" spans="1:2" ht="15.75" customHeight="1">
      <c r="A1215" s="14">
        <v>26330</v>
      </c>
      <c r="B1215" s="3">
        <v>63.016802102043279</v>
      </c>
    </row>
    <row r="1216" spans="1:2" ht="15.75" customHeight="1">
      <c r="A1216" s="14">
        <v>26359</v>
      </c>
      <c r="B1216" s="3">
        <v>65.367195158407739</v>
      </c>
    </row>
    <row r="1217" spans="1:2" ht="15.75" customHeight="1">
      <c r="A1217" s="14">
        <v>26390</v>
      </c>
      <c r="B1217" s="3">
        <v>66.379649915407043</v>
      </c>
    </row>
    <row r="1218" spans="1:2" ht="15.75" customHeight="1">
      <c r="A1218" s="14">
        <v>26420</v>
      </c>
      <c r="B1218" s="3">
        <v>64.35362103539434</v>
      </c>
    </row>
    <row r="1219" spans="1:2" ht="15.75" customHeight="1">
      <c r="A1219" s="14">
        <v>26451</v>
      </c>
      <c r="B1219" s="3">
        <v>64.670332277779323</v>
      </c>
    </row>
    <row r="1220" spans="1:2" ht="15.75" customHeight="1">
      <c r="A1220" s="14">
        <v>26481</v>
      </c>
      <c r="B1220" s="3">
        <v>63.061301304840796</v>
      </c>
    </row>
    <row r="1221" spans="1:2" ht="15.75" customHeight="1">
      <c r="A1221" s="14">
        <v>26512</v>
      </c>
      <c r="B1221" s="3">
        <v>67.231818747658778</v>
      </c>
    </row>
    <row r="1222" spans="1:2" ht="15.75" customHeight="1">
      <c r="A1222" s="14">
        <v>26543</v>
      </c>
      <c r="B1222" s="3">
        <v>63.957500398799972</v>
      </c>
    </row>
    <row r="1223" spans="1:2" ht="15.75" customHeight="1">
      <c r="A1223" s="14">
        <v>26573</v>
      </c>
      <c r="B1223" s="3">
        <v>64.192256931782566</v>
      </c>
    </row>
    <row r="1224" spans="1:2" ht="15.75" customHeight="1">
      <c r="A1224" s="14">
        <v>26604</v>
      </c>
      <c r="B1224" s="3">
        <v>69.982476370881727</v>
      </c>
    </row>
    <row r="1225" spans="1:2" ht="15.75" customHeight="1">
      <c r="A1225" s="14">
        <v>26634</v>
      </c>
      <c r="B1225" s="3">
        <v>72.102390642619099</v>
      </c>
    </row>
    <row r="1226" spans="1:2" ht="15.75" customHeight="1">
      <c r="A1226" s="14">
        <v>26665</v>
      </c>
      <c r="B1226" s="3">
        <v>72.875985123148325</v>
      </c>
    </row>
    <row r="1227" spans="1:2" ht="15.75" customHeight="1">
      <c r="A1227" s="14">
        <v>26696</v>
      </c>
      <c r="B1227" s="3">
        <v>63.962216745476582</v>
      </c>
    </row>
    <row r="1228" spans="1:2" ht="15.75" customHeight="1">
      <c r="A1228" s="14">
        <v>26724</v>
      </c>
      <c r="B1228" s="3">
        <v>60.544325425780997</v>
      </c>
    </row>
    <row r="1229" spans="1:2" ht="15.75" customHeight="1">
      <c r="A1229" s="14">
        <v>26755</v>
      </c>
      <c r="B1229" s="3">
        <v>56.735253157423401</v>
      </c>
    </row>
    <row r="1230" spans="1:2" ht="15.75" customHeight="1">
      <c r="A1230" s="14">
        <v>26785</v>
      </c>
      <c r="B1230" s="3">
        <v>51.57671628840118</v>
      </c>
    </row>
    <row r="1231" spans="1:2" ht="15.75" customHeight="1">
      <c r="A1231" s="14">
        <v>26816</v>
      </c>
      <c r="B1231" s="3">
        <v>47.942362478831257</v>
      </c>
    </row>
    <row r="1232" spans="1:2" ht="15.75" customHeight="1">
      <c r="A1232" s="14">
        <v>26846</v>
      </c>
      <c r="B1232" s="3">
        <v>49.537918716185196</v>
      </c>
    </row>
    <row r="1233" spans="1:2" ht="15.75" customHeight="1">
      <c r="A1233" s="14">
        <v>26877</v>
      </c>
      <c r="B1233" s="3">
        <v>46.470191083427046</v>
      </c>
    </row>
    <row r="1234" spans="1:2" ht="15.75" customHeight="1">
      <c r="A1234" s="14">
        <v>26908</v>
      </c>
      <c r="B1234" s="3">
        <v>49.501200520472011</v>
      </c>
    </row>
    <row r="1235" spans="1:2" ht="15.75" customHeight="1">
      <c r="A1235" s="14">
        <v>26938</v>
      </c>
      <c r="B1235" s="3">
        <v>55.791341770905824</v>
      </c>
    </row>
    <row r="1236" spans="1:2" ht="15.75" customHeight="1">
      <c r="A1236" s="14">
        <v>26969</v>
      </c>
      <c r="B1236" s="3">
        <v>44.664501960545458</v>
      </c>
    </row>
    <row r="1237" spans="1:2" ht="15.75" customHeight="1">
      <c r="A1237" s="14">
        <v>26999</v>
      </c>
      <c r="B1237" s="3">
        <v>37.25744937740761</v>
      </c>
    </row>
    <row r="1238" spans="1:2" ht="15.75" customHeight="1">
      <c r="A1238" s="14">
        <v>27030</v>
      </c>
      <c r="B1238" s="3">
        <v>39.255867649671565</v>
      </c>
    </row>
    <row r="1239" spans="1:2" ht="15.75" customHeight="1">
      <c r="A1239" s="14">
        <v>27061</v>
      </c>
      <c r="B1239" s="3">
        <v>36.73571200870844</v>
      </c>
    </row>
    <row r="1240" spans="1:2" ht="15.75" customHeight="1">
      <c r="A1240" s="14">
        <v>27089</v>
      </c>
      <c r="B1240" s="3">
        <v>42.680062802696455</v>
      </c>
    </row>
    <row r="1241" spans="1:2" ht="15.75" customHeight="1">
      <c r="A1241" s="14">
        <v>27120</v>
      </c>
      <c r="B1241" s="3">
        <v>37.894205529751261</v>
      </c>
    </row>
    <row r="1242" spans="1:2" ht="15.75" customHeight="1">
      <c r="A1242" s="14">
        <v>27150</v>
      </c>
      <c r="B1242" s="3">
        <v>35.492960585236347</v>
      </c>
    </row>
    <row r="1243" spans="1:2" ht="15.75" customHeight="1">
      <c r="A1243" s="14">
        <v>27181</v>
      </c>
      <c r="B1243" s="3">
        <v>35.68174218218671</v>
      </c>
    </row>
    <row r="1244" spans="1:2" ht="15.75" customHeight="1">
      <c r="A1244" s="14">
        <v>27211</v>
      </c>
      <c r="B1244" s="3">
        <v>27.980333754164661</v>
      </c>
    </row>
    <row r="1245" spans="1:2" ht="15.75" customHeight="1">
      <c r="A1245" s="14">
        <v>27242</v>
      </c>
      <c r="B1245" s="3">
        <v>26.082856813947188</v>
      </c>
    </row>
    <row r="1246" spans="1:2" ht="15.75" customHeight="1">
      <c r="A1246" s="14">
        <v>27273</v>
      </c>
      <c r="B1246" s="3">
        <v>22.177019747949132</v>
      </c>
    </row>
    <row r="1247" spans="1:2" ht="15.75" customHeight="1">
      <c r="A1247" s="14">
        <v>27303</v>
      </c>
      <c r="B1247" s="3">
        <v>24.216482855002639</v>
      </c>
    </row>
    <row r="1248" spans="1:2" ht="15.75" customHeight="1">
      <c r="A1248" s="14">
        <v>27334</v>
      </c>
      <c r="B1248" s="3">
        <v>27.768485686665144</v>
      </c>
    </row>
    <row r="1249" spans="1:2" ht="15.75" customHeight="1">
      <c r="A1249" s="14">
        <v>27364</v>
      </c>
      <c r="B1249" s="3">
        <v>25.187113247191604</v>
      </c>
    </row>
    <row r="1250" spans="1:2" ht="15.75" customHeight="1">
      <c r="A1250" s="14">
        <v>27395</v>
      </c>
      <c r="B1250" s="3">
        <v>33.064710370280721</v>
      </c>
    </row>
    <row r="1251" spans="1:2" ht="15.75" customHeight="1">
      <c r="A1251" s="14">
        <v>27426</v>
      </c>
      <c r="B1251" s="3">
        <v>42.084489932432575</v>
      </c>
    </row>
    <row r="1252" spans="1:2" ht="15.75" customHeight="1">
      <c r="A1252" s="14">
        <v>27454</v>
      </c>
      <c r="B1252" s="3">
        <v>45.915182521173151</v>
      </c>
    </row>
    <row r="1253" spans="1:2" ht="15.75" customHeight="1">
      <c r="A1253" s="14">
        <v>27485</v>
      </c>
      <c r="B1253" s="3">
        <v>46.881659760055207</v>
      </c>
    </row>
    <row r="1254" spans="1:2" ht="15.75" customHeight="1">
      <c r="A1254" s="14">
        <v>27515</v>
      </c>
      <c r="B1254" s="3">
        <v>52.151786885535941</v>
      </c>
    </row>
    <row r="1255" spans="1:2" ht="15.75" customHeight="1">
      <c r="A1255" s="14">
        <v>27546</v>
      </c>
      <c r="B1255" s="3">
        <v>54.24192315721973</v>
      </c>
    </row>
    <row r="1256" spans="1:2" ht="15.75" customHeight="1">
      <c r="A1256" s="14">
        <v>27576</v>
      </c>
      <c r="B1256" s="3">
        <v>54.326000171535298</v>
      </c>
    </row>
    <row r="1257" spans="1:2" ht="15.75" customHeight="1">
      <c r="A1257" s="14">
        <v>27607</v>
      </c>
      <c r="B1257" s="3">
        <v>47.278359063460726</v>
      </c>
    </row>
    <row r="1258" spans="1:2" ht="15.75" customHeight="1">
      <c r="A1258" s="14">
        <v>27638</v>
      </c>
      <c r="B1258" s="3">
        <v>46.286435705134743</v>
      </c>
    </row>
    <row r="1259" spans="1:2" ht="15.75" customHeight="1">
      <c r="A1259" s="14">
        <v>27668</v>
      </c>
      <c r="B1259" s="3">
        <v>50.482039084368445</v>
      </c>
    </row>
    <row r="1260" spans="1:2" ht="15.75" customHeight="1">
      <c r="A1260" s="14">
        <v>27699</v>
      </c>
      <c r="B1260" s="3">
        <v>52.033911779264059</v>
      </c>
    </row>
    <row r="1261" spans="1:2" ht="15.75" customHeight="1">
      <c r="A1261" s="14">
        <v>27729</v>
      </c>
      <c r="B1261" s="3">
        <v>50.477914844107616</v>
      </c>
    </row>
    <row r="1262" spans="1:2" ht="15.75" customHeight="1">
      <c r="A1262" s="14">
        <v>27760</v>
      </c>
      <c r="B1262" s="3">
        <v>58.448084791965869</v>
      </c>
    </row>
    <row r="1263" spans="1:2" ht="15.75" customHeight="1">
      <c r="A1263" s="14">
        <v>27791</v>
      </c>
      <c r="B1263" s="3">
        <v>61.506015585303054</v>
      </c>
    </row>
    <row r="1264" spans="1:2" ht="15.75" customHeight="1">
      <c r="A1264" s="14">
        <v>27820</v>
      </c>
      <c r="B1264" s="3">
        <v>61.909600770999148</v>
      </c>
    </row>
    <row r="1265" spans="1:2" ht="15.75" customHeight="1">
      <c r="A1265" s="14">
        <v>27851</v>
      </c>
      <c r="B1265" s="3">
        <v>62.585507660246364</v>
      </c>
    </row>
    <row r="1266" spans="1:2" ht="15.75" customHeight="1">
      <c r="A1266" s="14">
        <v>27881</v>
      </c>
      <c r="B1266" s="3">
        <v>61.556221720752987</v>
      </c>
    </row>
    <row r="1267" spans="1:2" ht="15.75" customHeight="1">
      <c r="A1267" s="14">
        <v>27912</v>
      </c>
      <c r="B1267" s="3">
        <v>62.131109055399428</v>
      </c>
    </row>
    <row r="1268" spans="1:2" ht="15.75" customHeight="1">
      <c r="A1268" s="14">
        <v>27942</v>
      </c>
      <c r="B1268" s="3">
        <v>64.422884616701424</v>
      </c>
    </row>
    <row r="1269" spans="1:2" ht="15.75" customHeight="1">
      <c r="A1269" s="14">
        <v>27973</v>
      </c>
      <c r="B1269" s="3">
        <v>62.885937278936176</v>
      </c>
    </row>
    <row r="1270" spans="1:2" ht="15.75" customHeight="1">
      <c r="A1270" s="14">
        <v>28004</v>
      </c>
      <c r="B1270" s="3">
        <v>65.079091673339803</v>
      </c>
    </row>
    <row r="1271" spans="1:2" ht="15.75" customHeight="1">
      <c r="A1271" s="14">
        <v>28034</v>
      </c>
      <c r="B1271" s="3">
        <v>58.941264429114305</v>
      </c>
    </row>
    <row r="1272" spans="1:2" ht="15.75" customHeight="1">
      <c r="A1272" s="14">
        <v>28065</v>
      </c>
      <c r="B1272" s="3">
        <v>57.799755271153622</v>
      </c>
    </row>
    <row r="1273" spans="1:2" ht="15.75" customHeight="1">
      <c r="A1273" s="14">
        <v>28095</v>
      </c>
      <c r="B1273" s="3">
        <v>61.784946048177794</v>
      </c>
    </row>
    <row r="1274" spans="1:2" ht="15.75" customHeight="1">
      <c r="A1274" s="14">
        <v>28126</v>
      </c>
      <c r="B1274" s="3">
        <v>60.210366641203414</v>
      </c>
    </row>
    <row r="1275" spans="1:2" ht="15.75" customHeight="1">
      <c r="A1275" s="14">
        <v>28157</v>
      </c>
      <c r="B1275" s="3">
        <v>55.473736039947674</v>
      </c>
    </row>
    <row r="1276" spans="1:2" ht="15.75" customHeight="1">
      <c r="A1276" s="14">
        <v>28185</v>
      </c>
      <c r="B1276" s="3">
        <v>54.810378470826983</v>
      </c>
    </row>
    <row r="1277" spans="1:2" ht="15.75" customHeight="1">
      <c r="A1277" s="14">
        <v>28216</v>
      </c>
      <c r="B1277" s="3">
        <v>52.205240298021394</v>
      </c>
    </row>
    <row r="1278" spans="1:2" ht="15.75" customHeight="1">
      <c r="A1278" s="14">
        <v>28246</v>
      </c>
      <c r="B1278" s="3">
        <v>51.71002540635542</v>
      </c>
    </row>
    <row r="1279" spans="1:2" ht="15.75" customHeight="1">
      <c r="A1279" s="14">
        <v>28277</v>
      </c>
      <c r="B1279" s="3">
        <v>52.595071016223727</v>
      </c>
    </row>
    <row r="1280" spans="1:2" ht="15.75" customHeight="1">
      <c r="A1280" s="14">
        <v>28307</v>
      </c>
      <c r="B1280" s="3">
        <v>54.148918764506192</v>
      </c>
    </row>
    <row r="1281" spans="1:2" ht="15.75" customHeight="1">
      <c r="A1281" s="14">
        <v>28338</v>
      </c>
      <c r="B1281" s="3">
        <v>49.449380470629357</v>
      </c>
    </row>
    <row r="1282" spans="1:2" ht="15.75" customHeight="1">
      <c r="A1282" s="14">
        <v>28369</v>
      </c>
      <c r="B1282" s="3">
        <v>46.739137159213904</v>
      </c>
    </row>
    <row r="1283" spans="1:2" ht="15.75" customHeight="1">
      <c r="A1283" s="14">
        <v>28399</v>
      </c>
      <c r="B1283" s="3">
        <v>42.618312649108795</v>
      </c>
    </row>
    <row r="1284" spans="1:2" ht="15.75" customHeight="1">
      <c r="A1284" s="14">
        <v>28430</v>
      </c>
      <c r="B1284" s="3">
        <v>43.776033895200392</v>
      </c>
    </row>
    <row r="1285" spans="1:2" ht="15.75" customHeight="1">
      <c r="A1285" s="14">
        <v>28460</v>
      </c>
      <c r="B1285" s="3">
        <v>42.980513994196642</v>
      </c>
    </row>
    <row r="1286" spans="1:2" ht="15.75" customHeight="1">
      <c r="A1286" s="14">
        <v>28491</v>
      </c>
      <c r="B1286" s="3">
        <v>37.313257490716772</v>
      </c>
    </row>
    <row r="1287" spans="1:2" ht="15.75" customHeight="1">
      <c r="A1287" s="14">
        <v>28522</v>
      </c>
      <c r="B1287" s="3">
        <v>35.519010165851782</v>
      </c>
    </row>
    <row r="1288" spans="1:2" ht="15.75" customHeight="1">
      <c r="A1288" s="14">
        <v>28550</v>
      </c>
      <c r="B1288" s="3">
        <v>35.288782894007625</v>
      </c>
    </row>
    <row r="1289" spans="1:2" ht="15.75" customHeight="1">
      <c r="A1289" s="14">
        <v>28581</v>
      </c>
      <c r="B1289" s="3">
        <v>44.677606433949251</v>
      </c>
    </row>
    <row r="1290" spans="1:2" ht="15.75" customHeight="1">
      <c r="A1290" s="14">
        <v>28611</v>
      </c>
      <c r="B1290" s="3">
        <v>53.463029096807723</v>
      </c>
    </row>
    <row r="1291" spans="1:2" ht="15.75" customHeight="1">
      <c r="A1291" s="14">
        <v>28642</v>
      </c>
      <c r="B1291" s="3">
        <v>53.882550203708483</v>
      </c>
    </row>
    <row r="1292" spans="1:2" ht="15.75" customHeight="1">
      <c r="A1292" s="14">
        <v>28672</v>
      </c>
      <c r="B1292" s="3">
        <v>52.916741029406815</v>
      </c>
    </row>
    <row r="1293" spans="1:2" ht="15.75" customHeight="1">
      <c r="A1293" s="14">
        <v>28703</v>
      </c>
      <c r="B1293" s="3">
        <v>63.088833512997645</v>
      </c>
    </row>
    <row r="1294" spans="1:2" ht="15.75" customHeight="1">
      <c r="A1294" s="14">
        <v>28734</v>
      </c>
      <c r="B1294" s="3">
        <v>63.088833512997645</v>
      </c>
    </row>
    <row r="1295" spans="1:2" ht="15.75" customHeight="1">
      <c r="A1295" s="14">
        <v>28764</v>
      </c>
      <c r="B1295" s="3">
        <v>56.167501590569067</v>
      </c>
    </row>
    <row r="1296" spans="1:2" ht="15.75" customHeight="1">
      <c r="A1296" s="14">
        <v>28795</v>
      </c>
      <c r="B1296" s="3">
        <v>46.385914224612065</v>
      </c>
    </row>
    <row r="1297" spans="1:2" ht="15.75" customHeight="1">
      <c r="A1297" s="14">
        <v>28825</v>
      </c>
      <c r="B1297" s="3">
        <v>48.673933296764162</v>
      </c>
    </row>
    <row r="1298" spans="1:2" ht="15.75" customHeight="1">
      <c r="A1298" s="14">
        <v>28856</v>
      </c>
      <c r="B1298" s="3">
        <v>54.09851907876925</v>
      </c>
    </row>
    <row r="1299" spans="1:2" ht="15.75" customHeight="1">
      <c r="A1299" s="14">
        <v>28887</v>
      </c>
      <c r="B1299" s="3">
        <v>51.680290009935838</v>
      </c>
    </row>
    <row r="1300" spans="1:2" ht="15.75" customHeight="1">
      <c r="A1300" s="14">
        <v>28915</v>
      </c>
      <c r="B1300" s="3">
        <v>54.450785978903113</v>
      </c>
    </row>
    <row r="1301" spans="1:2" ht="15.75" customHeight="1">
      <c r="A1301" s="14">
        <v>28946</v>
      </c>
      <c r="B1301" s="3">
        <v>57.272504648702402</v>
      </c>
    </row>
    <row r="1302" spans="1:2" ht="15.75" customHeight="1">
      <c r="A1302" s="14">
        <v>28976</v>
      </c>
      <c r="B1302" s="3">
        <v>53.076480534356044</v>
      </c>
    </row>
    <row r="1303" spans="1:2" ht="15.75" customHeight="1">
      <c r="A1303" s="14">
        <v>29007</v>
      </c>
      <c r="B1303" s="3">
        <v>55.964482392440303</v>
      </c>
    </row>
    <row r="1304" spans="1:2" ht="15.75" customHeight="1">
      <c r="A1304" s="14">
        <v>29037</v>
      </c>
      <c r="B1304" s="3">
        <v>57.397847695853244</v>
      </c>
    </row>
    <row r="1305" spans="1:2" ht="15.75" customHeight="1">
      <c r="A1305" s="14">
        <v>29068</v>
      </c>
      <c r="B1305" s="3">
        <v>63.423909798620748</v>
      </c>
    </row>
    <row r="1306" spans="1:2" ht="15.75" customHeight="1">
      <c r="A1306" s="14">
        <v>29099</v>
      </c>
      <c r="B1306" s="3">
        <v>64.793203601500963</v>
      </c>
    </row>
    <row r="1307" spans="1:2" ht="15.75" customHeight="1">
      <c r="A1307" s="14">
        <v>29129</v>
      </c>
      <c r="B1307" s="3">
        <v>56.94862054361024</v>
      </c>
    </row>
    <row r="1308" spans="1:2" ht="15.75" customHeight="1">
      <c r="A1308" s="14">
        <v>29160</v>
      </c>
      <c r="B1308" s="3">
        <v>55.535745252899325</v>
      </c>
    </row>
    <row r="1309" spans="1:2" ht="15.75" customHeight="1">
      <c r="A1309" s="14">
        <v>29190</v>
      </c>
      <c r="B1309" s="3">
        <v>60.890953915101676</v>
      </c>
    </row>
    <row r="1310" spans="1:2" ht="15.75" customHeight="1">
      <c r="A1310" s="14">
        <v>29221</v>
      </c>
      <c r="B1310" s="3">
        <v>64.383770946466115</v>
      </c>
    </row>
    <row r="1311" spans="1:2" ht="15.75" customHeight="1">
      <c r="A1311" s="14">
        <v>29252</v>
      </c>
      <c r="B1311" s="3">
        <v>68.661839845054061</v>
      </c>
    </row>
    <row r="1312" spans="1:2" ht="15.75" customHeight="1">
      <c r="A1312" s="14">
        <v>29281</v>
      </c>
      <c r="B1312" s="3">
        <v>52.348526653041134</v>
      </c>
    </row>
    <row r="1313" spans="1:2" ht="15.75" customHeight="1">
      <c r="A1313" s="14">
        <v>29312</v>
      </c>
      <c r="B1313" s="3">
        <v>50.285078279000665</v>
      </c>
    </row>
    <row r="1314" spans="1:2" ht="15.75" customHeight="1">
      <c r="A1314" s="14">
        <v>29342</v>
      </c>
      <c r="B1314" s="3">
        <v>55.506828870093564</v>
      </c>
    </row>
    <row r="1315" spans="1:2" ht="15.75" customHeight="1">
      <c r="A1315" s="14">
        <v>29373</v>
      </c>
      <c r="B1315" s="3">
        <v>61.843157708129922</v>
      </c>
    </row>
    <row r="1316" spans="1:2" ht="15.75" customHeight="1">
      <c r="A1316" s="14">
        <v>29403</v>
      </c>
      <c r="B1316" s="3">
        <v>65.79641362787271</v>
      </c>
    </row>
    <row r="1317" spans="1:2" ht="15.75" customHeight="1">
      <c r="A1317" s="14">
        <v>29434</v>
      </c>
      <c r="B1317" s="3">
        <v>68.312113568947936</v>
      </c>
    </row>
    <row r="1318" spans="1:2" ht="15.75" customHeight="1">
      <c r="A1318" s="14">
        <v>29465</v>
      </c>
      <c r="B1318" s="3">
        <v>70.224395804400999</v>
      </c>
    </row>
    <row r="1319" spans="1:2" ht="15.75" customHeight="1">
      <c r="A1319" s="14">
        <v>29495</v>
      </c>
      <c r="B1319" s="3">
        <v>72.433920569421645</v>
      </c>
    </row>
    <row r="1320" spans="1:2" ht="15.75" customHeight="1">
      <c r="A1320" s="14">
        <v>29526</v>
      </c>
      <c r="B1320" s="3">
        <v>75.360834395545169</v>
      </c>
    </row>
    <row r="1321" spans="1:2" ht="15.75" customHeight="1">
      <c r="A1321" s="14">
        <v>29556</v>
      </c>
      <c r="B1321" s="3">
        <v>72.064719744345368</v>
      </c>
    </row>
    <row r="1322" spans="1:2" ht="15.75" customHeight="1">
      <c r="A1322" s="14">
        <v>29587</v>
      </c>
      <c r="B1322" s="3">
        <v>71.301434467162579</v>
      </c>
    </row>
    <row r="1323" spans="1:2" ht="15.75" customHeight="1">
      <c r="A1323" s="14">
        <v>29618</v>
      </c>
      <c r="B1323" s="3">
        <v>64.529750519684626</v>
      </c>
    </row>
    <row r="1324" spans="1:2" ht="15.75" customHeight="1">
      <c r="A1324" s="14">
        <v>29646</v>
      </c>
      <c r="B1324" s="3">
        <v>67.95026152516354</v>
      </c>
    </row>
    <row r="1325" spans="1:2" ht="15.75" customHeight="1">
      <c r="A1325" s="14">
        <v>29677</v>
      </c>
      <c r="B1325" s="3">
        <v>68.761305344676416</v>
      </c>
    </row>
    <row r="1326" spans="1:2" ht="15.75" customHeight="1">
      <c r="A1326" s="14">
        <v>29707</v>
      </c>
      <c r="B1326" s="3">
        <v>64.788606279576257</v>
      </c>
    </row>
    <row r="1327" spans="1:2" ht="15.75" customHeight="1">
      <c r="A1327" s="14">
        <v>29738</v>
      </c>
      <c r="B1327" s="3">
        <v>65.268818581752271</v>
      </c>
    </row>
    <row r="1328" spans="1:2" ht="15.75" customHeight="1">
      <c r="A1328" s="14">
        <v>29768</v>
      </c>
      <c r="B1328" s="3">
        <v>60.527630841218652</v>
      </c>
    </row>
    <row r="1329" spans="1:2" ht="15.75" customHeight="1">
      <c r="A1329" s="14">
        <v>29799</v>
      </c>
      <c r="B1329" s="3">
        <v>61.004284578843169</v>
      </c>
    </row>
    <row r="1330" spans="1:2" ht="15.75" customHeight="1">
      <c r="A1330" s="14">
        <v>29830</v>
      </c>
      <c r="B1330" s="3">
        <v>47.14752132150528</v>
      </c>
    </row>
    <row r="1331" spans="1:2" ht="15.75" customHeight="1">
      <c r="A1331" s="14">
        <v>29860</v>
      </c>
      <c r="B1331" s="3">
        <v>48.809733085957539</v>
      </c>
    </row>
    <row r="1332" spans="1:2" ht="15.75" customHeight="1">
      <c r="A1332" s="14">
        <v>29891</v>
      </c>
      <c r="B1332" s="3">
        <v>52.158471015257291</v>
      </c>
    </row>
    <row r="1333" spans="1:2" ht="15.75" customHeight="1">
      <c r="A1333" s="14">
        <v>29921</v>
      </c>
      <c r="B1333" s="3">
        <v>53.117366481536358</v>
      </c>
    </row>
    <row r="1334" spans="1:2" ht="15.75" customHeight="1">
      <c r="A1334" s="14">
        <v>29952</v>
      </c>
      <c r="B1334" s="3">
        <v>45.953601942856928</v>
      </c>
    </row>
    <row r="1335" spans="1:2" ht="15.75" customHeight="1">
      <c r="A1335" s="14">
        <v>29983</v>
      </c>
      <c r="B1335" s="3">
        <v>43.24778744214332</v>
      </c>
    </row>
    <row r="1336" spans="1:2" ht="15.75" customHeight="1">
      <c r="A1336" s="14">
        <v>30011</v>
      </c>
      <c r="B1336" s="3">
        <v>39.904109348700104</v>
      </c>
    </row>
    <row r="1337" spans="1:2" ht="15.75" customHeight="1">
      <c r="A1337" s="14">
        <v>30042</v>
      </c>
      <c r="B1337" s="3">
        <v>46.522837859414864</v>
      </c>
    </row>
    <row r="1338" spans="1:2" ht="15.75" customHeight="1">
      <c r="A1338" s="14">
        <v>30072</v>
      </c>
      <c r="B1338" s="3">
        <v>46.637913813747751</v>
      </c>
    </row>
    <row r="1339" spans="1:2" ht="15.75" customHeight="1">
      <c r="A1339" s="14">
        <v>30103</v>
      </c>
      <c r="B1339" s="3">
        <v>40.369856931862003</v>
      </c>
    </row>
    <row r="1340" spans="1:2" ht="15.75" customHeight="1">
      <c r="A1340" s="14">
        <v>30133</v>
      </c>
      <c r="B1340" s="3">
        <v>40.109914792902813</v>
      </c>
    </row>
    <row r="1341" spans="1:2" ht="15.75" customHeight="1">
      <c r="A1341" s="14">
        <v>30164</v>
      </c>
      <c r="B1341" s="3">
        <v>40.522352104095084</v>
      </c>
    </row>
    <row r="1342" spans="1:2" ht="15.75" customHeight="1">
      <c r="A1342" s="14">
        <v>30195</v>
      </c>
      <c r="B1342" s="3">
        <v>54.733946346708436</v>
      </c>
    </row>
    <row r="1343" spans="1:2" ht="15.75" customHeight="1">
      <c r="A1343" s="14">
        <v>30225</v>
      </c>
      <c r="B1343" s="3">
        <v>62.549575522648752</v>
      </c>
    </row>
    <row r="1344" spans="1:2" ht="15.75" customHeight="1">
      <c r="A1344" s="14">
        <v>30256</v>
      </c>
      <c r="B1344" s="3">
        <v>65.876103261024738</v>
      </c>
    </row>
    <row r="1345" spans="1:2" ht="15.75" customHeight="1">
      <c r="A1345" s="14">
        <v>30286</v>
      </c>
      <c r="B1345" s="3">
        <v>66.644241700403882</v>
      </c>
    </row>
    <row r="1346" spans="1:2" ht="15.75" customHeight="1">
      <c r="A1346" s="14">
        <v>30317</v>
      </c>
      <c r="B1346" s="3">
        <v>69.436887585830803</v>
      </c>
    </row>
    <row r="1347" spans="1:2" ht="15.75" customHeight="1">
      <c r="A1347" s="14">
        <v>30348</v>
      </c>
      <c r="B1347" s="3">
        <v>70.781010117836203</v>
      </c>
    </row>
    <row r="1348" spans="1:2" ht="15.75" customHeight="1">
      <c r="A1348" s="14">
        <v>30376</v>
      </c>
      <c r="B1348" s="3">
        <v>73.355351449965866</v>
      </c>
    </row>
    <row r="1349" spans="1:2" ht="15.75" customHeight="1">
      <c r="A1349" s="14">
        <v>30407</v>
      </c>
      <c r="B1349" s="3">
        <v>75.950431294719309</v>
      </c>
    </row>
    <row r="1350" spans="1:2" ht="15.75" customHeight="1">
      <c r="A1350" s="14">
        <v>30437</v>
      </c>
      <c r="B1350" s="3">
        <v>78.445154190126701</v>
      </c>
    </row>
    <row r="1351" spans="1:2" ht="15.75" customHeight="1">
      <c r="A1351" s="14">
        <v>30468</v>
      </c>
      <c r="B1351" s="3">
        <v>79.27710563269035</v>
      </c>
    </row>
    <row r="1352" spans="1:2" ht="15.75" customHeight="1">
      <c r="A1352" s="14">
        <v>30498</v>
      </c>
      <c r="B1352" s="3">
        <v>79.499399630337678</v>
      </c>
    </row>
    <row r="1353" spans="1:2" ht="15.75" customHeight="1">
      <c r="A1353" s="14">
        <v>30529</v>
      </c>
      <c r="B1353" s="3">
        <v>73.031287439340915</v>
      </c>
    </row>
    <row r="1354" spans="1:2" ht="15.75" customHeight="1">
      <c r="A1354" s="14">
        <v>30560</v>
      </c>
      <c r="B1354" s="3">
        <v>75.290445893756598</v>
      </c>
    </row>
    <row r="1355" spans="1:2" ht="15.75" customHeight="1">
      <c r="A1355" s="14">
        <v>30590</v>
      </c>
      <c r="B1355" s="3">
        <v>75.520485559490297</v>
      </c>
    </row>
    <row r="1356" spans="1:2" ht="15.75" customHeight="1">
      <c r="A1356" s="14">
        <v>30621</v>
      </c>
      <c r="B1356" s="3">
        <v>71.915409239020278</v>
      </c>
    </row>
    <row r="1357" spans="1:2" ht="15.75" customHeight="1">
      <c r="A1357" s="14">
        <v>30651</v>
      </c>
      <c r="B1357" s="3">
        <v>70.751497659890504</v>
      </c>
    </row>
    <row r="1358" spans="1:2" ht="15.75" customHeight="1">
      <c r="A1358" s="14">
        <v>30682</v>
      </c>
      <c r="B1358" s="3">
        <v>71.972744080295257</v>
      </c>
    </row>
    <row r="1359" spans="1:2" ht="15.75" customHeight="1">
      <c r="A1359" s="14">
        <v>30713</v>
      </c>
      <c r="B1359" s="3">
        <v>59.74848260179332</v>
      </c>
    </row>
    <row r="1360" spans="1:2" ht="15.75" customHeight="1">
      <c r="A1360" s="14">
        <v>30742</v>
      </c>
      <c r="B1360" s="3">
        <v>59.829226192427285</v>
      </c>
    </row>
    <row r="1361" spans="1:2" ht="15.75" customHeight="1">
      <c r="A1361" s="14">
        <v>30773</v>
      </c>
      <c r="B1361" s="3">
        <v>60.002039953700155</v>
      </c>
    </row>
    <row r="1362" spans="1:2" ht="15.75" customHeight="1">
      <c r="A1362" s="14">
        <v>30803</v>
      </c>
      <c r="B1362" s="3">
        <v>58.643590861428336</v>
      </c>
    </row>
    <row r="1363" spans="1:2" ht="15.75" customHeight="1">
      <c r="A1363" s="14">
        <v>30834</v>
      </c>
      <c r="B1363" s="3">
        <v>54.032681347337515</v>
      </c>
    </row>
    <row r="1364" spans="1:2" ht="15.75" customHeight="1">
      <c r="A1364" s="14">
        <v>30864</v>
      </c>
      <c r="B1364" s="3">
        <v>51.538957772073523</v>
      </c>
    </row>
    <row r="1365" spans="1:2" ht="15.75" customHeight="1">
      <c r="A1365" s="14">
        <v>30895</v>
      </c>
      <c r="B1365" s="3">
        <v>63.577374403939977</v>
      </c>
    </row>
    <row r="1366" spans="1:2" ht="15.75" customHeight="1">
      <c r="A1366" s="14">
        <v>30926</v>
      </c>
      <c r="B1366" s="3">
        <v>64.78165456540745</v>
      </c>
    </row>
    <row r="1367" spans="1:2" ht="15.75" customHeight="1">
      <c r="A1367" s="14">
        <v>30956</v>
      </c>
      <c r="B1367" s="3">
        <v>63.064457794857326</v>
      </c>
    </row>
    <row r="1368" spans="1:2" ht="15.75" customHeight="1">
      <c r="A1368" s="14">
        <v>30987</v>
      </c>
      <c r="B1368" s="3">
        <v>64.242255579526969</v>
      </c>
    </row>
    <row r="1369" spans="1:2" ht="15.75" customHeight="1">
      <c r="A1369" s="14">
        <v>31017</v>
      </c>
      <c r="B1369" s="3">
        <v>61.699673117938147</v>
      </c>
    </row>
    <row r="1370" spans="1:2" ht="15.75" customHeight="1">
      <c r="A1370" s="14">
        <v>31048</v>
      </c>
      <c r="B1370" s="3">
        <v>67.212051679202929</v>
      </c>
    </row>
    <row r="1371" spans="1:2" ht="15.75" customHeight="1">
      <c r="A1371" s="14">
        <v>31079</v>
      </c>
      <c r="B1371" s="3">
        <v>72.745375011239403</v>
      </c>
    </row>
    <row r="1372" spans="1:2" ht="15.75" customHeight="1">
      <c r="A1372" s="14">
        <v>31107</v>
      </c>
      <c r="B1372" s="3">
        <v>70.673695359124267</v>
      </c>
    </row>
    <row r="1373" spans="1:2" ht="15.75" customHeight="1">
      <c r="A1373" s="14">
        <v>31138</v>
      </c>
      <c r="B1373" s="3">
        <v>71.375994741947835</v>
      </c>
    </row>
    <row r="1374" spans="1:2" ht="15.75" customHeight="1">
      <c r="A1374" s="14">
        <v>31168</v>
      </c>
      <c r="B1374" s="3">
        <v>73.797470147760194</v>
      </c>
    </row>
    <row r="1375" spans="1:2" ht="15.75" customHeight="1">
      <c r="A1375" s="14">
        <v>31199</v>
      </c>
      <c r="B1375" s="3">
        <v>75.84457705913789</v>
      </c>
    </row>
    <row r="1376" spans="1:2" ht="15.75" customHeight="1">
      <c r="A1376" s="14">
        <v>31229</v>
      </c>
      <c r="B1376" s="3">
        <v>77.544929378607719</v>
      </c>
    </row>
    <row r="1377" spans="1:2" ht="15.75" customHeight="1">
      <c r="A1377" s="14">
        <v>31260</v>
      </c>
      <c r="B1377" s="3">
        <v>71.244007623137293</v>
      </c>
    </row>
    <row r="1378" spans="1:2" ht="15.75" customHeight="1">
      <c r="A1378" s="14">
        <v>31291</v>
      </c>
      <c r="B1378" s="3">
        <v>65.511399649648084</v>
      </c>
    </row>
    <row r="1379" spans="1:2" ht="15.75" customHeight="1">
      <c r="A1379" s="14">
        <v>31321</v>
      </c>
      <c r="B1379" s="3">
        <v>66.943632775198154</v>
      </c>
    </row>
    <row r="1380" spans="1:2" ht="15.75" customHeight="1">
      <c r="A1380" s="14">
        <v>31352</v>
      </c>
      <c r="B1380" s="3">
        <v>73.355559867733632</v>
      </c>
    </row>
    <row r="1381" spans="1:2" ht="15.75" customHeight="1">
      <c r="A1381" s="14">
        <v>31382</v>
      </c>
      <c r="B1381" s="3">
        <v>77.442169032831742</v>
      </c>
    </row>
    <row r="1382" spans="1:2" ht="15.75" customHeight="1">
      <c r="A1382" s="14">
        <v>31413</v>
      </c>
      <c r="B1382" s="3">
        <v>77.779236318221763</v>
      </c>
    </row>
    <row r="1383" spans="1:2" ht="15.75" customHeight="1">
      <c r="A1383" s="14">
        <v>31444</v>
      </c>
      <c r="B1383" s="3">
        <v>81.48660323899793</v>
      </c>
    </row>
    <row r="1384" spans="1:2" ht="15.75" customHeight="1">
      <c r="A1384" s="14">
        <v>31472</v>
      </c>
      <c r="B1384" s="3">
        <v>84.660992739032181</v>
      </c>
    </row>
    <row r="1385" spans="1:2" ht="15.75" customHeight="1">
      <c r="A1385" s="14">
        <v>31503</v>
      </c>
      <c r="B1385" s="3">
        <v>85.818111661535212</v>
      </c>
    </row>
    <row r="1386" spans="1:2" ht="15.75" customHeight="1">
      <c r="A1386" s="14">
        <v>31533</v>
      </c>
      <c r="B1386" s="3">
        <v>85.918460124328774</v>
      </c>
    </row>
    <row r="1387" spans="1:2" ht="15.75" customHeight="1">
      <c r="A1387" s="14">
        <v>31564</v>
      </c>
      <c r="B1387" s="3">
        <v>87.240746491922238</v>
      </c>
    </row>
    <row r="1388" spans="1:2" ht="15.75" customHeight="1">
      <c r="A1388" s="14">
        <v>31594</v>
      </c>
      <c r="B1388" s="3">
        <v>81.090516134618369</v>
      </c>
    </row>
    <row r="1389" spans="1:2" ht="15.75" customHeight="1">
      <c r="A1389" s="14">
        <v>31625</v>
      </c>
      <c r="B1389" s="3">
        <v>82.35157052371892</v>
      </c>
    </row>
    <row r="1390" spans="1:2" ht="15.75" customHeight="1">
      <c r="A1390" s="14">
        <v>31656</v>
      </c>
      <c r="B1390" s="3">
        <v>74.848241462991652</v>
      </c>
    </row>
    <row r="1391" spans="1:2" ht="15.75" customHeight="1">
      <c r="A1391" s="14">
        <v>31686</v>
      </c>
      <c r="B1391" s="3">
        <v>73.87453233416548</v>
      </c>
    </row>
    <row r="1392" spans="1:2" ht="15.75" customHeight="1">
      <c r="A1392" s="14">
        <v>31717</v>
      </c>
      <c r="B1392" s="3">
        <v>76.670809458387893</v>
      </c>
    </row>
    <row r="1393" spans="1:2" ht="15.75" customHeight="1">
      <c r="A1393" s="14">
        <v>31747</v>
      </c>
      <c r="B1393" s="3">
        <v>77.832257045151948</v>
      </c>
    </row>
    <row r="1394" spans="1:2" ht="15.75" customHeight="1">
      <c r="A1394" s="14">
        <v>31778</v>
      </c>
      <c r="B1394" s="3">
        <v>82.17402816128839</v>
      </c>
    </row>
    <row r="1395" spans="1:2" ht="15.75" customHeight="1">
      <c r="A1395" s="14">
        <v>31809</v>
      </c>
      <c r="B1395" s="3">
        <v>85.359252984348132</v>
      </c>
    </row>
    <row r="1396" spans="1:2" ht="15.75" customHeight="1">
      <c r="A1396" s="14">
        <v>31837</v>
      </c>
      <c r="B1396" s="3">
        <v>87.113250900635151</v>
      </c>
    </row>
    <row r="1397" spans="1:2" ht="15.75" customHeight="1">
      <c r="A1397" s="14">
        <v>31868</v>
      </c>
      <c r="B1397" s="3">
        <v>84.119343366443161</v>
      </c>
    </row>
    <row r="1398" spans="1:2" ht="15.75" customHeight="1">
      <c r="A1398" s="14">
        <v>31898</v>
      </c>
      <c r="B1398" s="3">
        <v>83.925205043447491</v>
      </c>
    </row>
    <row r="1399" spans="1:2" ht="15.75" customHeight="1">
      <c r="A1399" s="14">
        <v>31929</v>
      </c>
      <c r="B1399" s="3">
        <v>86.056514655305094</v>
      </c>
    </row>
    <row r="1400" spans="1:2" ht="15.75" customHeight="1">
      <c r="A1400" s="14">
        <v>31959</v>
      </c>
      <c r="B1400" s="3">
        <v>87.335559934679409</v>
      </c>
    </row>
    <row r="1401" spans="1:2" ht="15.75" customHeight="1">
      <c r="A1401" s="14">
        <v>31990</v>
      </c>
      <c r="B1401" s="3">
        <v>89.612056043477395</v>
      </c>
    </row>
    <row r="1402" spans="1:2" ht="15.75" customHeight="1">
      <c r="A1402" s="14">
        <v>32021</v>
      </c>
      <c r="B1402" s="3">
        <v>80.926767253979165</v>
      </c>
    </row>
    <row r="1403" spans="1:2" ht="15.75" customHeight="1">
      <c r="A1403" s="14">
        <v>32051</v>
      </c>
      <c r="B1403" s="3">
        <v>58.831865435761387</v>
      </c>
    </row>
    <row r="1404" spans="1:2" ht="15.75" customHeight="1">
      <c r="A1404" s="14">
        <v>32082</v>
      </c>
      <c r="B1404" s="3">
        <v>46.367273608876566</v>
      </c>
    </row>
    <row r="1405" spans="1:2" ht="15.75" customHeight="1">
      <c r="A1405" s="14">
        <v>32112</v>
      </c>
      <c r="B1405" s="3">
        <v>45.195450197742922</v>
      </c>
    </row>
    <row r="1406" spans="1:2" ht="15.75" customHeight="1">
      <c r="A1406" s="14">
        <v>32143</v>
      </c>
      <c r="B1406" s="3">
        <v>48.522910561613536</v>
      </c>
    </row>
    <row r="1407" spans="1:2" ht="15.75" customHeight="1">
      <c r="A1407" s="14">
        <v>32174</v>
      </c>
      <c r="B1407" s="3">
        <v>51.081743411334642</v>
      </c>
    </row>
    <row r="1408" spans="1:2" ht="15.75" customHeight="1">
      <c r="A1408" s="14">
        <v>32203</v>
      </c>
      <c r="B1408" s="3">
        <v>53.567370080002988</v>
      </c>
    </row>
    <row r="1409" spans="1:2" ht="15.75" customHeight="1">
      <c r="A1409" s="14">
        <v>32234</v>
      </c>
      <c r="B1409" s="3">
        <v>52.397840784232436</v>
      </c>
    </row>
    <row r="1410" spans="1:2" ht="15.75" customHeight="1">
      <c r="A1410" s="14">
        <v>32264</v>
      </c>
      <c r="B1410" s="3">
        <v>49.93599505492444</v>
      </c>
    </row>
    <row r="1411" spans="1:2" ht="15.75" customHeight="1">
      <c r="A1411" s="14">
        <v>32295</v>
      </c>
      <c r="B1411" s="3">
        <v>55.045140549145728</v>
      </c>
    </row>
    <row r="1412" spans="1:2" ht="15.75" customHeight="1">
      <c r="A1412" s="14">
        <v>32325</v>
      </c>
      <c r="B1412" s="3">
        <v>54.39006100546451</v>
      </c>
    </row>
    <row r="1413" spans="1:2" ht="15.75" customHeight="1">
      <c r="A1413" s="14">
        <v>32356</v>
      </c>
      <c r="B1413" s="3">
        <v>52.134977124368078</v>
      </c>
    </row>
    <row r="1414" spans="1:2" ht="15.75" customHeight="1">
      <c r="A1414" s="14">
        <v>32387</v>
      </c>
      <c r="B1414" s="3">
        <v>53.778393352855986</v>
      </c>
    </row>
    <row r="1415" spans="1:2" ht="15.75" customHeight="1">
      <c r="A1415" s="14">
        <v>32417</v>
      </c>
      <c r="B1415" s="3">
        <v>57.235087612752345</v>
      </c>
    </row>
    <row r="1416" spans="1:2" ht="15.75" customHeight="1">
      <c r="A1416" s="14">
        <v>32448</v>
      </c>
      <c r="B1416" s="3">
        <v>54.259787209363914</v>
      </c>
    </row>
    <row r="1417" spans="1:2" ht="15.75" customHeight="1">
      <c r="A1417" s="14">
        <v>32478</v>
      </c>
      <c r="B1417" s="3">
        <v>56.35934174899797</v>
      </c>
    </row>
    <row r="1418" spans="1:2" ht="15.75" customHeight="1">
      <c r="A1418" s="14">
        <v>32509</v>
      </c>
      <c r="B1418" s="3">
        <v>59.591645361340866</v>
      </c>
    </row>
    <row r="1419" spans="1:2" ht="15.75" customHeight="1">
      <c r="A1419" s="14">
        <v>32540</v>
      </c>
      <c r="B1419" s="3">
        <v>62.483251727490988</v>
      </c>
    </row>
    <row r="1420" spans="1:2" ht="15.75" customHeight="1">
      <c r="A1420" s="14">
        <v>32568</v>
      </c>
      <c r="B1420" s="3">
        <v>61.763750974356853</v>
      </c>
    </row>
    <row r="1421" spans="1:2" ht="15.75" customHeight="1">
      <c r="A1421" s="14">
        <v>32599</v>
      </c>
      <c r="B1421" s="3">
        <v>64.97150915267882</v>
      </c>
    </row>
    <row r="1422" spans="1:2" ht="15.75" customHeight="1">
      <c r="A1422" s="14">
        <v>32629</v>
      </c>
      <c r="B1422" s="3">
        <v>68.419146968039882</v>
      </c>
    </row>
    <row r="1423" spans="1:2" ht="15.75" customHeight="1">
      <c r="A1423" s="14">
        <v>32660</v>
      </c>
      <c r="B1423" s="3">
        <v>71.014704781294867</v>
      </c>
    </row>
    <row r="1424" spans="1:2" ht="15.75" customHeight="1">
      <c r="A1424" s="14">
        <v>32690</v>
      </c>
      <c r="B1424" s="3">
        <v>73.013318198378983</v>
      </c>
    </row>
    <row r="1425" spans="1:2" ht="15.75" customHeight="1">
      <c r="A1425" s="14">
        <v>32721</v>
      </c>
      <c r="B1425" s="3">
        <v>76.183712640464478</v>
      </c>
    </row>
    <row r="1426" spans="1:2" ht="15.75" customHeight="1">
      <c r="A1426" s="14">
        <v>32752</v>
      </c>
      <c r="B1426" s="3">
        <v>76.326337310806096</v>
      </c>
    </row>
    <row r="1427" spans="1:2" ht="15.75" customHeight="1">
      <c r="A1427" s="14">
        <v>32782</v>
      </c>
      <c r="B1427" s="3">
        <v>76.348128089678397</v>
      </c>
    </row>
    <row r="1428" spans="1:2" ht="15.75" customHeight="1">
      <c r="A1428" s="14">
        <v>32813</v>
      </c>
      <c r="B1428" s="3">
        <v>71.262052560488868</v>
      </c>
    </row>
    <row r="1429" spans="1:2" ht="15.75" customHeight="1">
      <c r="A1429" s="14">
        <v>32843</v>
      </c>
      <c r="B1429" s="3">
        <v>73.481594199831221</v>
      </c>
    </row>
    <row r="1430" spans="1:2" ht="15.75" customHeight="1">
      <c r="A1430" s="14">
        <v>32874</v>
      </c>
      <c r="B1430" s="3">
        <v>67.696751270140567</v>
      </c>
    </row>
    <row r="1431" spans="1:2" ht="15.75" customHeight="1">
      <c r="A1431" s="14">
        <v>32905</v>
      </c>
      <c r="B1431" s="3">
        <v>61.906955018089945</v>
      </c>
    </row>
    <row r="1432" spans="1:2" ht="15.75" customHeight="1">
      <c r="A1432" s="14">
        <v>32933</v>
      </c>
      <c r="B1432" s="3">
        <v>64.646673786328392</v>
      </c>
    </row>
    <row r="1433" spans="1:2" ht="15.75" customHeight="1">
      <c r="A1433" s="14">
        <v>32964</v>
      </c>
      <c r="B1433" s="3">
        <v>64.472114720343811</v>
      </c>
    </row>
    <row r="1434" spans="1:2" ht="15.75" customHeight="1">
      <c r="A1434" s="14">
        <v>32994</v>
      </c>
      <c r="B1434" s="3">
        <v>68.429526505018302</v>
      </c>
    </row>
    <row r="1435" spans="1:2" ht="15.75" customHeight="1">
      <c r="A1435" s="14">
        <v>33025</v>
      </c>
      <c r="B1435" s="3">
        <v>71.3198029531153</v>
      </c>
    </row>
    <row r="1436" spans="1:2" ht="15.75" customHeight="1">
      <c r="A1436" s="14">
        <v>33055</v>
      </c>
      <c r="B1436" s="3">
        <v>71.071031732124482</v>
      </c>
    </row>
    <row r="1437" spans="1:2" ht="15.75" customHeight="1">
      <c r="A1437" s="14">
        <v>33086</v>
      </c>
      <c r="B1437" s="3">
        <v>54.438762619343379</v>
      </c>
    </row>
    <row r="1438" spans="1:2" ht="15.75" customHeight="1">
      <c r="A1438" s="14">
        <v>33117</v>
      </c>
      <c r="B1438" s="3">
        <v>48.08917939275652</v>
      </c>
    </row>
    <row r="1439" spans="1:2" ht="15.75" customHeight="1">
      <c r="A1439" s="14">
        <v>33147</v>
      </c>
      <c r="B1439" s="3">
        <v>45.032322056020568</v>
      </c>
    </row>
    <row r="1440" spans="1:2" ht="15.75" customHeight="1">
      <c r="A1440" s="14">
        <v>33178</v>
      </c>
      <c r="B1440" s="3">
        <v>48.506352871647948</v>
      </c>
    </row>
    <row r="1441" spans="1:2" ht="15.75" customHeight="1">
      <c r="A1441" s="14">
        <v>33208</v>
      </c>
      <c r="B1441" s="3">
        <v>53.698306854797153</v>
      </c>
    </row>
    <row r="1442" spans="1:2" ht="15.75" customHeight="1">
      <c r="A1442" s="14">
        <v>33239</v>
      </c>
      <c r="B1442" s="3">
        <v>52.322298040411773</v>
      </c>
    </row>
    <row r="1443" spans="1:2" ht="15.75" customHeight="1">
      <c r="A1443" s="14">
        <v>33270</v>
      </c>
      <c r="B1443" s="3">
        <v>63.639740812448856</v>
      </c>
    </row>
    <row r="1444" spans="1:2" ht="15.75" customHeight="1">
      <c r="A1444" s="14">
        <v>33298</v>
      </c>
      <c r="B1444" s="3">
        <v>66.007690344268894</v>
      </c>
    </row>
    <row r="1445" spans="1:2" ht="15.75" customHeight="1">
      <c r="A1445" s="14">
        <v>33329</v>
      </c>
      <c r="B1445" s="3">
        <v>67.681643940092528</v>
      </c>
    </row>
    <row r="1446" spans="1:2" ht="15.75" customHeight="1">
      <c r="A1446" s="14">
        <v>33359</v>
      </c>
      <c r="B1446" s="3">
        <v>66.871718772667862</v>
      </c>
    </row>
    <row r="1447" spans="1:2" ht="15.75" customHeight="1">
      <c r="A1447" s="14">
        <v>33390</v>
      </c>
      <c r="B1447" s="3">
        <v>66.947332343113743</v>
      </c>
    </row>
    <row r="1448" spans="1:2" ht="15.75" customHeight="1">
      <c r="A1448" s="14">
        <v>33420</v>
      </c>
      <c r="B1448" s="3">
        <v>67.464490773358904</v>
      </c>
    </row>
    <row r="1449" spans="1:2" ht="15.75" customHeight="1">
      <c r="A1449" s="14">
        <v>33451</v>
      </c>
      <c r="B1449" s="3">
        <v>69.86467849641069</v>
      </c>
    </row>
    <row r="1450" spans="1:2" ht="15.75" customHeight="1">
      <c r="A1450" s="14">
        <v>33482</v>
      </c>
      <c r="B1450" s="3">
        <v>68.557955636500552</v>
      </c>
    </row>
    <row r="1451" spans="1:2" ht="15.75" customHeight="1">
      <c r="A1451" s="14">
        <v>33512</v>
      </c>
      <c r="B1451" s="3">
        <v>68.357681379946087</v>
      </c>
    </row>
    <row r="1452" spans="1:2" ht="15.75" customHeight="1">
      <c r="A1452" s="14">
        <v>33543</v>
      </c>
      <c r="B1452" s="3">
        <v>67.71856353341488</v>
      </c>
    </row>
    <row r="1453" spans="1:2" ht="15.75" customHeight="1">
      <c r="A1453" s="14">
        <v>33573</v>
      </c>
      <c r="B1453" s="3">
        <v>68.57229158361281</v>
      </c>
    </row>
    <row r="1454" spans="1:2" ht="15.75" customHeight="1">
      <c r="A1454" s="14">
        <v>33604</v>
      </c>
      <c r="B1454" s="3">
        <v>75.883674393658964</v>
      </c>
    </row>
    <row r="1455" spans="1:2" ht="15.75" customHeight="1">
      <c r="A1455" s="14">
        <v>33635</v>
      </c>
      <c r="B1455" s="3">
        <v>73.531598157601366</v>
      </c>
    </row>
    <row r="1456" spans="1:2" ht="15.75" customHeight="1">
      <c r="A1456" s="14">
        <v>33664</v>
      </c>
      <c r="B1456" s="3">
        <v>70.076041888222505</v>
      </c>
    </row>
    <row r="1457" spans="1:2" ht="15.75" customHeight="1">
      <c r="A1457" s="14">
        <v>33695</v>
      </c>
      <c r="B1457" s="3">
        <v>70.090596581537781</v>
      </c>
    </row>
    <row r="1458" spans="1:2" ht="15.75" customHeight="1">
      <c r="A1458" s="14">
        <v>33725</v>
      </c>
      <c r="B1458" s="3">
        <v>72.242444784450541</v>
      </c>
    </row>
    <row r="1459" spans="1:2" ht="15.75" customHeight="1">
      <c r="A1459" s="14">
        <v>33756</v>
      </c>
      <c r="B1459" s="3">
        <v>67.612641920491086</v>
      </c>
    </row>
    <row r="1460" spans="1:2" ht="15.75" customHeight="1">
      <c r="A1460" s="14">
        <v>33786</v>
      </c>
      <c r="B1460" s="3">
        <v>69.775210916625454</v>
      </c>
    </row>
    <row r="1461" spans="1:2" ht="15.75" customHeight="1">
      <c r="A1461" s="14">
        <v>33817</v>
      </c>
      <c r="B1461" s="3">
        <v>70.671066885948008</v>
      </c>
    </row>
    <row r="1462" spans="1:2" ht="15.75" customHeight="1">
      <c r="A1462" s="14">
        <v>33848</v>
      </c>
      <c r="B1462" s="3">
        <v>70.848766601519458</v>
      </c>
    </row>
    <row r="1463" spans="1:2" ht="15.75" customHeight="1">
      <c r="A1463" s="14">
        <v>33878</v>
      </c>
      <c r="B1463" s="3">
        <v>66.15545583738762</v>
      </c>
    </row>
    <row r="1464" spans="1:2" ht="15.75" customHeight="1">
      <c r="A1464" s="14">
        <v>33909</v>
      </c>
      <c r="B1464" s="3">
        <v>69.871863341530059</v>
      </c>
    </row>
    <row r="1465" spans="1:2" ht="15.75" customHeight="1">
      <c r="A1465" s="14">
        <v>33939</v>
      </c>
      <c r="B1465" s="3">
        <v>73.719100810631602</v>
      </c>
    </row>
    <row r="1466" spans="1:2" ht="15.75" customHeight="1">
      <c r="A1466" s="14">
        <v>33970</v>
      </c>
      <c r="B1466" s="3">
        <v>73.395800217424096</v>
      </c>
    </row>
    <row r="1467" spans="1:2" ht="15.75" customHeight="1">
      <c r="A1467" s="14">
        <v>34001</v>
      </c>
      <c r="B1467" s="3">
        <v>75.241084162096101</v>
      </c>
    </row>
    <row r="1468" spans="1:2" ht="15.75" customHeight="1">
      <c r="A1468" s="14">
        <v>34029</v>
      </c>
      <c r="B1468" s="3">
        <v>77.444129157909714</v>
      </c>
    </row>
    <row r="1469" spans="1:2" ht="15.75" customHeight="1">
      <c r="A1469" s="14">
        <v>34060</v>
      </c>
      <c r="B1469" s="3">
        <v>71.694679819922101</v>
      </c>
    </row>
    <row r="1470" spans="1:2" ht="15.75" customHeight="1">
      <c r="A1470" s="14">
        <v>34090</v>
      </c>
      <c r="B1470" s="3">
        <v>72.371702220892516</v>
      </c>
    </row>
    <row r="1471" spans="1:2" ht="15.75" customHeight="1">
      <c r="A1471" s="14">
        <v>34121</v>
      </c>
      <c r="B1471" s="3">
        <v>73.26350875175703</v>
      </c>
    </row>
    <row r="1472" spans="1:2" ht="15.75" customHeight="1">
      <c r="A1472" s="14">
        <v>34151</v>
      </c>
      <c r="B1472" s="3">
        <v>72.572225476018559</v>
      </c>
    </row>
    <row r="1473" spans="1:2" ht="15.75" customHeight="1">
      <c r="A1473" s="14">
        <v>34182</v>
      </c>
      <c r="B1473" s="3">
        <v>74.84301550204674</v>
      </c>
    </row>
    <row r="1474" spans="1:2" ht="15.75" customHeight="1">
      <c r="A1474" s="14">
        <v>34213</v>
      </c>
      <c r="B1474" s="3">
        <v>76.414062009577464</v>
      </c>
    </row>
    <row r="1475" spans="1:2" ht="15.75" customHeight="1">
      <c r="A1475" s="14">
        <v>34243</v>
      </c>
      <c r="B1475" s="3">
        <v>77.777019954869644</v>
      </c>
    </row>
    <row r="1476" spans="1:2" ht="15.75" customHeight="1">
      <c r="A1476" s="14">
        <v>34274</v>
      </c>
      <c r="B1476" s="3">
        <v>76.741920435845529</v>
      </c>
    </row>
    <row r="1477" spans="1:2" ht="15.75" customHeight="1">
      <c r="A1477" s="14">
        <v>34304</v>
      </c>
      <c r="B1477" s="3">
        <v>77.709817490463621</v>
      </c>
    </row>
    <row r="1478" spans="1:2" ht="15.75" customHeight="1">
      <c r="A1478" s="14">
        <v>34335</v>
      </c>
      <c r="B1478" s="3">
        <v>79.793285940559173</v>
      </c>
    </row>
    <row r="1479" spans="1:2" ht="15.75" customHeight="1">
      <c r="A1479" s="14">
        <v>34366</v>
      </c>
      <c r="B1479" s="3">
        <v>78.216392942530391</v>
      </c>
    </row>
    <row r="1480" spans="1:2" ht="15.75" customHeight="1">
      <c r="A1480" s="14">
        <v>34394</v>
      </c>
      <c r="B1480" s="3">
        <v>70.006105155042093</v>
      </c>
    </row>
    <row r="1481" spans="1:2" ht="15.75" customHeight="1">
      <c r="A1481" s="14">
        <v>34425</v>
      </c>
      <c r="B1481" s="3">
        <v>56.401159295298775</v>
      </c>
    </row>
    <row r="1482" spans="1:2" ht="15.75" customHeight="1">
      <c r="A1482" s="14">
        <v>34455</v>
      </c>
      <c r="B1482" s="3">
        <v>58.331504339060125</v>
      </c>
    </row>
    <row r="1483" spans="1:2" ht="15.75" customHeight="1">
      <c r="A1483" s="14">
        <v>34486</v>
      </c>
      <c r="B1483" s="3">
        <v>60.355697504246116</v>
      </c>
    </row>
    <row r="1484" spans="1:2" ht="15.75" customHeight="1">
      <c r="A1484" s="14">
        <v>34516</v>
      </c>
      <c r="B1484" s="3">
        <v>57.720225514807638</v>
      </c>
    </row>
    <row r="1485" spans="1:2" ht="15.75" customHeight="1">
      <c r="A1485" s="14">
        <v>34547</v>
      </c>
      <c r="B1485" s="3">
        <v>64.048839820904831</v>
      </c>
    </row>
    <row r="1486" spans="1:2" ht="15.75" customHeight="1">
      <c r="A1486" s="14">
        <v>34578</v>
      </c>
      <c r="B1486" s="3">
        <v>65.23596022139381</v>
      </c>
    </row>
    <row r="1487" spans="1:2" ht="15.75" customHeight="1">
      <c r="A1487" s="14">
        <v>34608</v>
      </c>
      <c r="B1487" s="3">
        <v>62.65566992412645</v>
      </c>
    </row>
    <row r="1488" spans="1:2" ht="15.75" customHeight="1">
      <c r="A1488" s="14">
        <v>34639</v>
      </c>
      <c r="B1488" s="3">
        <v>60.369891818019902</v>
      </c>
    </row>
    <row r="1489" spans="1:2" ht="15.75" customHeight="1">
      <c r="A1489" s="14">
        <v>34669</v>
      </c>
      <c r="B1489" s="3">
        <v>55.812127102137246</v>
      </c>
    </row>
    <row r="1490" spans="1:2" ht="15.75" customHeight="1">
      <c r="A1490" s="14">
        <v>34700</v>
      </c>
      <c r="B1490" s="3">
        <v>61.256963550183286</v>
      </c>
    </row>
    <row r="1491" spans="1:2" ht="15.75" customHeight="1">
      <c r="A1491" s="14">
        <v>34731</v>
      </c>
      <c r="B1491" s="3">
        <v>68.240530286706502</v>
      </c>
    </row>
    <row r="1492" spans="1:2" ht="15.75" customHeight="1">
      <c r="A1492" s="14">
        <v>34759</v>
      </c>
      <c r="B1492" s="3">
        <v>71.91344576158005</v>
      </c>
    </row>
    <row r="1493" spans="1:2" ht="15.75" customHeight="1">
      <c r="A1493" s="14">
        <v>34790</v>
      </c>
      <c r="B1493" s="3">
        <v>75.864283332898836</v>
      </c>
    </row>
    <row r="1494" spans="1:2" ht="15.75" customHeight="1">
      <c r="A1494" s="14">
        <v>34820</v>
      </c>
      <c r="B1494" s="3">
        <v>79.250359616726215</v>
      </c>
    </row>
    <row r="1495" spans="1:2" ht="15.75" customHeight="1">
      <c r="A1495" s="14">
        <v>34851</v>
      </c>
      <c r="B1495" s="3">
        <v>81.920111279397418</v>
      </c>
    </row>
    <row r="1496" spans="1:2" ht="15.75" customHeight="1">
      <c r="A1496" s="14">
        <v>34881</v>
      </c>
      <c r="B1496" s="3">
        <v>84.4229554403191</v>
      </c>
    </row>
    <row r="1497" spans="1:2" ht="15.75" customHeight="1">
      <c r="A1497" s="14">
        <v>34912</v>
      </c>
      <c r="B1497" s="3">
        <v>84.644007764211409</v>
      </c>
    </row>
    <row r="1498" spans="1:2" ht="15.75" customHeight="1">
      <c r="A1498" s="14">
        <v>34943</v>
      </c>
      <c r="B1498" s="3">
        <v>86.905157179393143</v>
      </c>
    </row>
    <row r="1499" spans="1:2" ht="15.75" customHeight="1">
      <c r="A1499" s="14">
        <v>34973</v>
      </c>
      <c r="B1499" s="3">
        <v>87.329289730058917</v>
      </c>
    </row>
    <row r="1500" spans="1:2" ht="15.75" customHeight="1">
      <c r="A1500" s="14">
        <v>35004</v>
      </c>
      <c r="B1500" s="3">
        <v>88.543527921524031</v>
      </c>
    </row>
    <row r="1501" spans="1:2" ht="15.75" customHeight="1">
      <c r="A1501" s="14">
        <v>35034</v>
      </c>
      <c r="B1501" s="3">
        <v>90.088063695163328</v>
      </c>
    </row>
    <row r="1502" spans="1:2" ht="15.75" customHeight="1">
      <c r="A1502" s="14">
        <v>35065</v>
      </c>
      <c r="B1502" s="3">
        <v>89.985137278668589</v>
      </c>
    </row>
    <row r="1503" spans="1:2" ht="15.75" customHeight="1">
      <c r="A1503" s="14">
        <v>35096</v>
      </c>
      <c r="B1503" s="3">
        <v>92.224946056993218</v>
      </c>
    </row>
    <row r="1504" spans="1:2" ht="15.75" customHeight="1">
      <c r="A1504" s="14">
        <v>35125</v>
      </c>
      <c r="B1504" s="3">
        <v>90.688750552870744</v>
      </c>
    </row>
    <row r="1505" spans="1:2" ht="15.75" customHeight="1">
      <c r="A1505" s="14">
        <v>35156</v>
      </c>
      <c r="B1505" s="3">
        <v>90.695507935014177</v>
      </c>
    </row>
    <row r="1506" spans="1:2" ht="15.75" customHeight="1">
      <c r="A1506" s="14">
        <v>35186</v>
      </c>
      <c r="B1506" s="3">
        <v>91.616710209053537</v>
      </c>
    </row>
    <row r="1507" spans="1:2" ht="15.75" customHeight="1">
      <c r="A1507" s="14">
        <v>35217</v>
      </c>
      <c r="B1507" s="3">
        <v>92.054740545104366</v>
      </c>
    </row>
    <row r="1508" spans="1:2" ht="15.75" customHeight="1">
      <c r="A1508" s="14">
        <v>35247</v>
      </c>
      <c r="B1508" s="3">
        <v>77.416270314741908</v>
      </c>
    </row>
    <row r="1509" spans="1:2" ht="15.75" customHeight="1">
      <c r="A1509" s="14">
        <v>35278</v>
      </c>
      <c r="B1509" s="3">
        <v>80.022423437655291</v>
      </c>
    </row>
    <row r="1510" spans="1:2" ht="15.75" customHeight="1">
      <c r="A1510" s="14">
        <v>35309</v>
      </c>
      <c r="B1510" s="3">
        <v>81.527402219194073</v>
      </c>
    </row>
    <row r="1511" spans="1:2" ht="15.75" customHeight="1">
      <c r="A1511" s="14">
        <v>35339</v>
      </c>
      <c r="B1511" s="3">
        <v>84.30206348181008</v>
      </c>
    </row>
    <row r="1512" spans="1:2" ht="15.75" customHeight="1">
      <c r="A1512" s="14">
        <v>35370</v>
      </c>
      <c r="B1512" s="3">
        <v>87.007088355565884</v>
      </c>
    </row>
    <row r="1513" spans="1:2" ht="15.75" customHeight="1">
      <c r="A1513" s="14">
        <v>35400</v>
      </c>
      <c r="B1513" s="3">
        <v>87.520228671205572</v>
      </c>
    </row>
    <row r="1514" spans="1:2" ht="15.75" customHeight="1">
      <c r="A1514" s="14">
        <v>35431</v>
      </c>
      <c r="B1514" s="3">
        <v>88.945057264973158</v>
      </c>
    </row>
    <row r="1515" spans="1:2" ht="15.75" customHeight="1">
      <c r="A1515" s="14">
        <v>35462</v>
      </c>
      <c r="B1515" s="3">
        <v>90.569056711028352</v>
      </c>
    </row>
    <row r="1516" spans="1:2" ht="15.75" customHeight="1">
      <c r="A1516" s="14">
        <v>35490</v>
      </c>
      <c r="B1516" s="3">
        <v>87.87674698260129</v>
      </c>
    </row>
    <row r="1517" spans="1:2" ht="15.75" customHeight="1">
      <c r="A1517" s="14">
        <v>35521</v>
      </c>
      <c r="B1517" s="3">
        <v>76.744116780523456</v>
      </c>
    </row>
    <row r="1518" spans="1:2" ht="15.75" customHeight="1">
      <c r="A1518" s="14">
        <v>35551</v>
      </c>
      <c r="B1518" s="3">
        <v>82.569881496758313</v>
      </c>
    </row>
    <row r="1519" spans="1:2" ht="15.75" customHeight="1">
      <c r="A1519" s="14">
        <v>35582</v>
      </c>
      <c r="B1519" s="3">
        <v>85.083505529522213</v>
      </c>
    </row>
    <row r="1520" spans="1:2" ht="15.75" customHeight="1">
      <c r="A1520" s="14">
        <v>35612</v>
      </c>
      <c r="B1520" s="3">
        <v>87.317586484173646</v>
      </c>
    </row>
    <row r="1521" spans="1:2" ht="15.75" customHeight="1">
      <c r="A1521" s="14">
        <v>35643</v>
      </c>
      <c r="B1521" s="3">
        <v>87.398473443244455</v>
      </c>
    </row>
    <row r="1522" spans="1:2" ht="15.75" customHeight="1">
      <c r="A1522" s="14">
        <v>35674</v>
      </c>
      <c r="B1522" s="3">
        <v>87.818116430755126</v>
      </c>
    </row>
    <row r="1523" spans="1:2" ht="15.75" customHeight="1">
      <c r="A1523" s="14">
        <v>35704</v>
      </c>
      <c r="B1523" s="3">
        <v>88.418615751053025</v>
      </c>
    </row>
    <row r="1524" spans="1:2" ht="15.75" customHeight="1">
      <c r="A1524" s="14">
        <v>35735</v>
      </c>
      <c r="B1524" s="3">
        <v>84.534016074678732</v>
      </c>
    </row>
    <row r="1525" spans="1:2" ht="15.75" customHeight="1">
      <c r="A1525" s="14">
        <v>35765</v>
      </c>
      <c r="B1525" s="3">
        <v>85.819428258745944</v>
      </c>
    </row>
    <row r="1526" spans="1:2" ht="15.75" customHeight="1">
      <c r="A1526" s="14">
        <v>35796</v>
      </c>
      <c r="B1526" s="3">
        <v>85.872810604782273</v>
      </c>
    </row>
    <row r="1527" spans="1:2" ht="15.75" customHeight="1">
      <c r="A1527" s="14">
        <v>35827</v>
      </c>
      <c r="B1527" s="3">
        <v>88.673382606995119</v>
      </c>
    </row>
    <row r="1528" spans="1:2" ht="15.75" customHeight="1">
      <c r="A1528" s="14">
        <v>35855</v>
      </c>
      <c r="B1528" s="3">
        <v>90.4635096344647</v>
      </c>
    </row>
    <row r="1529" spans="1:2" ht="15.75" customHeight="1">
      <c r="A1529" s="14">
        <v>35886</v>
      </c>
      <c r="B1529" s="3">
        <v>91.434757947568784</v>
      </c>
    </row>
    <row r="1530" spans="1:2" ht="15.75" customHeight="1">
      <c r="A1530" s="14">
        <v>35916</v>
      </c>
      <c r="B1530" s="3">
        <v>90.375422591045151</v>
      </c>
    </row>
    <row r="1531" spans="1:2" ht="15.75" customHeight="1">
      <c r="A1531" s="14">
        <v>35947</v>
      </c>
      <c r="B1531" s="3">
        <v>90.366474227407977</v>
      </c>
    </row>
    <row r="1532" spans="1:2" ht="15.75" customHeight="1">
      <c r="A1532" s="14">
        <v>35977</v>
      </c>
      <c r="B1532" s="3">
        <v>91.775234684873837</v>
      </c>
    </row>
    <row r="1533" spans="1:2" ht="15.75" customHeight="1">
      <c r="A1533" s="14">
        <v>36008</v>
      </c>
      <c r="B1533" s="3">
        <v>72.386862452914613</v>
      </c>
    </row>
    <row r="1534" spans="1:2" ht="15.75" customHeight="1">
      <c r="A1534" s="14">
        <v>36039</v>
      </c>
      <c r="B1534" s="3">
        <v>62.953786788487335</v>
      </c>
    </row>
    <row r="1535" spans="1:2" ht="15.75" customHeight="1">
      <c r="A1535" s="14">
        <v>36069</v>
      </c>
      <c r="B1535" s="3">
        <v>64.059183212998278</v>
      </c>
    </row>
    <row r="1536" spans="1:2" ht="15.75" customHeight="1">
      <c r="A1536" s="14">
        <v>36100</v>
      </c>
      <c r="B1536" s="3">
        <v>72.440442883531418</v>
      </c>
    </row>
    <row r="1537" spans="1:2" ht="15.75" customHeight="1">
      <c r="A1537" s="14">
        <v>36130</v>
      </c>
      <c r="B1537" s="3">
        <v>74.998789930603181</v>
      </c>
    </row>
    <row r="1538" spans="1:2" ht="15.75" customHeight="1">
      <c r="A1538" s="14">
        <v>36161</v>
      </c>
      <c r="B1538" s="3">
        <v>77.849111292571678</v>
      </c>
    </row>
    <row r="1539" spans="1:2" ht="15.75" customHeight="1">
      <c r="A1539" s="14">
        <v>36192</v>
      </c>
      <c r="B1539" s="3">
        <v>77.494261062439406</v>
      </c>
    </row>
    <row r="1540" spans="1:2" ht="15.75" customHeight="1">
      <c r="A1540" s="14">
        <v>36220</v>
      </c>
      <c r="B1540" s="3">
        <v>79.134896642288552</v>
      </c>
    </row>
    <row r="1541" spans="1:2" ht="15.75" customHeight="1">
      <c r="A1541" s="14">
        <v>36251</v>
      </c>
      <c r="B1541" s="3">
        <v>81.351018269816507</v>
      </c>
    </row>
    <row r="1542" spans="1:2" ht="15.75" customHeight="1">
      <c r="A1542" s="14">
        <v>36281</v>
      </c>
      <c r="B1542" s="3">
        <v>80.882346026392298</v>
      </c>
    </row>
    <row r="1543" spans="1:2" ht="15.75" customHeight="1">
      <c r="A1543" s="14">
        <v>36312</v>
      </c>
      <c r="B1543" s="3">
        <v>79.144558589052664</v>
      </c>
    </row>
    <row r="1544" spans="1:2" ht="15.75" customHeight="1">
      <c r="A1544" s="14">
        <v>36342</v>
      </c>
      <c r="B1544" s="3">
        <v>81.738380452450286</v>
      </c>
    </row>
    <row r="1545" spans="1:2" ht="15.75" customHeight="1">
      <c r="A1545" s="14">
        <v>36373</v>
      </c>
      <c r="B1545" s="3">
        <v>72.810597681164069</v>
      </c>
    </row>
    <row r="1546" spans="1:2" ht="15.75" customHeight="1">
      <c r="A1546" s="14">
        <v>36404</v>
      </c>
      <c r="B1546" s="3">
        <v>71.348589536703798</v>
      </c>
    </row>
    <row r="1547" spans="1:2" ht="15.75" customHeight="1">
      <c r="A1547" s="14">
        <v>36434</v>
      </c>
      <c r="B1547" s="3">
        <v>68.463884915795603</v>
      </c>
    </row>
    <row r="1548" spans="1:2" ht="15.75" customHeight="1">
      <c r="A1548" s="14">
        <v>36465</v>
      </c>
      <c r="B1548" s="3">
        <v>74.111716290843162</v>
      </c>
    </row>
    <row r="1549" spans="1:2" ht="15.75" customHeight="1">
      <c r="A1549" s="14">
        <v>36495</v>
      </c>
      <c r="B1549" s="3">
        <v>76.026447583999982</v>
      </c>
    </row>
    <row r="1550" spans="1:2" ht="15.75" customHeight="1">
      <c r="A1550" s="14">
        <v>36526</v>
      </c>
      <c r="B1550" s="3">
        <v>75.533076131788846</v>
      </c>
    </row>
    <row r="1551" spans="1:2" ht="15.75" customHeight="1">
      <c r="A1551" s="14">
        <v>36557</v>
      </c>
      <c r="B1551" s="3">
        <v>69.741097237039</v>
      </c>
    </row>
    <row r="1552" spans="1:2" ht="15.75" customHeight="1">
      <c r="A1552" s="14">
        <v>36586</v>
      </c>
      <c r="B1552" s="3">
        <v>72.982080073592158</v>
      </c>
    </row>
    <row r="1553" spans="1:2" ht="15.75" customHeight="1">
      <c r="A1553" s="14">
        <v>36617</v>
      </c>
      <c r="B1553" s="3">
        <v>74.056448967405331</v>
      </c>
    </row>
    <row r="1554" spans="1:2" ht="15.75" customHeight="1">
      <c r="A1554" s="14">
        <v>36647</v>
      </c>
      <c r="B1554" s="3">
        <v>67.576550291485944</v>
      </c>
    </row>
    <row r="1555" spans="1:2" ht="15.75" customHeight="1">
      <c r="A1555" s="14">
        <v>36678</v>
      </c>
      <c r="B1555" s="3">
        <v>70.404373837601298</v>
      </c>
    </row>
    <row r="1556" spans="1:2" ht="15.75" customHeight="1">
      <c r="A1556" s="14">
        <v>36708</v>
      </c>
      <c r="B1556" s="3">
        <v>71.093738837561631</v>
      </c>
    </row>
    <row r="1557" spans="1:2" ht="15.75" customHeight="1">
      <c r="A1557" s="14">
        <v>36739</v>
      </c>
      <c r="B1557" s="3">
        <v>71.889573381251395</v>
      </c>
    </row>
    <row r="1558" spans="1:2" ht="15.75" customHeight="1">
      <c r="A1558" s="14">
        <v>36770</v>
      </c>
      <c r="B1558" s="3">
        <v>69.029791958776599</v>
      </c>
    </row>
    <row r="1559" spans="1:2" ht="15.75" customHeight="1">
      <c r="A1559" s="14">
        <v>36800</v>
      </c>
      <c r="B1559" s="3">
        <v>57.92496424137078</v>
      </c>
    </row>
    <row r="1560" spans="1:2" ht="15.75" customHeight="1">
      <c r="A1560" s="14">
        <v>36831</v>
      </c>
      <c r="B1560" s="3">
        <v>56.407260114122657</v>
      </c>
    </row>
    <row r="1561" spans="1:2" ht="15.75" customHeight="1">
      <c r="A1561" s="14">
        <v>36861</v>
      </c>
      <c r="B1561" s="3">
        <v>50.823829268438622</v>
      </c>
    </row>
    <row r="1562" spans="1:2" ht="15.75" customHeight="1">
      <c r="A1562" s="14">
        <v>36892</v>
      </c>
      <c r="B1562" s="3">
        <v>51.341312125252898</v>
      </c>
    </row>
    <row r="1563" spans="1:2" ht="15.75" customHeight="1">
      <c r="A1563" s="14">
        <v>36923</v>
      </c>
      <c r="B1563" s="3">
        <v>47.890968883290824</v>
      </c>
    </row>
    <row r="1564" spans="1:2" ht="15.75" customHeight="1">
      <c r="A1564" s="14">
        <v>36951</v>
      </c>
      <c r="B1564" s="3">
        <v>37.112851010974097</v>
      </c>
    </row>
    <row r="1565" spans="1:2" ht="15.75" customHeight="1">
      <c r="A1565" s="14">
        <v>36982</v>
      </c>
      <c r="B1565" s="3">
        <v>37.616004959018355</v>
      </c>
    </row>
    <row r="1566" spans="1:2" ht="15.75" customHeight="1">
      <c r="A1566" s="14">
        <v>37012</v>
      </c>
      <c r="B1566" s="3">
        <v>46.857648854260049</v>
      </c>
    </row>
    <row r="1567" spans="1:2" ht="15.75" customHeight="1">
      <c r="A1567" s="14">
        <v>37043</v>
      </c>
      <c r="B1567" s="3">
        <v>44.09213960506812</v>
      </c>
    </row>
    <row r="1568" spans="1:2" ht="15.75" customHeight="1">
      <c r="A1568" s="14">
        <v>37073</v>
      </c>
      <c r="B1568" s="3">
        <v>41.254684349110256</v>
      </c>
    </row>
    <row r="1569" spans="1:2" ht="15.75" customHeight="1">
      <c r="A1569" s="14">
        <v>37104</v>
      </c>
      <c r="B1569" s="3">
        <v>39.19710529358877</v>
      </c>
    </row>
    <row r="1570" spans="1:2" ht="15.75" customHeight="1">
      <c r="A1570" s="14">
        <v>37135</v>
      </c>
      <c r="B1570" s="3">
        <v>30.693120909701193</v>
      </c>
    </row>
    <row r="1571" spans="1:2" ht="15.75" customHeight="1">
      <c r="A1571" s="14">
        <v>37165</v>
      </c>
      <c r="B1571" s="3">
        <v>34.353968595066505</v>
      </c>
    </row>
    <row r="1572" spans="1:2" ht="15.75" customHeight="1">
      <c r="A1572" s="14">
        <v>37196</v>
      </c>
      <c r="B1572" s="3">
        <v>40.023092299874655</v>
      </c>
    </row>
    <row r="1573" spans="1:2" ht="15.75" customHeight="1">
      <c r="A1573" s="14">
        <v>37226</v>
      </c>
      <c r="B1573" s="3">
        <v>41.583663460487955</v>
      </c>
    </row>
    <row r="1574" spans="1:2" ht="15.75" customHeight="1">
      <c r="A1574" s="14">
        <v>37257</v>
      </c>
      <c r="B1574" s="3">
        <v>41.226120025674582</v>
      </c>
    </row>
    <row r="1575" spans="1:2" ht="15.75" customHeight="1">
      <c r="A1575" s="14">
        <v>37288</v>
      </c>
      <c r="B1575" s="3">
        <v>38.258467938933883</v>
      </c>
    </row>
    <row r="1576" spans="1:2" ht="15.75" customHeight="1">
      <c r="A1576" s="14">
        <v>37316</v>
      </c>
      <c r="B1576" s="3">
        <v>44.082142885128739</v>
      </c>
    </row>
    <row r="1577" spans="1:2" ht="15.75" customHeight="1">
      <c r="A1577" s="14">
        <v>37347</v>
      </c>
      <c r="B1577" s="3">
        <v>40.81501923773714</v>
      </c>
    </row>
    <row r="1578" spans="1:2" ht="15.75" customHeight="1">
      <c r="A1578" s="14">
        <v>37377</v>
      </c>
      <c r="B1578" s="3">
        <v>38.420940798675325</v>
      </c>
    </row>
    <row r="1579" spans="1:2" ht="15.75" customHeight="1">
      <c r="A1579" s="14">
        <v>37408</v>
      </c>
      <c r="B1579" s="3">
        <v>34.118997816151605</v>
      </c>
    </row>
    <row r="1580" spans="1:2" ht="15.75" customHeight="1">
      <c r="A1580" s="14">
        <v>37438</v>
      </c>
      <c r="B1580" s="3">
        <v>28.334821608810032</v>
      </c>
    </row>
    <row r="1581" spans="1:2" ht="15.75" customHeight="1">
      <c r="A1581" s="14">
        <v>37469</v>
      </c>
      <c r="B1581" s="3">
        <v>29.380920927454397</v>
      </c>
    </row>
    <row r="1582" spans="1:2" ht="15.75" customHeight="1">
      <c r="A1582" s="14">
        <v>37500</v>
      </c>
      <c r="B1582" s="3">
        <v>27.242540404302815</v>
      </c>
    </row>
    <row r="1583" spans="1:2" ht="15.75" customHeight="1">
      <c r="A1583" s="14">
        <v>37530</v>
      </c>
      <c r="B1583" s="3">
        <v>26.627706980412981</v>
      </c>
    </row>
    <row r="1584" spans="1:2" ht="15.75" customHeight="1">
      <c r="A1584" s="14">
        <v>37561</v>
      </c>
      <c r="B1584" s="3">
        <v>33.417611114053187</v>
      </c>
    </row>
    <row r="1585" spans="1:2" ht="15.75" customHeight="1">
      <c r="A1585" s="14">
        <v>37591</v>
      </c>
      <c r="B1585" s="3">
        <v>32.782511585391632</v>
      </c>
    </row>
    <row r="1586" spans="1:2" ht="15.75" customHeight="1">
      <c r="A1586" s="14">
        <v>37622</v>
      </c>
      <c r="B1586" s="3">
        <v>32.575364721590958</v>
      </c>
    </row>
    <row r="1587" spans="1:2" ht="15.75" customHeight="1">
      <c r="A1587" s="14">
        <v>37653</v>
      </c>
      <c r="B1587" s="3">
        <v>29.089849315332771</v>
      </c>
    </row>
    <row r="1588" spans="1:2" ht="15.75" customHeight="1">
      <c r="A1588" s="14">
        <v>37681</v>
      </c>
      <c r="B1588" s="3">
        <v>30.399024555301153</v>
      </c>
    </row>
    <row r="1589" spans="1:2" ht="15.75" customHeight="1">
      <c r="A1589" s="14">
        <v>37712</v>
      </c>
      <c r="B1589" s="3">
        <v>36.139221135879595</v>
      </c>
    </row>
    <row r="1590" spans="1:2" ht="15.75" customHeight="1">
      <c r="A1590" s="14">
        <v>37742</v>
      </c>
      <c r="B1590" s="3">
        <v>41.626055841874901</v>
      </c>
    </row>
    <row r="1591" spans="1:2" ht="15.75" customHeight="1">
      <c r="A1591" s="14">
        <v>37773</v>
      </c>
      <c r="B1591" s="3">
        <v>47.165091390648811</v>
      </c>
    </row>
    <row r="1592" spans="1:2" ht="15.75" customHeight="1">
      <c r="A1592" s="14">
        <v>37803</v>
      </c>
      <c r="B1592" s="3">
        <v>47.631949353236401</v>
      </c>
    </row>
    <row r="1593" spans="1:2" ht="15.75" customHeight="1">
      <c r="A1593" s="14">
        <v>37834</v>
      </c>
      <c r="B1593" s="3">
        <v>47.33332436657691</v>
      </c>
    </row>
    <row r="1594" spans="1:2" ht="15.75" customHeight="1">
      <c r="A1594" s="14">
        <v>37865</v>
      </c>
      <c r="B1594" s="3">
        <v>50.644612370618326</v>
      </c>
    </row>
    <row r="1595" spans="1:2" ht="15.75" customHeight="1">
      <c r="A1595" s="14">
        <v>37895</v>
      </c>
      <c r="B1595" s="3">
        <v>52.709677819141518</v>
      </c>
    </row>
    <row r="1596" spans="1:2" ht="15.75" customHeight="1">
      <c r="A1596" s="14">
        <v>37926</v>
      </c>
      <c r="B1596" s="3">
        <v>53.912193965833318</v>
      </c>
    </row>
    <row r="1597" spans="1:2" ht="15.75" customHeight="1">
      <c r="A1597" s="14">
        <v>37956</v>
      </c>
      <c r="B1597" s="3">
        <v>57.142065534668411</v>
      </c>
    </row>
    <row r="1598" spans="1:2" ht="15.75" customHeight="1">
      <c r="A1598" s="14">
        <v>37987</v>
      </c>
      <c r="B1598" s="3">
        <v>61.984272149729676</v>
      </c>
    </row>
    <row r="1599" spans="1:2" ht="15.75" customHeight="1">
      <c r="A1599" s="14">
        <v>38018</v>
      </c>
      <c r="B1599" s="3">
        <v>62.926782985411776</v>
      </c>
    </row>
    <row r="1600" spans="1:2" ht="15.75" customHeight="1">
      <c r="A1600" s="14">
        <v>38047</v>
      </c>
      <c r="B1600" s="3">
        <v>60.05985681994418</v>
      </c>
    </row>
    <row r="1601" spans="1:2" ht="15.75" customHeight="1">
      <c r="A1601" s="14">
        <v>38078</v>
      </c>
      <c r="B1601" s="3">
        <v>60.98632725350609</v>
      </c>
    </row>
    <row r="1602" spans="1:2" ht="15.75" customHeight="1">
      <c r="A1602" s="14">
        <v>38108</v>
      </c>
      <c r="B1602" s="3">
        <v>56.393595721574783</v>
      </c>
    </row>
    <row r="1603" spans="1:2" ht="15.75" customHeight="1">
      <c r="A1603" s="14">
        <v>38139</v>
      </c>
      <c r="B1603" s="3">
        <v>59.605342797460082</v>
      </c>
    </row>
    <row r="1604" spans="1:2" ht="15.75" customHeight="1">
      <c r="A1604" s="14">
        <v>38169</v>
      </c>
      <c r="B1604" s="3">
        <v>55.643712782539446</v>
      </c>
    </row>
    <row r="1605" spans="1:2" ht="15.75" customHeight="1">
      <c r="A1605" s="14">
        <v>38200</v>
      </c>
      <c r="B1605" s="3">
        <v>53.248676302183199</v>
      </c>
    </row>
    <row r="1606" spans="1:2" ht="15.75" customHeight="1">
      <c r="A1606" s="14">
        <v>38231</v>
      </c>
      <c r="B1606" s="3">
        <v>56.660637348158346</v>
      </c>
    </row>
    <row r="1607" spans="1:2" ht="15.75" customHeight="1">
      <c r="A1607" s="14">
        <v>38261</v>
      </c>
      <c r="B1607" s="3">
        <v>56.590947442129163</v>
      </c>
    </row>
    <row r="1608" spans="1:2" ht="15.75" customHeight="1">
      <c r="A1608" s="14">
        <v>38292</v>
      </c>
      <c r="B1608" s="3">
        <v>62.327231031763596</v>
      </c>
    </row>
    <row r="1609" spans="1:2" ht="15.75" customHeight="1">
      <c r="A1609" s="14">
        <v>38322</v>
      </c>
      <c r="B1609" s="3">
        <v>65.223203979649469</v>
      </c>
    </row>
    <row r="1610" spans="1:2" ht="15.75" customHeight="1">
      <c r="A1610" s="14">
        <v>38353</v>
      </c>
      <c r="B1610" s="3">
        <v>62.19546825599906</v>
      </c>
    </row>
    <row r="1611" spans="1:2" ht="15.75" customHeight="1">
      <c r="A1611" s="14">
        <v>38384</v>
      </c>
      <c r="B1611" s="3">
        <v>64.035812805424541</v>
      </c>
    </row>
    <row r="1612" spans="1:2" ht="15.75" customHeight="1">
      <c r="A1612" s="14">
        <v>38412</v>
      </c>
      <c r="B1612" s="3">
        <v>63.175998156774284</v>
      </c>
    </row>
    <row r="1613" spans="1:2" ht="15.75" customHeight="1">
      <c r="A1613" s="14">
        <v>38443</v>
      </c>
      <c r="B1613" s="3">
        <v>57.792672095245209</v>
      </c>
    </row>
    <row r="1614" spans="1:2" ht="15.75" customHeight="1">
      <c r="A1614" s="14">
        <v>38473</v>
      </c>
      <c r="B1614" s="3">
        <v>59.482726885718542</v>
      </c>
    </row>
    <row r="1615" spans="1:2" ht="15.75" customHeight="1">
      <c r="A1615" s="14">
        <v>38504</v>
      </c>
      <c r="B1615" s="3">
        <v>62.296551017088284</v>
      </c>
    </row>
    <row r="1616" spans="1:2" ht="15.75" customHeight="1">
      <c r="A1616" s="14">
        <v>38534</v>
      </c>
      <c r="B1616" s="3">
        <v>64.510108747421299</v>
      </c>
    </row>
    <row r="1617" spans="1:2" ht="15.75" customHeight="1">
      <c r="A1617" s="14">
        <v>38565</v>
      </c>
      <c r="B1617" s="3">
        <v>64.736522518411107</v>
      </c>
    </row>
    <row r="1618" spans="1:2" ht="15.75" customHeight="1">
      <c r="A1618" s="14">
        <v>38596</v>
      </c>
      <c r="B1618" s="3">
        <v>64.932351696649846</v>
      </c>
    </row>
    <row r="1619" spans="1:2" ht="15.75" customHeight="1">
      <c r="A1619" s="14">
        <v>38626</v>
      </c>
      <c r="B1619" s="3">
        <v>57.815834793327554</v>
      </c>
    </row>
    <row r="1620" spans="1:2" ht="15.75" customHeight="1">
      <c r="A1620" s="14">
        <v>38657</v>
      </c>
      <c r="B1620" s="3">
        <v>63.566015874348828</v>
      </c>
    </row>
    <row r="1621" spans="1:2" ht="15.75" customHeight="1">
      <c r="A1621" s="14">
        <v>38687</v>
      </c>
      <c r="B1621" s="3">
        <v>66.260070329926663</v>
      </c>
    </row>
    <row r="1622" spans="1:2" ht="15.75" customHeight="1">
      <c r="A1622" s="14">
        <v>38718</v>
      </c>
      <c r="B1622" s="3">
        <v>67.979898794653963</v>
      </c>
    </row>
    <row r="1623" spans="1:2" ht="15.75" customHeight="1">
      <c r="A1623" s="14">
        <v>38749</v>
      </c>
      <c r="B1623" s="3">
        <v>67.517168216080847</v>
      </c>
    </row>
    <row r="1624" spans="1:2" ht="15.75" customHeight="1">
      <c r="A1624" s="14">
        <v>38777</v>
      </c>
      <c r="B1624" s="3">
        <v>69.362459761633914</v>
      </c>
    </row>
    <row r="1625" spans="1:2" ht="15.75" customHeight="1">
      <c r="A1625" s="14">
        <v>38808</v>
      </c>
      <c r="B1625" s="3">
        <v>70.259936489347183</v>
      </c>
    </row>
    <row r="1626" spans="1:2" ht="15.75" customHeight="1">
      <c r="A1626" s="14">
        <v>38838</v>
      </c>
      <c r="B1626" s="3">
        <v>67.20190758594444</v>
      </c>
    </row>
    <row r="1627" spans="1:2" ht="15.75" customHeight="1">
      <c r="A1627" s="14">
        <v>38869</v>
      </c>
      <c r="B1627" s="3">
        <v>58.845530232514307</v>
      </c>
    </row>
    <row r="1628" spans="1:2" ht="15.75" customHeight="1">
      <c r="A1628" s="14">
        <v>38899</v>
      </c>
      <c r="B1628" s="3">
        <v>59.876670813224607</v>
      </c>
    </row>
    <row r="1629" spans="1:2" ht="15.75" customHeight="1">
      <c r="A1629" s="14">
        <v>38930</v>
      </c>
      <c r="B1629" s="3">
        <v>63.613631656609357</v>
      </c>
    </row>
    <row r="1630" spans="1:2" ht="15.75" customHeight="1">
      <c r="A1630" s="14">
        <v>38961</v>
      </c>
      <c r="B1630" s="3">
        <v>67.337709005046804</v>
      </c>
    </row>
    <row r="1631" spans="1:2" ht="15.75" customHeight="1">
      <c r="A1631" s="14">
        <v>38991</v>
      </c>
      <c r="B1631" s="3">
        <v>71.950428580587356</v>
      </c>
    </row>
    <row r="1632" spans="1:2" ht="15.75" customHeight="1">
      <c r="A1632" s="14">
        <v>39022</v>
      </c>
      <c r="B1632" s="3">
        <v>74.128186839254681</v>
      </c>
    </row>
    <row r="1633" spans="1:2" ht="15.75" customHeight="1">
      <c r="A1633" s="14">
        <v>39052</v>
      </c>
      <c r="B1633" s="3">
        <v>76.30684876900105</v>
      </c>
    </row>
    <row r="1634" spans="1:2" ht="15.75" customHeight="1">
      <c r="A1634" s="14">
        <v>39083</v>
      </c>
      <c r="B1634" s="3">
        <v>76.890753725579714</v>
      </c>
    </row>
    <row r="1635" spans="1:2" ht="15.75" customHeight="1">
      <c r="A1635" s="14">
        <v>39114</v>
      </c>
      <c r="B1635" s="3">
        <v>78.418181839635565</v>
      </c>
    </row>
    <row r="1636" spans="1:2" ht="15.75" customHeight="1">
      <c r="A1636" s="14">
        <v>39142</v>
      </c>
      <c r="B1636" s="3">
        <v>69.363985421049762</v>
      </c>
    </row>
    <row r="1637" spans="1:2" ht="15.75" customHeight="1">
      <c r="A1637" s="14">
        <v>39173</v>
      </c>
      <c r="B1637" s="3">
        <v>74.173712006181887</v>
      </c>
    </row>
    <row r="1638" spans="1:2" ht="15.75" customHeight="1">
      <c r="A1638" s="14">
        <v>39203</v>
      </c>
      <c r="B1638" s="3">
        <v>77.378383990608739</v>
      </c>
    </row>
    <row r="1639" spans="1:2" ht="15.75" customHeight="1">
      <c r="A1639" s="14">
        <v>39234</v>
      </c>
      <c r="B1639" s="3">
        <v>77.570837381267779</v>
      </c>
    </row>
    <row r="1640" spans="1:2" ht="15.75" customHeight="1">
      <c r="A1640" s="14">
        <v>39264</v>
      </c>
      <c r="B1640" s="3">
        <v>78.0016850973754</v>
      </c>
    </row>
    <row r="1641" spans="1:2" ht="15.75" customHeight="1">
      <c r="A1641" s="14">
        <v>39295</v>
      </c>
      <c r="B1641" s="3">
        <v>64.480571721028255</v>
      </c>
    </row>
    <row r="1642" spans="1:2" ht="15.75" customHeight="1">
      <c r="A1642" s="14">
        <v>39326</v>
      </c>
      <c r="B1642" s="3">
        <v>68.287516562332257</v>
      </c>
    </row>
    <row r="1643" spans="1:2" ht="15.75" customHeight="1">
      <c r="A1643" s="14">
        <v>39356</v>
      </c>
      <c r="B1643" s="3">
        <v>71.571885340110811</v>
      </c>
    </row>
    <row r="1644" spans="1:2" ht="15.75" customHeight="1">
      <c r="A1644" s="14">
        <v>39387</v>
      </c>
      <c r="B1644" s="3">
        <v>59.644780187900849</v>
      </c>
    </row>
    <row r="1645" spans="1:2" ht="15.75" customHeight="1">
      <c r="A1645" s="14">
        <v>39417</v>
      </c>
      <c r="B1645" s="3">
        <v>61.093957413432207</v>
      </c>
    </row>
    <row r="1646" spans="1:2" ht="15.75" customHeight="1">
      <c r="A1646" s="14">
        <v>39448</v>
      </c>
      <c r="B1646" s="3">
        <v>49.054707808498542</v>
      </c>
    </row>
    <row r="1647" spans="1:2" ht="15.75" customHeight="1">
      <c r="A1647" s="14">
        <v>39479</v>
      </c>
      <c r="B1647" s="3">
        <v>46.697992973841437</v>
      </c>
    </row>
    <row r="1648" spans="1:2" ht="15.75" customHeight="1">
      <c r="A1648" s="14">
        <v>39508</v>
      </c>
      <c r="B1648" s="3">
        <v>43.153201142306877</v>
      </c>
    </row>
    <row r="1649" spans="1:2" ht="15.75" customHeight="1">
      <c r="A1649" s="14">
        <v>39539</v>
      </c>
      <c r="B1649" s="3">
        <v>49.033220999563689</v>
      </c>
    </row>
    <row r="1650" spans="1:2" ht="15.75" customHeight="1">
      <c r="A1650" s="14">
        <v>39569</v>
      </c>
      <c r="B1650" s="3">
        <v>52.285038058085085</v>
      </c>
    </row>
    <row r="1651" spans="1:2" ht="15.75" customHeight="1">
      <c r="A1651" s="14">
        <v>39600</v>
      </c>
      <c r="B1651" s="3">
        <v>46.269326920569114</v>
      </c>
    </row>
    <row r="1652" spans="1:2" ht="15.75" customHeight="1">
      <c r="A1652" s="14">
        <v>39630</v>
      </c>
      <c r="B1652" s="3">
        <v>39.621114391139294</v>
      </c>
    </row>
    <row r="1653" spans="1:2" ht="15.75" customHeight="1">
      <c r="A1653" s="14">
        <v>39661</v>
      </c>
      <c r="B1653" s="3">
        <v>42.194116997387056</v>
      </c>
    </row>
    <row r="1654" spans="1:2" ht="15.75" customHeight="1">
      <c r="A1654" s="14">
        <v>39692</v>
      </c>
      <c r="B1654" s="3">
        <v>37.584113827261397</v>
      </c>
    </row>
    <row r="1655" spans="1:2" ht="15.75" customHeight="1">
      <c r="A1655" s="14">
        <v>39722</v>
      </c>
      <c r="B1655" s="3">
        <v>25.87480963100333</v>
      </c>
    </row>
    <row r="1656" spans="1:2" ht="15.75" customHeight="1">
      <c r="A1656" s="14">
        <v>39753</v>
      </c>
      <c r="B1656" s="3">
        <v>23.186289990892263</v>
      </c>
    </row>
    <row r="1657" spans="1:2" ht="15.75" customHeight="1">
      <c r="A1657" s="14">
        <v>39783</v>
      </c>
      <c r="B1657" s="3">
        <v>23.021681000392036</v>
      </c>
    </row>
    <row r="1658" spans="1:2" ht="15.75" customHeight="1">
      <c r="A1658" s="14">
        <v>39814</v>
      </c>
      <c r="B1658" s="3">
        <v>22.643219756304021</v>
      </c>
    </row>
    <row r="1659" spans="1:2" ht="15.75" customHeight="1">
      <c r="A1659" s="14">
        <v>39845</v>
      </c>
      <c r="B1659" s="3">
        <v>20.789149280062617</v>
      </c>
    </row>
    <row r="1660" spans="1:2" ht="15.75" customHeight="1">
      <c r="A1660" s="14">
        <v>39873</v>
      </c>
      <c r="B1660" s="3">
        <v>19.42400273959413</v>
      </c>
    </row>
    <row r="1661" spans="1:2" ht="15.75" customHeight="1">
      <c r="A1661" s="14">
        <v>39904</v>
      </c>
      <c r="B1661" s="3">
        <v>28.934009134339419</v>
      </c>
    </row>
    <row r="1662" spans="1:2" ht="15.75" customHeight="1">
      <c r="A1662" s="14">
        <v>39934</v>
      </c>
      <c r="B1662" s="3">
        <v>33.939477978415951</v>
      </c>
    </row>
    <row r="1663" spans="1:2" ht="15.75" customHeight="1">
      <c r="A1663" s="14">
        <v>39965</v>
      </c>
      <c r="B1663" s="3">
        <v>36.05881523937046</v>
      </c>
    </row>
    <row r="1664" spans="1:2" ht="15.75" customHeight="1">
      <c r="A1664" s="14">
        <v>39995</v>
      </c>
      <c r="B1664" s="3">
        <v>36.950000557726746</v>
      </c>
    </row>
    <row r="1665" spans="1:2" ht="15.75" customHeight="1">
      <c r="A1665" s="14">
        <v>40026</v>
      </c>
      <c r="B1665" s="3">
        <v>43.420831536177033</v>
      </c>
    </row>
    <row r="1666" spans="1:2" ht="15.75" customHeight="1">
      <c r="A1666" s="14">
        <v>40057</v>
      </c>
      <c r="B1666" s="3">
        <v>46.221084446344314</v>
      </c>
    </row>
    <row r="1667" spans="1:2" ht="15.75" customHeight="1">
      <c r="A1667" s="14">
        <v>40087</v>
      </c>
      <c r="B1667" s="3">
        <v>48.058514947092526</v>
      </c>
    </row>
    <row r="1668" spans="1:2" ht="15.75" customHeight="1">
      <c r="A1668" s="14">
        <v>40118</v>
      </c>
      <c r="B1668" s="3">
        <v>49.69327008580332</v>
      </c>
    </row>
    <row r="1669" spans="1:2" ht="15.75" customHeight="1">
      <c r="A1669" s="14">
        <v>40148</v>
      </c>
      <c r="B1669" s="3">
        <v>51.490511003365171</v>
      </c>
    </row>
    <row r="1670" spans="1:2" ht="15.75" customHeight="1">
      <c r="A1670" s="14">
        <v>40179</v>
      </c>
      <c r="B1670" s="3">
        <v>52.570180243047609</v>
      </c>
    </row>
    <row r="1671" spans="1:2" ht="15.75" customHeight="1">
      <c r="A1671" s="14">
        <v>40210</v>
      </c>
      <c r="B1671" s="3">
        <v>49.477778973630713</v>
      </c>
    </row>
    <row r="1672" spans="1:2" ht="15.75" customHeight="1">
      <c r="A1672" s="14">
        <v>40238</v>
      </c>
      <c r="B1672" s="3">
        <v>54.718949419500703</v>
      </c>
    </row>
    <row r="1673" spans="1:2" ht="15.75" customHeight="1">
      <c r="A1673" s="14">
        <v>40269</v>
      </c>
      <c r="B1673" s="3">
        <v>58.08936657557112</v>
      </c>
    </row>
    <row r="1674" spans="1:2" ht="15.75" customHeight="1">
      <c r="A1674" s="14">
        <v>40299</v>
      </c>
      <c r="B1674" s="3">
        <v>51.499961410463584</v>
      </c>
    </row>
    <row r="1675" spans="1:2" ht="15.75" customHeight="1">
      <c r="A1675" s="14">
        <v>40330</v>
      </c>
      <c r="B1675" s="3">
        <v>48.108446831220228</v>
      </c>
    </row>
    <row r="1676" spans="1:2" ht="15.75" customHeight="1">
      <c r="A1676" s="14">
        <v>40360</v>
      </c>
      <c r="B1676" s="3">
        <v>47.818922413893517</v>
      </c>
    </row>
    <row r="1677" spans="1:2" ht="15.75" customHeight="1">
      <c r="A1677" s="14">
        <v>40391</v>
      </c>
      <c r="B1677" s="3">
        <v>48.519956362526905</v>
      </c>
    </row>
    <row r="1678" spans="1:2" ht="15.75" customHeight="1">
      <c r="A1678" s="14">
        <v>40422</v>
      </c>
      <c r="B1678" s="3">
        <v>51.766611143161001</v>
      </c>
    </row>
    <row r="1679" spans="1:2" ht="15.75" customHeight="1">
      <c r="A1679" s="14">
        <v>40452</v>
      </c>
      <c r="B1679" s="3">
        <v>56.015786684326542</v>
      </c>
    </row>
    <row r="1680" spans="1:2" ht="15.75" customHeight="1">
      <c r="A1680" s="14">
        <v>40483</v>
      </c>
      <c r="B1680" s="3">
        <v>58.203536317603636</v>
      </c>
    </row>
    <row r="1681" spans="1:2" ht="15.75" customHeight="1">
      <c r="A1681" s="14">
        <v>40513</v>
      </c>
      <c r="B1681" s="3">
        <v>61.429340734829552</v>
      </c>
    </row>
    <row r="1682" spans="1:2" ht="15.75" customHeight="1">
      <c r="A1682" s="14">
        <v>40544</v>
      </c>
      <c r="B1682" s="3">
        <v>64.289547781483137</v>
      </c>
    </row>
    <row r="1683" spans="1:2" ht="15.75" customHeight="1">
      <c r="A1683" s="14">
        <v>40575</v>
      </c>
      <c r="B1683" s="3">
        <v>66.775581796379299</v>
      </c>
    </row>
    <row r="1684" spans="1:2" ht="15.75" customHeight="1">
      <c r="A1684" s="14">
        <v>40603</v>
      </c>
      <c r="B1684" s="3">
        <v>64.680965800492103</v>
      </c>
    </row>
    <row r="1685" spans="1:2" ht="15.75" customHeight="1">
      <c r="A1685" s="14">
        <v>40634</v>
      </c>
      <c r="B1685" s="3">
        <v>66.518636336084072</v>
      </c>
    </row>
    <row r="1686" spans="1:2" ht="15.75" customHeight="1">
      <c r="A1686" s="14">
        <v>40664</v>
      </c>
      <c r="B1686" s="3">
        <v>66.984210393364634</v>
      </c>
    </row>
    <row r="1687" spans="1:2" ht="15.75" customHeight="1">
      <c r="A1687" s="14">
        <v>40695</v>
      </c>
      <c r="B1687" s="3">
        <v>60.218242456878272</v>
      </c>
    </row>
    <row r="1688" spans="1:2" ht="15.75" customHeight="1">
      <c r="A1688" s="14">
        <v>40725</v>
      </c>
      <c r="B1688" s="3">
        <v>63.192491643501874</v>
      </c>
    </row>
    <row r="1689" spans="1:2" ht="15.75" customHeight="1">
      <c r="A1689" s="14">
        <v>40756</v>
      </c>
      <c r="B1689" s="3">
        <v>48.715928557451413</v>
      </c>
    </row>
    <row r="1690" spans="1:2" ht="15.75" customHeight="1">
      <c r="A1690" s="14">
        <v>40787</v>
      </c>
      <c r="B1690" s="3">
        <v>47.753256706669042</v>
      </c>
    </row>
    <row r="1691" spans="1:2" ht="15.75" customHeight="1">
      <c r="A1691" s="14">
        <v>40817</v>
      </c>
      <c r="B1691" s="3">
        <v>50.806881619327022</v>
      </c>
    </row>
    <row r="1692" spans="1:2" ht="15.75" customHeight="1">
      <c r="A1692" s="14">
        <v>40848</v>
      </c>
      <c r="B1692" s="3">
        <v>52.527631247903379</v>
      </c>
    </row>
    <row r="1693" spans="1:2" ht="15.75" customHeight="1">
      <c r="A1693" s="14">
        <v>40878</v>
      </c>
      <c r="B1693" s="3">
        <v>54.051185083846626</v>
      </c>
    </row>
    <row r="1694" spans="1:2" ht="15.75" customHeight="1">
      <c r="A1694" s="14">
        <v>40909</v>
      </c>
      <c r="B1694" s="3">
        <v>58.867861926848754</v>
      </c>
    </row>
    <row r="1695" spans="1:2" ht="15.75" customHeight="1">
      <c r="A1695" s="14">
        <v>40940</v>
      </c>
      <c r="B1695" s="3">
        <v>62.686620071530029</v>
      </c>
    </row>
    <row r="1696" spans="1:2" ht="15.75" customHeight="1">
      <c r="A1696" s="14">
        <v>40969</v>
      </c>
      <c r="B1696" s="3">
        <v>65.153197753223878</v>
      </c>
    </row>
    <row r="1697" spans="1:2" ht="15.75" customHeight="1">
      <c r="A1697" s="14">
        <v>41000</v>
      </c>
      <c r="B1697" s="3">
        <v>64.80046806854952</v>
      </c>
    </row>
    <row r="1698" spans="1:2" ht="15.75" customHeight="1">
      <c r="A1698" s="14">
        <v>41030</v>
      </c>
      <c r="B1698" s="3">
        <v>59.248862674804748</v>
      </c>
    </row>
    <row r="1699" spans="1:2" ht="15.75" customHeight="1">
      <c r="A1699" s="14">
        <v>41061</v>
      </c>
      <c r="B1699" s="3">
        <v>57.170971878611461</v>
      </c>
    </row>
    <row r="1700" spans="1:2" ht="15.75" customHeight="1">
      <c r="A1700" s="14">
        <v>41091</v>
      </c>
      <c r="B1700" s="3">
        <v>60.235434332968957</v>
      </c>
    </row>
    <row r="1701" spans="1:2" ht="15.75" customHeight="1">
      <c r="A1701" s="14">
        <v>41122</v>
      </c>
      <c r="B1701" s="3">
        <v>63.608873159613005</v>
      </c>
    </row>
    <row r="1702" spans="1:2" ht="15.75" customHeight="1">
      <c r="A1702" s="14">
        <v>41153</v>
      </c>
      <c r="B1702" s="3">
        <v>66.417089533591806</v>
      </c>
    </row>
    <row r="1703" spans="1:2" ht="15.75" customHeight="1">
      <c r="A1703" s="14">
        <v>41183</v>
      </c>
      <c r="B1703" s="3">
        <v>65.652680017393209</v>
      </c>
    </row>
    <row r="1704" spans="1:2" ht="15.75" customHeight="1">
      <c r="A1704" s="14">
        <v>41214</v>
      </c>
      <c r="B1704" s="3">
        <v>59.90980951478744</v>
      </c>
    </row>
    <row r="1705" spans="1:2" ht="15.75" customHeight="1">
      <c r="A1705" s="14">
        <v>41244</v>
      </c>
      <c r="B1705" s="3">
        <v>62.194167238244738</v>
      </c>
    </row>
    <row r="1706" spans="1:2" ht="15.75" customHeight="1">
      <c r="A1706" s="14">
        <v>41275</v>
      </c>
      <c r="B1706" s="3">
        <v>66.494880454721311</v>
      </c>
    </row>
    <row r="1707" spans="1:2" ht="15.75" customHeight="1">
      <c r="A1707" s="14">
        <v>41306</v>
      </c>
      <c r="B1707" s="3">
        <v>68.606802297261268</v>
      </c>
    </row>
    <row r="1708" spans="1:2" ht="15.75" customHeight="1">
      <c r="A1708" s="14">
        <v>41334</v>
      </c>
      <c r="B1708" s="3">
        <v>70.984420294764632</v>
      </c>
    </row>
    <row r="1709" spans="1:2" ht="15.75" customHeight="1">
      <c r="A1709" s="14">
        <v>41365</v>
      </c>
      <c r="B1709" s="3">
        <v>72.155903137371325</v>
      </c>
    </row>
    <row r="1710" spans="1:2" ht="15.75" customHeight="1">
      <c r="A1710" s="14">
        <v>41395</v>
      </c>
      <c r="B1710" s="3">
        <v>75.814949194496634</v>
      </c>
    </row>
    <row r="1711" spans="1:2" ht="15.75" customHeight="1">
      <c r="A1711" s="14">
        <v>41426</v>
      </c>
      <c r="B1711" s="3">
        <v>72.680422123345281</v>
      </c>
    </row>
    <row r="1712" spans="1:2" ht="15.75" customHeight="1">
      <c r="A1712" s="14">
        <v>41456</v>
      </c>
      <c r="B1712" s="3">
        <v>75.286889564109146</v>
      </c>
    </row>
    <row r="1713" spans="1:2" ht="15.75" customHeight="1">
      <c r="A1713" s="14">
        <v>41487</v>
      </c>
      <c r="B1713" s="3">
        <v>75.358415438742441</v>
      </c>
    </row>
    <row r="1714" spans="1:2" ht="15.75" customHeight="1">
      <c r="A1714" s="14">
        <v>41518</v>
      </c>
      <c r="B1714" s="3">
        <v>76.254940564127025</v>
      </c>
    </row>
    <row r="1715" spans="1:2" ht="15.75" customHeight="1">
      <c r="A1715" s="14">
        <v>41548</v>
      </c>
      <c r="B1715" s="3">
        <v>77.919385262727673</v>
      </c>
    </row>
    <row r="1716" spans="1:2" ht="15.75" customHeight="1">
      <c r="A1716" s="14">
        <v>41579</v>
      </c>
      <c r="B1716" s="3">
        <v>80.730766746349985</v>
      </c>
    </row>
    <row r="1717" spans="1:2" ht="15.75" customHeight="1">
      <c r="A1717" s="14">
        <v>41609</v>
      </c>
      <c r="B1717" s="3">
        <v>81.68905164393324</v>
      </c>
    </row>
    <row r="1718" spans="1:2" ht="15.75" customHeight="1">
      <c r="A1718" s="14">
        <v>41640</v>
      </c>
      <c r="B1718" s="3">
        <v>82.260505339746871</v>
      </c>
    </row>
    <row r="1719" spans="1:2" ht="15.75" customHeight="1">
      <c r="A1719" s="14">
        <v>41671</v>
      </c>
      <c r="B1719" s="3">
        <v>81.263937515252294</v>
      </c>
    </row>
    <row r="1720" spans="1:2" ht="15.75" customHeight="1">
      <c r="A1720" s="14">
        <v>41699</v>
      </c>
      <c r="B1720" s="3">
        <v>83.181073548756387</v>
      </c>
    </row>
    <row r="1721" spans="1:2" ht="15.75" customHeight="1">
      <c r="A1721" s="14">
        <v>41730</v>
      </c>
      <c r="B1721" s="3">
        <v>83.210528744078104</v>
      </c>
    </row>
    <row r="1722" spans="1:2" ht="15.75" customHeight="1">
      <c r="A1722" s="14">
        <v>41760</v>
      </c>
      <c r="B1722" s="3">
        <v>84.235490188340677</v>
      </c>
    </row>
    <row r="1723" spans="1:2" ht="15.75" customHeight="1">
      <c r="A1723" s="14">
        <v>41791</v>
      </c>
      <c r="B1723" s="3">
        <v>86.264545763633464</v>
      </c>
    </row>
    <row r="1724" spans="1:2" ht="15.75" customHeight="1">
      <c r="A1724" s="14">
        <v>41821</v>
      </c>
      <c r="B1724" s="3">
        <v>87.077346387794861</v>
      </c>
    </row>
    <row r="1725" spans="1:2" ht="15.75" customHeight="1">
      <c r="A1725" s="14">
        <v>41852</v>
      </c>
      <c r="B1725" s="3">
        <v>84.676944977729676</v>
      </c>
    </row>
    <row r="1726" spans="1:2" ht="15.75" customHeight="1">
      <c r="A1726" s="14">
        <v>41883</v>
      </c>
      <c r="B1726" s="3">
        <v>85.829531367936809</v>
      </c>
    </row>
    <row r="1727" spans="1:2" ht="15.75" customHeight="1">
      <c r="A1727" s="14">
        <v>41913</v>
      </c>
      <c r="B1727" s="3">
        <v>75.091557011711075</v>
      </c>
    </row>
    <row r="1728" spans="1:2" ht="15.75" customHeight="1">
      <c r="A1728" s="14">
        <v>41944</v>
      </c>
      <c r="B1728" s="3">
        <v>80.205321969934573</v>
      </c>
    </row>
    <row r="1729" spans="1:2" ht="15.75" customHeight="1">
      <c r="A1729" s="14">
        <v>41974</v>
      </c>
      <c r="B1729" s="3">
        <v>80.593208429301569</v>
      </c>
    </row>
    <row r="1730" spans="1:2" ht="15.75" customHeight="1">
      <c r="A1730" s="14">
        <v>42005</v>
      </c>
      <c r="B1730" s="3">
        <v>76.264431158760203</v>
      </c>
    </row>
    <row r="1731" spans="1:2" ht="15.75" customHeight="1">
      <c r="A1731" s="14">
        <v>42036</v>
      </c>
      <c r="B1731" s="3">
        <v>78.803091008120461</v>
      </c>
    </row>
    <row r="1732" spans="1:2" ht="15.75" customHeight="1">
      <c r="A1732" s="14">
        <v>42064</v>
      </c>
      <c r="B1732" s="3">
        <v>78.433493693070588</v>
      </c>
    </row>
    <row r="1733" spans="1:2" ht="15.75" customHeight="1">
      <c r="A1733" s="14">
        <v>42095</v>
      </c>
      <c r="B1733" s="3">
        <v>79.142343844932469</v>
      </c>
    </row>
    <row r="1734" spans="1:2" ht="15.75" customHeight="1">
      <c r="A1734" s="14">
        <v>42125</v>
      </c>
      <c r="B1734" s="3">
        <v>79.957224635608071</v>
      </c>
    </row>
    <row r="1735" spans="1:2" ht="15.75" customHeight="1">
      <c r="A1735" s="14">
        <v>42156</v>
      </c>
      <c r="B1735" s="3">
        <v>77.540945998862739</v>
      </c>
    </row>
    <row r="1736" spans="1:2" ht="15.75" customHeight="1">
      <c r="A1736" s="14">
        <v>42186</v>
      </c>
      <c r="B1736" s="3">
        <v>76.527021767936589</v>
      </c>
    </row>
    <row r="1737" spans="1:2" ht="15.75" customHeight="1">
      <c r="A1737" s="14">
        <v>42217</v>
      </c>
      <c r="B1737" s="3">
        <v>66.638390520873173</v>
      </c>
    </row>
    <row r="1738" spans="1:2" ht="15.75" customHeight="1">
      <c r="A1738" s="14">
        <v>42248</v>
      </c>
      <c r="B1738" s="3">
        <v>53.534471963123906</v>
      </c>
    </row>
    <row r="1739" spans="1:2" ht="15.75" customHeight="1">
      <c r="A1739" s="14">
        <v>42278</v>
      </c>
      <c r="B1739" s="3">
        <v>60.567609276034077</v>
      </c>
    </row>
    <row r="1740" spans="1:2" ht="15.75" customHeight="1">
      <c r="A1740" s="14">
        <v>42309</v>
      </c>
      <c r="B1740" s="3">
        <v>64.575887466389361</v>
      </c>
    </row>
    <row r="1741" spans="1:2" ht="15.75" customHeight="1">
      <c r="A1741" s="14">
        <v>42339</v>
      </c>
      <c r="B1741" s="3">
        <v>61.380603356246034</v>
      </c>
    </row>
    <row r="1742" spans="1:2" ht="15.75" customHeight="1">
      <c r="A1742" s="14">
        <v>42370</v>
      </c>
      <c r="B1742" s="3">
        <v>48.254498825017471</v>
      </c>
    </row>
    <row r="1743" spans="1:2" ht="15.75" customHeight="1">
      <c r="A1743" s="14">
        <v>42401</v>
      </c>
      <c r="B1743" s="3">
        <v>47.118745158159356</v>
      </c>
    </row>
    <row r="1744" spans="1:2" ht="15.75" customHeight="1">
      <c r="A1744" s="14">
        <v>42430</v>
      </c>
      <c r="B1744" s="3">
        <v>56.299701643807502</v>
      </c>
    </row>
    <row r="1745" spans="1:2" ht="15.75" customHeight="1">
      <c r="A1745" s="14">
        <v>42461</v>
      </c>
      <c r="B1745" s="3">
        <v>59.732589258406442</v>
      </c>
    </row>
    <row r="1746" spans="1:2" ht="15.75" customHeight="1">
      <c r="A1746" s="14">
        <v>42491</v>
      </c>
      <c r="B1746" s="3">
        <v>58.805209947031003</v>
      </c>
    </row>
    <row r="1747" spans="1:2" ht="15.75" customHeight="1">
      <c r="A1747" s="14">
        <v>42522</v>
      </c>
      <c r="B1747" s="3">
        <v>60.032018525867379</v>
      </c>
    </row>
    <row r="1748" spans="1:2" ht="15.75" customHeight="1">
      <c r="A1748" s="14">
        <v>42552</v>
      </c>
      <c r="B1748" s="3">
        <v>64.111924870906421</v>
      </c>
    </row>
    <row r="1749" spans="1:2" ht="15.75" customHeight="1">
      <c r="A1749" s="14">
        <v>42583</v>
      </c>
      <c r="B1749" s="3">
        <v>65.401963004833476</v>
      </c>
    </row>
    <row r="1750" spans="1:2" ht="15.75" customHeight="1">
      <c r="A1750" s="14">
        <v>42614</v>
      </c>
      <c r="B1750" s="3">
        <v>63.91408081891953</v>
      </c>
    </row>
    <row r="1751" spans="1:2" ht="15.75" customHeight="1">
      <c r="A1751" s="14">
        <v>42644</v>
      </c>
      <c r="B1751" s="3">
        <v>62.227408382806125</v>
      </c>
    </row>
    <row r="1752" spans="1:2" ht="15.75" customHeight="1">
      <c r="A1752" s="14">
        <v>42675</v>
      </c>
      <c r="B1752" s="3">
        <v>63.769442026448125</v>
      </c>
    </row>
    <row r="1753" spans="1:2" ht="15.75" customHeight="1">
      <c r="A1753" s="14">
        <v>42705</v>
      </c>
      <c r="B1753" s="3">
        <v>68.857259427783362</v>
      </c>
    </row>
    <row r="1754" spans="1:2" ht="15.75" customHeight="1">
      <c r="A1754" s="14">
        <v>42736</v>
      </c>
      <c r="B1754" s="3">
        <v>70.418435101141611</v>
      </c>
    </row>
    <row r="1755" spans="1:2" ht="15.75" customHeight="1">
      <c r="A1755" s="14">
        <v>42767</v>
      </c>
      <c r="B1755" s="3">
        <v>73.200778095403209</v>
      </c>
    </row>
    <row r="1756" spans="1:2" ht="15.75" customHeight="1">
      <c r="A1756" s="14">
        <v>42795</v>
      </c>
      <c r="B1756" s="3">
        <v>74.912651750656238</v>
      </c>
    </row>
    <row r="1757" spans="1:2" ht="15.75" customHeight="1">
      <c r="A1757" s="14">
        <v>42826</v>
      </c>
      <c r="B1757" s="3">
        <v>73.878584780334322</v>
      </c>
    </row>
    <row r="1758" spans="1:2" ht="15.75" customHeight="1">
      <c r="A1758" s="14">
        <v>42856</v>
      </c>
      <c r="B1758" s="3">
        <v>75.617959197851263</v>
      </c>
    </row>
    <row r="1759" spans="1:2" ht="15.75" customHeight="1">
      <c r="A1759" s="14">
        <v>42887</v>
      </c>
      <c r="B1759" s="3">
        <v>77.358702398791706</v>
      </c>
    </row>
    <row r="1760" spans="1:2" ht="15.75" customHeight="1">
      <c r="A1760" s="14">
        <v>42917</v>
      </c>
      <c r="B1760" s="3">
        <v>78.229838363022722</v>
      </c>
    </row>
    <row r="1761" spans="1:2" ht="15.75" customHeight="1">
      <c r="A1761" s="14">
        <v>42948</v>
      </c>
      <c r="B1761" s="3">
        <v>78.324519146905345</v>
      </c>
    </row>
    <row r="1762" spans="1:2" ht="15.75" customHeight="1">
      <c r="A1762" s="14">
        <v>42979</v>
      </c>
      <c r="B1762" s="3">
        <v>79.94688638670948</v>
      </c>
    </row>
    <row r="1763" spans="1:2" ht="15.75" customHeight="1">
      <c r="A1763" s="14">
        <v>43009</v>
      </c>
      <c r="B1763" s="3">
        <v>82.428428901770758</v>
      </c>
    </row>
    <row r="1764" spans="1:2" ht="15.75" customHeight="1">
      <c r="A1764" s="14">
        <v>43040</v>
      </c>
      <c r="B1764" s="3">
        <v>83.670198089217379</v>
      </c>
    </row>
    <row r="1765" spans="1:2" ht="15.75" customHeight="1">
      <c r="A1765" s="14">
        <v>43070</v>
      </c>
      <c r="B1765" s="3">
        <v>85.76345907308864</v>
      </c>
    </row>
    <row r="1766" spans="1:2" ht="15.75" customHeight="1">
      <c r="A1766" s="14">
        <v>43101</v>
      </c>
      <c r="B1766" s="3">
        <v>88.563797953353699</v>
      </c>
    </row>
    <row r="1767" spans="1:2" ht="15.75" customHeight="1">
      <c r="A1767" s="14">
        <v>43132</v>
      </c>
      <c r="B1767" s="3">
        <v>77.489771772223506</v>
      </c>
    </row>
    <row r="1768" spans="1:2" ht="15.75" customHeight="1">
      <c r="A1768" s="14">
        <v>43160</v>
      </c>
      <c r="B1768" s="3">
        <v>77.196241835422143</v>
      </c>
    </row>
    <row r="1769" spans="1:2" ht="15.75" customHeight="1">
      <c r="A1769" s="14">
        <v>43191</v>
      </c>
      <c r="B1769" s="3">
        <v>69.962101688630781</v>
      </c>
    </row>
    <row r="1770" spans="1:2" ht="15.75" customHeight="1">
      <c r="A1770" s="14">
        <v>43221</v>
      </c>
      <c r="B1770" s="3">
        <v>72.818455427688946</v>
      </c>
    </row>
    <row r="1771" spans="1:2" ht="15.75" customHeight="1">
      <c r="A1771" s="14">
        <v>43252</v>
      </c>
      <c r="B1771" s="3">
        <v>73.384488183863411</v>
      </c>
    </row>
    <row r="1772" spans="1:2" ht="15.75" customHeight="1">
      <c r="A1772" s="14">
        <v>43282</v>
      </c>
      <c r="B1772" s="3">
        <v>77.205529500052094</v>
      </c>
    </row>
    <row r="1773" spans="1:2" ht="15.75" customHeight="1">
      <c r="A1773" s="14">
        <v>43313</v>
      </c>
      <c r="B1773" s="3">
        <v>79.909178855991868</v>
      </c>
    </row>
    <row r="1774" spans="1:2" ht="15.75" customHeight="1">
      <c r="A1774" s="14">
        <v>43344</v>
      </c>
      <c r="B1774" s="3">
        <v>80.277472034962557</v>
      </c>
    </row>
    <row r="1775" spans="1:2" ht="15.75" customHeight="1">
      <c r="A1775" s="14">
        <v>43374</v>
      </c>
      <c r="B1775" s="3">
        <v>60.796580142293671</v>
      </c>
    </row>
    <row r="1776" spans="1:2" ht="15.75" customHeight="1">
      <c r="A1776" s="14">
        <v>43405</v>
      </c>
      <c r="B1776" s="3">
        <v>63.105500071869514</v>
      </c>
    </row>
    <row r="1777" spans="1:2" ht="15.75" customHeight="1">
      <c r="A1777" s="14">
        <v>43435</v>
      </c>
      <c r="B1777" s="3">
        <v>47.385023365349696</v>
      </c>
    </row>
    <row r="1778" spans="1:2" ht="15.75" customHeight="1">
      <c r="A1778" s="14">
        <v>43466</v>
      </c>
      <c r="B1778" s="3">
        <v>56.476848074904574</v>
      </c>
    </row>
    <row r="1779" spans="1:2" ht="15.75" customHeight="1">
      <c r="A1779" s="14">
        <v>43497</v>
      </c>
      <c r="B1779" s="3">
        <v>59.545044108765808</v>
      </c>
    </row>
    <row r="1780" spans="1:2" ht="15.75" customHeight="1">
      <c r="A1780" s="14">
        <v>43525</v>
      </c>
      <c r="B1780" s="3">
        <v>61.366012969435367</v>
      </c>
    </row>
    <row r="1781" spans="1:2" ht="15.75" customHeight="1">
      <c r="A1781" s="14">
        <v>43556</v>
      </c>
      <c r="B1781" s="3">
        <v>65.138878962853624</v>
      </c>
    </row>
    <row r="1782" spans="1:2" ht="15.75" customHeight="1">
      <c r="A1782" s="14">
        <v>43586</v>
      </c>
      <c r="B1782" s="3">
        <v>55.067943741861797</v>
      </c>
    </row>
    <row r="1783" spans="1:2" ht="15.75" customHeight="1">
      <c r="A1783" s="14">
        <v>43617</v>
      </c>
      <c r="B1783" s="3">
        <v>61.365478025305428</v>
      </c>
    </row>
    <row r="1784" spans="1:2" ht="15.75" customHeight="1">
      <c r="A1784" s="14">
        <v>43647</v>
      </c>
      <c r="B1784" s="3">
        <v>62.517272662547313</v>
      </c>
    </row>
    <row r="1785" spans="1:2" ht="15.75" customHeight="1">
      <c r="A1785" s="14">
        <v>43678</v>
      </c>
      <c r="B1785" s="3">
        <v>59.835152631150919</v>
      </c>
    </row>
    <row r="1786" spans="1:2" ht="15.75" customHeight="1">
      <c r="A1786" s="14">
        <v>43709</v>
      </c>
      <c r="B1786" s="3">
        <v>61.49411071414886</v>
      </c>
    </row>
    <row r="1787" spans="1:2" ht="15.75" customHeight="1">
      <c r="A1787" s="14">
        <v>43739</v>
      </c>
      <c r="B1787" s="3">
        <v>63.460148670390573</v>
      </c>
    </row>
    <row r="1788" spans="1:2" ht="15.75" customHeight="1">
      <c r="A1788" s="14">
        <v>43770</v>
      </c>
      <c r="B1788" s="3">
        <v>66.584471324532416</v>
      </c>
    </row>
    <row r="1789" spans="1:2" ht="15.75" customHeight="1">
      <c r="A1789" s="14">
        <v>43800</v>
      </c>
      <c r="B1789" s="3">
        <v>69.058406231274276</v>
      </c>
    </row>
    <row r="1790" spans="1:2" ht="15.75" customHeight="1">
      <c r="A1790" s="14">
        <v>43831</v>
      </c>
      <c r="B1790" s="3">
        <v>68.737389949547804</v>
      </c>
    </row>
    <row r="1791" spans="1:2" ht="15.75" customHeight="1">
      <c r="A1791" s="14">
        <v>43862</v>
      </c>
      <c r="B1791" s="3">
        <v>54.631451584016837</v>
      </c>
    </row>
    <row r="1792" spans="1:2" ht="15.75" customHeight="1">
      <c r="A1792" s="14">
        <v>43891</v>
      </c>
      <c r="B1792" s="3">
        <v>41.98865814687737</v>
      </c>
    </row>
    <row r="1793" spans="1:2" ht="15.75" customHeight="1">
      <c r="A1793" s="14">
        <v>43922</v>
      </c>
      <c r="B1793" s="3">
        <v>52.490395044983572</v>
      </c>
    </row>
    <row r="1794" spans="1:2" ht="15.75" customHeight="1">
      <c r="A1794" s="14">
        <v>43952</v>
      </c>
      <c r="B1794" s="3">
        <v>55.945344607383952</v>
      </c>
    </row>
    <row r="1795" spans="1:2" ht="15.75" customHeight="1">
      <c r="A1795" s="14">
        <v>43983</v>
      </c>
      <c r="B1795" s="3">
        <v>57.362731163782968</v>
      </c>
    </row>
    <row r="1796" spans="1:2" ht="15.75" customHeight="1">
      <c r="A1796" s="14">
        <v>44013</v>
      </c>
      <c r="B1796" s="3">
        <v>61.439831113981455</v>
      </c>
    </row>
    <row r="1797" spans="1:2" ht="15.75" customHeight="1">
      <c r="A1797" s="14">
        <v>44044</v>
      </c>
      <c r="B1797" s="3">
        <v>66.120568747997652</v>
      </c>
    </row>
    <row r="1798" spans="1:2" ht="15.75" customHeight="1">
      <c r="A1798" s="14">
        <v>44075</v>
      </c>
      <c r="B1798" s="3">
        <v>61.318195378590261</v>
      </c>
    </row>
    <row r="1799" spans="1:2" ht="15.75" customHeight="1">
      <c r="A1799" s="14">
        <v>44105</v>
      </c>
      <c r="B1799" s="3">
        <v>58.231933531303277</v>
      </c>
    </row>
    <row r="1800" spans="1:2" ht="15.75" customHeight="1">
      <c r="A1800" s="14">
        <v>44136</v>
      </c>
      <c r="B1800" s="3">
        <v>65.334172486017351</v>
      </c>
    </row>
    <row r="1801" spans="1:2" ht="15.75" customHeight="1">
      <c r="A1801" s="14">
        <v>44166</v>
      </c>
      <c r="B1801" s="3">
        <v>67.602180359077266</v>
      </c>
    </row>
    <row r="1802" spans="1:2" ht="15.75" customHeight="1">
      <c r="A1802" s="14">
        <v>44197</v>
      </c>
      <c r="B1802" s="3">
        <v>66.151973891299377</v>
      </c>
    </row>
    <row r="1803" spans="1:2" ht="15.75" customHeight="1">
      <c r="A1803" s="14">
        <v>44228</v>
      </c>
      <c r="B1803" s="3">
        <v>67.871560967509026</v>
      </c>
    </row>
    <row r="1804" spans="1:2" ht="15.75" customHeight="1">
      <c r="A1804" s="14">
        <v>44256</v>
      </c>
      <c r="B1804" s="3">
        <v>70.559784272226238</v>
      </c>
    </row>
    <row r="1805" spans="1:2" ht="15.75" customHeight="1">
      <c r="A1805" s="14">
        <v>44287</v>
      </c>
      <c r="B1805" s="3">
        <v>73.620715305855214</v>
      </c>
    </row>
    <row r="1806" spans="1:2" ht="15.75" customHeight="1">
      <c r="A1806" s="14">
        <v>44317</v>
      </c>
      <c r="B1806" s="3">
        <v>73.942068793481695</v>
      </c>
    </row>
    <row r="1807" spans="1:2" ht="15.75" customHeight="1">
      <c r="A1807" s="14">
        <v>44348</v>
      </c>
      <c r="B1807" s="3">
        <v>75.263226609688445</v>
      </c>
    </row>
    <row r="1808" spans="1:2" ht="15.75" customHeight="1">
      <c r="A1808" s="14">
        <v>44378</v>
      </c>
      <c r="B1808" s="3">
        <v>76.600635858180652</v>
      </c>
    </row>
    <row r="1809" spans="1:2" ht="15.75" customHeight="1">
      <c r="A1809" s="14">
        <v>44409</v>
      </c>
      <c r="B1809" s="3">
        <v>78.251147919328503</v>
      </c>
    </row>
    <row r="1810" spans="1:2" ht="15.75" customHeight="1">
      <c r="A1810" s="14">
        <v>44440</v>
      </c>
      <c r="B1810" s="3">
        <v>69.355750263672888</v>
      </c>
    </row>
    <row r="1811" spans="1:2" ht="15.75" customHeight="1">
      <c r="A1811" s="14">
        <v>44470</v>
      </c>
      <c r="B1811" s="3">
        <v>73.796711574534413</v>
      </c>
    </row>
    <row r="1812" spans="1:2" ht="15.75" customHeight="1">
      <c r="A1812" s="14">
        <v>44501</v>
      </c>
      <c r="B1812" s="3">
        <v>72.341841578429566</v>
      </c>
    </row>
    <row r="1813" spans="1:2" ht="15.75" customHeight="1">
      <c r="A1813" s="14">
        <v>44531</v>
      </c>
      <c r="B1813" s="3">
        <v>75.086836224201065</v>
      </c>
    </row>
    <row r="1814" spans="1:2" ht="15.75" customHeight="1">
      <c r="A1814" s="14">
        <v>44562</v>
      </c>
      <c r="B1814" s="3">
        <v>66.185537944833186</v>
      </c>
    </row>
    <row r="1815" spans="1:2" ht="15.75" customHeight="1">
      <c r="A1815" s="14">
        <v>44593</v>
      </c>
      <c r="B1815" s="3">
        <v>61.728171925139762</v>
      </c>
    </row>
    <row r="1816" spans="1:2" ht="15.75" customHeight="1">
      <c r="A1816" s="14">
        <v>44621</v>
      </c>
      <c r="B1816" s="3">
        <v>64.567376601207087</v>
      </c>
    </row>
    <row r="1817" spans="1:2" ht="15.75" customHeight="1">
      <c r="A1817" s="14">
        <v>44652</v>
      </c>
      <c r="B1817" s="3">
        <v>53.660170171952785</v>
      </c>
    </row>
    <row r="1818" spans="1:2" ht="15.75" customHeight="1">
      <c r="A1818" s="14">
        <v>44682</v>
      </c>
      <c r="B1818" s="3">
        <v>53.6648240183358</v>
      </c>
    </row>
    <row r="1819" spans="1:2" ht="15.75" customHeight="1">
      <c r="A1819" s="14">
        <v>44713</v>
      </c>
      <c r="B1819" s="3">
        <v>45.848750517091872</v>
      </c>
    </row>
    <row r="1820" spans="1:2" ht="15.75" customHeight="1">
      <c r="A1820" s="14">
        <v>44743</v>
      </c>
      <c r="B1820" s="3">
        <v>53.15669741142235</v>
      </c>
    </row>
    <row r="1821" spans="1:2" ht="15.75" customHeight="1">
      <c r="A1821" s="14">
        <v>44774</v>
      </c>
      <c r="B1821" s="3">
        <v>49.500477359098653</v>
      </c>
    </row>
    <row r="1822" spans="1:2" ht="15.75" customHeight="1">
      <c r="A1822" s="14">
        <v>44805</v>
      </c>
      <c r="B1822" s="3">
        <v>42.81714631103204</v>
      </c>
    </row>
    <row r="1823" spans="1:2" ht="15.75" customHeight="1">
      <c r="A1823" s="14">
        <v>44835</v>
      </c>
      <c r="B1823" s="3">
        <v>48.609919744408423</v>
      </c>
    </row>
    <row r="1824" spans="1:2" ht="15.75" customHeight="1">
      <c r="A1824" s="14">
        <v>44866</v>
      </c>
      <c r="B1824" s="3">
        <v>52.385365111884447</v>
      </c>
    </row>
    <row r="1825" spans="1:2" ht="15.75" customHeight="1">
      <c r="A1825" s="14">
        <v>44896</v>
      </c>
      <c r="B1825" s="3">
        <v>47.995482301482909</v>
      </c>
    </row>
    <row r="1826" spans="1:2" ht="15.75" customHeight="1">
      <c r="A1826" s="14">
        <v>44927</v>
      </c>
      <c r="B1826" s="3">
        <v>52.2425272050967</v>
      </c>
    </row>
    <row r="1827" spans="1:2" ht="15.75" customHeight="1">
      <c r="A1827" s="14">
        <v>44958</v>
      </c>
      <c r="B1827" s="3">
        <v>50.258032001923915</v>
      </c>
    </row>
    <row r="1828" spans="1:2" ht="15.75" customHeight="1">
      <c r="A1828" s="14">
        <v>44986</v>
      </c>
      <c r="B1828" s="3">
        <v>49.245368320545673</v>
      </c>
    </row>
  </sheetData>
  <pageMargins left="0.75" right="0.75" top="1" bottom="1" header="0.5" footer="0.5"/>
  <pageSetup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RSI</vt:lpstr>
      <vt:lpstr>RSI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Sushma Pamidi</cp:lastModifiedBy>
  <dcterms:created xsi:type="dcterms:W3CDTF">2010-03-25T14:42:42Z</dcterms:created>
  <dcterms:modified xsi:type="dcterms:W3CDTF">2023-03-21T02:56:36Z</dcterms:modified>
</cp:coreProperties>
</file>