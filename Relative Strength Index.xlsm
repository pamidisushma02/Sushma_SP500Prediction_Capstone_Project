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pamidi\Documents\Sushma_SP500Prediction_Capstone_Project\"/>
    </mc:Choice>
  </mc:AlternateContent>
  <xr:revisionPtr revIDLastSave="0" documentId="13_ncr:1_{0452A737-BDBA-4DA1-A8BB-A2CD3BE38810}" xr6:coauthVersionLast="47" xr6:coauthVersionMax="47" xr10:uidLastSave="{00000000-0000-0000-0000-000000000000}"/>
  <bookViews>
    <workbookView xWindow="-28920" yWindow="-5370" windowWidth="29040" windowHeight="15840" xr2:uid="{00000000-000D-0000-FFFF-FFFF00000000}"/>
  </bookViews>
  <sheets>
    <sheet name="RSI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7" i="1" l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G107" i="1"/>
  <c r="G108" i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F107" i="1"/>
  <c r="F108" i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106" i="1"/>
  <c r="C38" i="1"/>
  <c r="D38" i="1" s="1"/>
  <c r="C39" i="1"/>
  <c r="E39" i="1" s="1"/>
  <c r="D39" i="1"/>
  <c r="C40" i="1"/>
  <c r="D40" i="1" s="1"/>
  <c r="C41" i="1"/>
  <c r="D41" i="1" s="1"/>
  <c r="C42" i="1"/>
  <c r="D42" i="1" s="1"/>
  <c r="C43" i="1"/>
  <c r="D43" i="1"/>
  <c r="E43" i="1"/>
  <c r="C44" i="1"/>
  <c r="D44" i="1" s="1"/>
  <c r="C45" i="1"/>
  <c r="D45" i="1" s="1"/>
  <c r="C46" i="1"/>
  <c r="D46" i="1" s="1"/>
  <c r="C47" i="1"/>
  <c r="D47" i="1" s="1"/>
  <c r="C48" i="1"/>
  <c r="D48" i="1" s="1"/>
  <c r="C49" i="1"/>
  <c r="D49" i="1" s="1"/>
  <c r="C50" i="1"/>
  <c r="D50" i="1" s="1"/>
  <c r="C51" i="1"/>
  <c r="E51" i="1" s="1"/>
  <c r="C52" i="1"/>
  <c r="D52" i="1" s="1"/>
  <c r="C53" i="1"/>
  <c r="E53" i="1" s="1"/>
  <c r="C54" i="1"/>
  <c r="D54" i="1" s="1"/>
  <c r="E54" i="1"/>
  <c r="C55" i="1"/>
  <c r="E55" i="1" s="1"/>
  <c r="D55" i="1"/>
  <c r="C56" i="1"/>
  <c r="D56" i="1" s="1"/>
  <c r="C57" i="1"/>
  <c r="D57" i="1" s="1"/>
  <c r="C58" i="1"/>
  <c r="D58" i="1" s="1"/>
  <c r="E58" i="1"/>
  <c r="C59" i="1"/>
  <c r="D59" i="1"/>
  <c r="E59" i="1"/>
  <c r="C60" i="1"/>
  <c r="D60" i="1" s="1"/>
  <c r="C61" i="1"/>
  <c r="E61" i="1" s="1"/>
  <c r="C62" i="1"/>
  <c r="D62" i="1" s="1"/>
  <c r="C63" i="1"/>
  <c r="E63" i="1" s="1"/>
  <c r="C64" i="1"/>
  <c r="D64" i="1" s="1"/>
  <c r="C65" i="1"/>
  <c r="D65" i="1" s="1"/>
  <c r="C66" i="1"/>
  <c r="D66" i="1" s="1"/>
  <c r="C67" i="1"/>
  <c r="D67" i="1" s="1"/>
  <c r="C68" i="1"/>
  <c r="D68" i="1" s="1"/>
  <c r="C69" i="1"/>
  <c r="E69" i="1" s="1"/>
  <c r="D69" i="1"/>
  <c r="C70" i="1"/>
  <c r="D70" i="1" s="1"/>
  <c r="C71" i="1"/>
  <c r="D71" i="1" s="1"/>
  <c r="C72" i="1"/>
  <c r="D72" i="1" s="1"/>
  <c r="E72" i="1"/>
  <c r="C73" i="1"/>
  <c r="D73" i="1"/>
  <c r="E73" i="1"/>
  <c r="C74" i="1"/>
  <c r="D74" i="1" s="1"/>
  <c r="C75" i="1"/>
  <c r="D75" i="1" s="1"/>
  <c r="C76" i="1"/>
  <c r="D76" i="1" s="1"/>
  <c r="E76" i="1"/>
  <c r="C77" i="1"/>
  <c r="D77" i="1" s="1"/>
  <c r="C78" i="1"/>
  <c r="D78" i="1" s="1"/>
  <c r="C79" i="1"/>
  <c r="D79" i="1" s="1"/>
  <c r="C80" i="1"/>
  <c r="D80" i="1" s="1"/>
  <c r="C81" i="1"/>
  <c r="D81" i="1" s="1"/>
  <c r="C82" i="1"/>
  <c r="D82" i="1" s="1"/>
  <c r="C83" i="1"/>
  <c r="E83" i="1" s="1"/>
  <c r="D83" i="1"/>
  <c r="C84" i="1"/>
  <c r="D84" i="1" s="1"/>
  <c r="C85" i="1"/>
  <c r="E85" i="1" s="1"/>
  <c r="C86" i="1"/>
  <c r="D86" i="1" s="1"/>
  <c r="E86" i="1"/>
  <c r="C87" i="1"/>
  <c r="D87" i="1" s="1"/>
  <c r="C88" i="1"/>
  <c r="D88" i="1" s="1"/>
  <c r="C89" i="1"/>
  <c r="D89" i="1" s="1"/>
  <c r="C90" i="1"/>
  <c r="D90" i="1" s="1"/>
  <c r="C91" i="1"/>
  <c r="D91" i="1" s="1"/>
  <c r="C92" i="1"/>
  <c r="D92" i="1" s="1"/>
  <c r="C93" i="1"/>
  <c r="D93" i="1" s="1"/>
  <c r="C94" i="1"/>
  <c r="D94" i="1" s="1"/>
  <c r="C95" i="1"/>
  <c r="D95" i="1" s="1"/>
  <c r="C96" i="1"/>
  <c r="E96" i="1" s="1"/>
  <c r="C97" i="1"/>
  <c r="D97" i="1" s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D103" i="1" s="1"/>
  <c r="C104" i="1"/>
  <c r="D104" i="1" s="1"/>
  <c r="C105" i="1"/>
  <c r="E105" i="1" s="1"/>
  <c r="D105" i="1"/>
  <c r="D106" i="1"/>
  <c r="C6" i="1"/>
  <c r="D6" i="1" s="1"/>
  <c r="C7" i="1"/>
  <c r="D7" i="1" s="1"/>
  <c r="C8" i="1"/>
  <c r="D8" i="1" s="1"/>
  <c r="C9" i="1"/>
  <c r="E9" i="1" s="1"/>
  <c r="C10" i="1"/>
  <c r="D10" i="1" s="1"/>
  <c r="C11" i="1"/>
  <c r="D11" i="1" s="1"/>
  <c r="C12" i="1"/>
  <c r="D12" i="1" s="1"/>
  <c r="C13" i="1"/>
  <c r="E13" i="1" s="1"/>
  <c r="C14" i="1"/>
  <c r="D14" i="1" s="1"/>
  <c r="C15" i="1"/>
  <c r="D15" i="1" s="1"/>
  <c r="C16" i="1"/>
  <c r="D16" i="1" s="1"/>
  <c r="C17" i="1"/>
  <c r="E17" i="1" s="1"/>
  <c r="C18" i="1"/>
  <c r="D18" i="1" s="1"/>
  <c r="C19" i="1"/>
  <c r="D19" i="1" s="1"/>
  <c r="C20" i="1"/>
  <c r="D20" i="1" s="1"/>
  <c r="C21" i="1"/>
  <c r="E21" i="1" s="1"/>
  <c r="C22" i="1"/>
  <c r="D22" i="1" s="1"/>
  <c r="C23" i="1"/>
  <c r="D23" i="1" s="1"/>
  <c r="C24" i="1"/>
  <c r="D24" i="1" s="1"/>
  <c r="C25" i="1"/>
  <c r="E25" i="1" s="1"/>
  <c r="C26" i="1"/>
  <c r="D26" i="1" s="1"/>
  <c r="C27" i="1"/>
  <c r="D27" i="1" s="1"/>
  <c r="C28" i="1"/>
  <c r="D28" i="1" s="1"/>
  <c r="C29" i="1"/>
  <c r="E29" i="1" s="1"/>
  <c r="C30" i="1"/>
  <c r="E30" i="1" s="1"/>
  <c r="C31" i="1"/>
  <c r="E31" i="1" s="1"/>
  <c r="C32" i="1"/>
  <c r="D32" i="1" s="1"/>
  <c r="C33" i="1"/>
  <c r="D33" i="1" s="1"/>
  <c r="E33" i="1"/>
  <c r="C34" i="1"/>
  <c r="D34" i="1" s="1"/>
  <c r="C35" i="1"/>
  <c r="D35" i="1" s="1"/>
  <c r="C36" i="1"/>
  <c r="D36" i="1" s="1"/>
  <c r="C37" i="1"/>
  <c r="E37" i="1" s="1"/>
  <c r="D37" i="1"/>
  <c r="D29" i="1" l="1"/>
  <c r="D25" i="1"/>
  <c r="D21" i="1"/>
  <c r="D17" i="1"/>
  <c r="D13" i="1"/>
  <c r="D9" i="1"/>
  <c r="D63" i="1"/>
  <c r="E40" i="1"/>
  <c r="E28" i="1"/>
  <c r="E24" i="1"/>
  <c r="E20" i="1"/>
  <c r="E16" i="1"/>
  <c r="E12" i="1"/>
  <c r="E8" i="1"/>
  <c r="E99" i="1"/>
  <c r="E89" i="1"/>
  <c r="E81" i="1"/>
  <c r="D85" i="1"/>
  <c r="E75" i="1"/>
  <c r="E71" i="1"/>
  <c r="E66" i="1"/>
  <c r="D61" i="1"/>
  <c r="E57" i="1"/>
  <c r="D53" i="1"/>
  <c r="D31" i="1"/>
  <c r="E27" i="1"/>
  <c r="E23" i="1"/>
  <c r="E19" i="1"/>
  <c r="E15" i="1"/>
  <c r="E11" i="1"/>
  <c r="E7" i="1"/>
  <c r="E46" i="1"/>
  <c r="E42" i="1"/>
  <c r="E38" i="1"/>
  <c r="E36" i="1"/>
  <c r="E102" i="1"/>
  <c r="E98" i="1"/>
  <c r="E92" i="1"/>
  <c r="E88" i="1"/>
  <c r="E84" i="1"/>
  <c r="E70" i="1"/>
  <c r="E65" i="1"/>
  <c r="E56" i="1"/>
  <c r="D51" i="1"/>
  <c r="E45" i="1"/>
  <c r="E41" i="1"/>
  <c r="E106" i="1"/>
  <c r="E101" i="1"/>
  <c r="E97" i="1"/>
  <c r="E91" i="1"/>
  <c r="E87" i="1"/>
  <c r="E95" i="1"/>
  <c r="E79" i="1"/>
  <c r="E49" i="1"/>
  <c r="E82" i="1"/>
  <c r="E62" i="1"/>
  <c r="E52" i="1"/>
  <c r="E94" i="1"/>
  <c r="E78" i="1"/>
  <c r="E48" i="1"/>
  <c r="E103" i="1"/>
  <c r="E100" i="1"/>
  <c r="E93" i="1"/>
  <c r="E90" i="1"/>
  <c r="E77" i="1"/>
  <c r="E74" i="1"/>
  <c r="E67" i="1"/>
  <c r="E47" i="1"/>
  <c r="E44" i="1"/>
  <c r="E80" i="1"/>
  <c r="E50" i="1"/>
  <c r="E104" i="1"/>
  <c r="D96" i="1"/>
  <c r="E68" i="1"/>
  <c r="E64" i="1"/>
  <c r="E60" i="1"/>
  <c r="E35" i="1"/>
  <c r="E32" i="1"/>
  <c r="E26" i="1"/>
  <c r="E22" i="1"/>
  <c r="E18" i="1"/>
  <c r="E14" i="1"/>
  <c r="E10" i="1"/>
  <c r="E6" i="1"/>
  <c r="F19" i="1"/>
  <c r="F20" i="1" s="1"/>
  <c r="E34" i="1"/>
  <c r="D30" i="1"/>
  <c r="H19" i="1" l="1"/>
  <c r="G19" i="1"/>
  <c r="F21" i="1"/>
  <c r="G20" i="1" l="1"/>
  <c r="I19" i="1"/>
  <c r="F22" i="1"/>
  <c r="G21" i="1" l="1"/>
  <c r="H20" i="1"/>
  <c r="I20" i="1" s="1"/>
  <c r="F23" i="1"/>
  <c r="G22" i="1" l="1"/>
  <c r="H21" i="1"/>
  <c r="I21" i="1" s="1"/>
  <c r="F24" i="1"/>
  <c r="G23" i="1" l="1"/>
  <c r="H22" i="1"/>
  <c r="I22" i="1" s="1"/>
  <c r="F25" i="1"/>
  <c r="G24" i="1" l="1"/>
  <c r="H23" i="1"/>
  <c r="I23" i="1" s="1"/>
  <c r="F26" i="1"/>
  <c r="G25" i="1" l="1"/>
  <c r="H24" i="1"/>
  <c r="I24" i="1" s="1"/>
  <c r="F27" i="1"/>
  <c r="G26" i="1" l="1"/>
  <c r="H25" i="1"/>
  <c r="I25" i="1" s="1"/>
  <c r="F28" i="1"/>
  <c r="G27" i="1" l="1"/>
  <c r="H26" i="1"/>
  <c r="I26" i="1" s="1"/>
  <c r="F29" i="1"/>
  <c r="G28" i="1" l="1"/>
  <c r="H27" i="1"/>
  <c r="I27" i="1" s="1"/>
  <c r="F30" i="1"/>
  <c r="G29" i="1" l="1"/>
  <c r="H28" i="1"/>
  <c r="I28" i="1" s="1"/>
  <c r="F31" i="1"/>
  <c r="G30" i="1" l="1"/>
  <c r="H29" i="1"/>
  <c r="I29" i="1" s="1"/>
  <c r="F32" i="1"/>
  <c r="G31" i="1" l="1"/>
  <c r="H30" i="1"/>
  <c r="I30" i="1" s="1"/>
  <c r="F33" i="1"/>
  <c r="G32" i="1" l="1"/>
  <c r="H31" i="1"/>
  <c r="I31" i="1" s="1"/>
  <c r="F34" i="1"/>
  <c r="G33" i="1" l="1"/>
  <c r="H32" i="1"/>
  <c r="I32" i="1" s="1"/>
  <c r="F35" i="1"/>
  <c r="G34" i="1" l="1"/>
  <c r="H33" i="1"/>
  <c r="I33" i="1" s="1"/>
  <c r="F36" i="1"/>
  <c r="G35" i="1" l="1"/>
  <c r="H34" i="1"/>
  <c r="I34" i="1" s="1"/>
  <c r="F37" i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G36" i="1" l="1"/>
  <c r="H35" i="1"/>
  <c r="I35" i="1" s="1"/>
  <c r="F57" i="1"/>
  <c r="G37" i="1" l="1"/>
  <c r="H36" i="1"/>
  <c r="I36" i="1" s="1"/>
  <c r="F58" i="1"/>
  <c r="G38" i="1" l="1"/>
  <c r="H37" i="1"/>
  <c r="I37" i="1" s="1"/>
  <c r="F59" i="1"/>
  <c r="G39" i="1" l="1"/>
  <c r="H38" i="1"/>
  <c r="I38" i="1" s="1"/>
  <c r="F60" i="1"/>
  <c r="G40" i="1" l="1"/>
  <c r="H39" i="1"/>
  <c r="I39" i="1" s="1"/>
  <c r="F61" i="1"/>
  <c r="G41" i="1" l="1"/>
  <c r="H40" i="1"/>
  <c r="I40" i="1" s="1"/>
  <c r="F62" i="1"/>
  <c r="G42" i="1" l="1"/>
  <c r="H41" i="1"/>
  <c r="I41" i="1" s="1"/>
  <c r="F63" i="1"/>
  <c r="G43" i="1" l="1"/>
  <c r="H42" i="1"/>
  <c r="I42" i="1" s="1"/>
  <c r="F64" i="1"/>
  <c r="G44" i="1" l="1"/>
  <c r="H43" i="1"/>
  <c r="I43" i="1" s="1"/>
  <c r="F65" i="1"/>
  <c r="G45" i="1" l="1"/>
  <c r="H44" i="1"/>
  <c r="I44" i="1" s="1"/>
  <c r="F66" i="1"/>
  <c r="G46" i="1" l="1"/>
  <c r="H45" i="1"/>
  <c r="I45" i="1" s="1"/>
  <c r="F67" i="1"/>
  <c r="G47" i="1" l="1"/>
  <c r="H46" i="1"/>
  <c r="I46" i="1" s="1"/>
  <c r="F68" i="1"/>
  <c r="G48" i="1" l="1"/>
  <c r="H47" i="1"/>
  <c r="I47" i="1" s="1"/>
  <c r="F69" i="1"/>
  <c r="G49" i="1" l="1"/>
  <c r="H48" i="1"/>
  <c r="I48" i="1" s="1"/>
  <c r="F70" i="1"/>
  <c r="G50" i="1" l="1"/>
  <c r="H49" i="1"/>
  <c r="I49" i="1" s="1"/>
  <c r="F71" i="1"/>
  <c r="G51" i="1" l="1"/>
  <c r="H50" i="1"/>
  <c r="I50" i="1" s="1"/>
  <c r="F72" i="1"/>
  <c r="G52" i="1" l="1"/>
  <c r="H51" i="1"/>
  <c r="I51" i="1" s="1"/>
  <c r="F73" i="1"/>
  <c r="G53" i="1" l="1"/>
  <c r="H52" i="1"/>
  <c r="I52" i="1" s="1"/>
  <c r="F74" i="1"/>
  <c r="G54" i="1" l="1"/>
  <c r="H53" i="1"/>
  <c r="I53" i="1" s="1"/>
  <c r="F75" i="1"/>
  <c r="G55" i="1" l="1"/>
  <c r="H54" i="1"/>
  <c r="I54" i="1" s="1"/>
  <c r="F76" i="1"/>
  <c r="G56" i="1" l="1"/>
  <c r="H55" i="1"/>
  <c r="I55" i="1" s="1"/>
  <c r="F77" i="1"/>
  <c r="G57" i="1" l="1"/>
  <c r="H56" i="1"/>
  <c r="I56" i="1" s="1"/>
  <c r="F78" i="1"/>
  <c r="G58" i="1" l="1"/>
  <c r="H57" i="1"/>
  <c r="I57" i="1" s="1"/>
  <c r="F79" i="1"/>
  <c r="G59" i="1" l="1"/>
  <c r="H58" i="1"/>
  <c r="I58" i="1" s="1"/>
  <c r="F80" i="1"/>
  <c r="G60" i="1" l="1"/>
  <c r="H59" i="1"/>
  <c r="I59" i="1" s="1"/>
  <c r="F81" i="1"/>
  <c r="G61" i="1" l="1"/>
  <c r="H60" i="1"/>
  <c r="I60" i="1" s="1"/>
  <c r="F82" i="1"/>
  <c r="G62" i="1" l="1"/>
  <c r="H61" i="1"/>
  <c r="I61" i="1" s="1"/>
  <c r="F83" i="1"/>
  <c r="G63" i="1" l="1"/>
  <c r="H62" i="1"/>
  <c r="I62" i="1" s="1"/>
  <c r="F84" i="1"/>
  <c r="G64" i="1" l="1"/>
  <c r="H63" i="1"/>
  <c r="I63" i="1" s="1"/>
  <c r="F85" i="1"/>
  <c r="G65" i="1" l="1"/>
  <c r="H64" i="1"/>
  <c r="I64" i="1" s="1"/>
  <c r="F86" i="1"/>
  <c r="G66" i="1" l="1"/>
  <c r="H65" i="1"/>
  <c r="I65" i="1" s="1"/>
  <c r="F87" i="1"/>
  <c r="G67" i="1" l="1"/>
  <c r="H66" i="1"/>
  <c r="I66" i="1" s="1"/>
  <c r="F88" i="1"/>
  <c r="G68" i="1" l="1"/>
  <c r="H67" i="1"/>
  <c r="I67" i="1" s="1"/>
  <c r="F89" i="1"/>
  <c r="G69" i="1" l="1"/>
  <c r="H68" i="1"/>
  <c r="I68" i="1" s="1"/>
  <c r="F90" i="1"/>
  <c r="G70" i="1" l="1"/>
  <c r="H69" i="1"/>
  <c r="I69" i="1" s="1"/>
  <c r="F91" i="1"/>
  <c r="G71" i="1" l="1"/>
  <c r="H70" i="1"/>
  <c r="I70" i="1" s="1"/>
  <c r="F92" i="1"/>
  <c r="G72" i="1" l="1"/>
  <c r="H71" i="1"/>
  <c r="I71" i="1" s="1"/>
  <c r="F93" i="1"/>
  <c r="G73" i="1" l="1"/>
  <c r="H72" i="1"/>
  <c r="I72" i="1" s="1"/>
  <c r="F94" i="1"/>
  <c r="G74" i="1" l="1"/>
  <c r="H73" i="1"/>
  <c r="I73" i="1" s="1"/>
  <c r="F95" i="1"/>
  <c r="G75" i="1" l="1"/>
  <c r="H74" i="1"/>
  <c r="I74" i="1" s="1"/>
  <c r="F96" i="1"/>
  <c r="G76" i="1" l="1"/>
  <c r="H75" i="1"/>
  <c r="I75" i="1" s="1"/>
  <c r="F97" i="1"/>
  <c r="G77" i="1" l="1"/>
  <c r="H76" i="1"/>
  <c r="I76" i="1" s="1"/>
  <c r="F98" i="1"/>
  <c r="G78" i="1" l="1"/>
  <c r="H77" i="1"/>
  <c r="I77" i="1" s="1"/>
  <c r="F99" i="1"/>
  <c r="G79" i="1" l="1"/>
  <c r="H78" i="1"/>
  <c r="I78" i="1" s="1"/>
  <c r="F100" i="1"/>
  <c r="G80" i="1" l="1"/>
  <c r="H79" i="1"/>
  <c r="I79" i="1" s="1"/>
  <c r="F101" i="1"/>
  <c r="G81" i="1" l="1"/>
  <c r="H80" i="1"/>
  <c r="I80" i="1" s="1"/>
  <c r="F102" i="1"/>
  <c r="G82" i="1" l="1"/>
  <c r="H81" i="1"/>
  <c r="I81" i="1" s="1"/>
  <c r="F103" i="1"/>
  <c r="G83" i="1" l="1"/>
  <c r="H82" i="1"/>
  <c r="I82" i="1" s="1"/>
  <c r="F104" i="1"/>
  <c r="G84" i="1" l="1"/>
  <c r="H83" i="1"/>
  <c r="I83" i="1" s="1"/>
  <c r="F105" i="1"/>
  <c r="G85" i="1" l="1"/>
  <c r="H84" i="1"/>
  <c r="I84" i="1" s="1"/>
  <c r="F106" i="1"/>
  <c r="G86" i="1" l="1"/>
  <c r="H85" i="1"/>
  <c r="I85" i="1" s="1"/>
  <c r="G87" i="1" l="1"/>
  <c r="H86" i="1"/>
  <c r="I86" i="1" s="1"/>
  <c r="G88" i="1" l="1"/>
  <c r="H87" i="1"/>
  <c r="I87" i="1" s="1"/>
  <c r="G89" i="1" l="1"/>
  <c r="H88" i="1"/>
  <c r="I88" i="1" s="1"/>
  <c r="G90" i="1" l="1"/>
  <c r="H89" i="1"/>
  <c r="I89" i="1" s="1"/>
  <c r="G91" i="1" l="1"/>
  <c r="H90" i="1"/>
  <c r="I90" i="1" s="1"/>
  <c r="G92" i="1" l="1"/>
  <c r="H91" i="1"/>
  <c r="I91" i="1" s="1"/>
  <c r="G93" i="1" l="1"/>
  <c r="H92" i="1"/>
  <c r="I92" i="1" s="1"/>
  <c r="G94" i="1" l="1"/>
  <c r="H93" i="1"/>
  <c r="I93" i="1" s="1"/>
  <c r="G95" i="1" l="1"/>
  <c r="H94" i="1"/>
  <c r="I94" i="1" s="1"/>
  <c r="G96" i="1" l="1"/>
  <c r="H95" i="1"/>
  <c r="I95" i="1" s="1"/>
  <c r="G97" i="1" l="1"/>
  <c r="H96" i="1"/>
  <c r="I96" i="1" s="1"/>
  <c r="G98" i="1" l="1"/>
  <c r="H97" i="1"/>
  <c r="I97" i="1" s="1"/>
  <c r="G99" i="1" l="1"/>
  <c r="H98" i="1"/>
  <c r="I98" i="1" s="1"/>
  <c r="G100" i="1" l="1"/>
  <c r="H99" i="1"/>
  <c r="I99" i="1" s="1"/>
  <c r="G101" i="1" l="1"/>
  <c r="H100" i="1"/>
  <c r="I100" i="1" s="1"/>
  <c r="G102" i="1" l="1"/>
  <c r="H101" i="1"/>
  <c r="I101" i="1" s="1"/>
  <c r="G103" i="1" l="1"/>
  <c r="H102" i="1"/>
  <c r="I102" i="1" s="1"/>
  <c r="G104" i="1" l="1"/>
  <c r="H103" i="1"/>
  <c r="I103" i="1" s="1"/>
  <c r="G105" i="1" l="1"/>
  <c r="H104" i="1"/>
  <c r="I104" i="1" s="1"/>
  <c r="G106" i="1" l="1"/>
  <c r="H106" i="1" s="1"/>
  <c r="I106" i="1" s="1"/>
  <c r="H105" i="1"/>
  <c r="I105" i="1" s="1"/>
</calcChain>
</file>

<file path=xl/sharedStrings.xml><?xml version="1.0" encoding="utf-8"?>
<sst xmlns="http://schemas.openxmlformats.org/spreadsheetml/2006/main" count="11" uniqueCount="11">
  <si>
    <t>Gain</t>
  </si>
  <si>
    <t xml:space="preserve">Loss </t>
  </si>
  <si>
    <t>RS</t>
  </si>
  <si>
    <t>Change</t>
  </si>
  <si>
    <t>Date</t>
  </si>
  <si>
    <t>Avg Gain</t>
  </si>
  <si>
    <t>Avg Loss</t>
  </si>
  <si>
    <t xml:space="preserve"> Close</t>
  </si>
  <si>
    <t>http://investexcel.net</t>
  </si>
  <si>
    <t>Relative Strength Index</t>
  </si>
  <si>
    <t>14-Day RSI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</si>
</sst>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"/>
    <numFmt numFmtId="165" formatCode="0.0000"/>
    <numFmt numFmtId="168" formatCode="[$-409]mmm\-yy;@"/>
  </numFmts>
  <fonts count="12">
    <font>
      <sz val="10"/>
      <name val="Arial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3"/>
      <name val="Calibri"/>
      <family val="2"/>
      <scheme val="minor"/>
    </font>
    <font>
      <u/>
      <sz val="11"/>
      <color rgb="FF3333FF"/>
      <name val="Calibri"/>
      <family val="2"/>
      <scheme val="minor"/>
    </font>
    <font>
      <sz val="12"/>
      <name val="宋体"/>
      <charset val="134"/>
    </font>
    <font>
      <sz val="10"/>
      <color rgb="FF232A3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3" fillId="0" borderId="0"/>
    <xf numFmtId="0" fontId="10" fillId="0" borderId="0">
      <alignment vertical="center"/>
    </xf>
    <xf numFmtId="0" fontId="7" fillId="0" borderId="0" applyNumberFormat="0" applyFill="0" applyBorder="0" applyAlignment="0" applyProtection="0"/>
  </cellStyleXfs>
  <cellXfs count="17">
    <xf numFmtId="0" fontId="0" fillId="0" borderId="0" xfId="0"/>
    <xf numFmtId="2" fontId="4" fillId="0" borderId="0" xfId="0" applyNumberFormat="1" applyFont="1" applyAlignment="1">
      <alignment vertical="center" wrapText="1"/>
    </xf>
    <xf numFmtId="0" fontId="4" fillId="0" borderId="0" xfId="0" applyFont="1"/>
    <xf numFmtId="2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164" fontId="4" fillId="0" borderId="0" xfId="0" applyNumberFormat="1" applyFont="1" applyAlignment="1">
      <alignment horizontal="right"/>
    </xf>
    <xf numFmtId="0" fontId="5" fillId="0" borderId="0" xfId="0" applyFont="1"/>
    <xf numFmtId="165" fontId="4" fillId="0" borderId="0" xfId="0" applyNumberFormat="1" applyFont="1"/>
    <xf numFmtId="2" fontId="8" fillId="2" borderId="2" xfId="1" applyNumberFormat="1" applyFont="1" applyFill="1" applyBorder="1" applyAlignment="1">
      <alignment horizontal="center" vertical="center" wrapText="1"/>
    </xf>
    <xf numFmtId="2" fontId="8" fillId="2" borderId="3" xfId="1" applyNumberFormat="1" applyFont="1" applyFill="1" applyBorder="1" applyAlignment="1">
      <alignment horizontal="center" vertical="center" wrapText="1"/>
    </xf>
    <xf numFmtId="2" fontId="8" fillId="2" borderId="4" xfId="1" applyNumberFormat="1" applyFont="1" applyFill="1" applyBorder="1" applyAlignment="1">
      <alignment horizontal="center" vertical="center" wrapText="1"/>
    </xf>
    <xf numFmtId="0" fontId="9" fillId="0" borderId="0" xfId="2" applyFont="1" applyFill="1" applyBorder="1"/>
    <xf numFmtId="0" fontId="3" fillId="0" borderId="0" xfId="3"/>
    <xf numFmtId="14" fontId="3" fillId="0" borderId="0" xfId="3" applyNumberFormat="1"/>
    <xf numFmtId="0" fontId="11" fillId="3" borderId="5" xfId="0" applyFont="1" applyFill="1" applyBorder="1" applyAlignment="1">
      <alignment horizontal="right" vertical="center" indent="1"/>
    </xf>
    <xf numFmtId="4" fontId="11" fillId="3" borderId="5" xfId="0" applyNumberFormat="1" applyFont="1" applyFill="1" applyBorder="1" applyAlignment="1">
      <alignment horizontal="right" vertical="center" indent="1"/>
    </xf>
    <xf numFmtId="168" fontId="11" fillId="3" borderId="5" xfId="0" applyNumberFormat="1" applyFont="1" applyFill="1" applyBorder="1" applyAlignment="1">
      <alignment horizontal="left" vertical="center" indent="1"/>
    </xf>
  </cellXfs>
  <cellStyles count="6">
    <cellStyle name="Heading 2" xfId="1" builtinId="17"/>
    <cellStyle name="Hyperlink" xfId="2" builtinId="8"/>
    <cellStyle name="Hyperlink 2" xfId="5" xr:uid="{00000000-0005-0000-0000-000002000000}"/>
    <cellStyle name="Normal" xfId="0" builtinId="0"/>
    <cellStyle name="Normal 2" xfId="4" xr:uid="{00000000-0005-0000-0000-000004000000}"/>
    <cellStyle name="Normal 3" xfId="3" xr:uid="{00000000-0005-0000-0000-000005000000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Relative Strength</a:t>
            </a:r>
            <a:r>
              <a:rPr lang="en-CA" baseline="0"/>
              <a:t> Index of BP</a:t>
            </a:r>
            <a:endParaRPr lang="en-CA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RSI!$I$19:$I$464</c:f>
              <c:numCache>
                <c:formatCode>0.00</c:formatCode>
                <c:ptCount val="446"/>
                <c:pt idx="0">
                  <c:v>86.357502146975861</c:v>
                </c:pt>
                <c:pt idx="1">
                  <c:v>82.665883734586046</c:v>
                </c:pt>
                <c:pt idx="2">
                  <c:v>85.071305755031872</c:v>
                </c:pt>
                <c:pt idx="3">
                  <c:v>85.70168207749812</c:v>
                </c:pt>
                <c:pt idx="4">
                  <c:v>71.909542034415836</c:v>
                </c:pt>
                <c:pt idx="5">
                  <c:v>76.550614642040969</c:v>
                </c:pt>
                <c:pt idx="6">
                  <c:v>62.300381063197676</c:v>
                </c:pt>
                <c:pt idx="7">
                  <c:v>66.26268216890908</c:v>
                </c:pt>
                <c:pt idx="8">
                  <c:v>67.772482886919562</c:v>
                </c:pt>
                <c:pt idx="9">
                  <c:v>63.645619375180118</c:v>
                </c:pt>
                <c:pt idx="10">
                  <c:v>71.966457320975451</c:v>
                </c:pt>
                <c:pt idx="11">
                  <c:v>73.998996021041748</c:v>
                </c:pt>
                <c:pt idx="12">
                  <c:v>75.421277577600904</c:v>
                </c:pt>
                <c:pt idx="13">
                  <c:v>73.493251908105407</c:v>
                </c:pt>
                <c:pt idx="14">
                  <c:v>73.868033698292251</c:v>
                </c:pt>
                <c:pt idx="15">
                  <c:v>76.701978038112031</c:v>
                </c:pt>
                <c:pt idx="16">
                  <c:v>79.257000052459489</c:v>
                </c:pt>
                <c:pt idx="17">
                  <c:v>80.965276209089055</c:v>
                </c:pt>
                <c:pt idx="18">
                  <c:v>76.134406824442522</c:v>
                </c:pt>
                <c:pt idx="19">
                  <c:v>48.658270546767007</c:v>
                </c:pt>
                <c:pt idx="20">
                  <c:v>43.47408960738781</c:v>
                </c:pt>
                <c:pt idx="21">
                  <c:v>48.121893770776808</c:v>
                </c:pt>
                <c:pt idx="22">
                  <c:v>50.719842393297291</c:v>
                </c:pt>
                <c:pt idx="23">
                  <c:v>53.422848509377502</c:v>
                </c:pt>
                <c:pt idx="24">
                  <c:v>50.924081174368588</c:v>
                </c:pt>
                <c:pt idx="25">
                  <c:v>51.590356475980315</c:v>
                </c:pt>
                <c:pt idx="26">
                  <c:v>51.829928178041577</c:v>
                </c:pt>
                <c:pt idx="27">
                  <c:v>55.099384737636889</c:v>
                </c:pt>
                <c:pt idx="28">
                  <c:v>54.578723797557544</c:v>
                </c:pt>
                <c:pt idx="29">
                  <c:v>50.903623358317176</c:v>
                </c:pt>
                <c:pt idx="30">
                  <c:v>54.190704190407295</c:v>
                </c:pt>
                <c:pt idx="31">
                  <c:v>56.330221328284608</c:v>
                </c:pt>
                <c:pt idx="32">
                  <c:v>54.291831498078771</c:v>
                </c:pt>
                <c:pt idx="33">
                  <c:v>55.611356964338285</c:v>
                </c:pt>
                <c:pt idx="34">
                  <c:v>61.492890842381208</c:v>
                </c:pt>
                <c:pt idx="35">
                  <c:v>57.891624785894685</c:v>
                </c:pt>
                <c:pt idx="36">
                  <c:v>59.667221931006779</c:v>
                </c:pt>
                <c:pt idx="37">
                  <c:v>63.716485177686934</c:v>
                </c:pt>
                <c:pt idx="38">
                  <c:v>66.393063085961614</c:v>
                </c:pt>
                <c:pt idx="39">
                  <c:v>65.18413094911736</c:v>
                </c:pt>
                <c:pt idx="40">
                  <c:v>71.390607742968129</c:v>
                </c:pt>
                <c:pt idx="41">
                  <c:v>72.40307556447209</c:v>
                </c:pt>
                <c:pt idx="42">
                  <c:v>71.240192844580974</c:v>
                </c:pt>
                <c:pt idx="43">
                  <c:v>66.822959605341509</c:v>
                </c:pt>
                <c:pt idx="44">
                  <c:v>68.183711549944803</c:v>
                </c:pt>
                <c:pt idx="45">
                  <c:v>69.931723334583893</c:v>
                </c:pt>
                <c:pt idx="46">
                  <c:v>58.560007240080786</c:v>
                </c:pt>
                <c:pt idx="47">
                  <c:v>59.38186969123263</c:v>
                </c:pt>
                <c:pt idx="48">
                  <c:v>61.723843498901843</c:v>
                </c:pt>
                <c:pt idx="49">
                  <c:v>57.658821804728028</c:v>
                </c:pt>
                <c:pt idx="50">
                  <c:v>65.746973632974999</c:v>
                </c:pt>
                <c:pt idx="51">
                  <c:v>64.350521068940537</c:v>
                </c:pt>
                <c:pt idx="52">
                  <c:v>63.504317348718118</c:v>
                </c:pt>
                <c:pt idx="53">
                  <c:v>50.626226111937491</c:v>
                </c:pt>
                <c:pt idx="54">
                  <c:v>45.718687220768992</c:v>
                </c:pt>
                <c:pt idx="55">
                  <c:v>45.133654486810336</c:v>
                </c:pt>
                <c:pt idx="56">
                  <c:v>51.120430160997707</c:v>
                </c:pt>
                <c:pt idx="57">
                  <c:v>53.518665705538361</c:v>
                </c:pt>
                <c:pt idx="58">
                  <c:v>57.378146982156743</c:v>
                </c:pt>
                <c:pt idx="59">
                  <c:v>62.967303493216036</c:v>
                </c:pt>
                <c:pt idx="60">
                  <c:v>64.721980085863123</c:v>
                </c:pt>
                <c:pt idx="61">
                  <c:v>64.748464971404616</c:v>
                </c:pt>
                <c:pt idx="62">
                  <c:v>67.883838946951172</c:v>
                </c:pt>
                <c:pt idx="63">
                  <c:v>60.426263248528969</c:v>
                </c:pt>
                <c:pt idx="64">
                  <c:v>64.203124262471391</c:v>
                </c:pt>
                <c:pt idx="65">
                  <c:v>65.811294488187457</c:v>
                </c:pt>
                <c:pt idx="66">
                  <c:v>62.793251268311636</c:v>
                </c:pt>
                <c:pt idx="67">
                  <c:v>63.875019279579448</c:v>
                </c:pt>
                <c:pt idx="68">
                  <c:v>57.157029499435758</c:v>
                </c:pt>
                <c:pt idx="69">
                  <c:v>66.403979327310026</c:v>
                </c:pt>
                <c:pt idx="70">
                  <c:v>63.475721462451084</c:v>
                </c:pt>
                <c:pt idx="71">
                  <c:v>64.276006939359533</c:v>
                </c:pt>
                <c:pt idx="72">
                  <c:v>60.969284118572354</c:v>
                </c:pt>
                <c:pt idx="73">
                  <c:v>63.496714173384255</c:v>
                </c:pt>
                <c:pt idx="74">
                  <c:v>63.586920359996356</c:v>
                </c:pt>
                <c:pt idx="75">
                  <c:v>60.676313759126934</c:v>
                </c:pt>
                <c:pt idx="76">
                  <c:v>64.569121331220586</c:v>
                </c:pt>
                <c:pt idx="77">
                  <c:v>60.48434500321013</c:v>
                </c:pt>
                <c:pt idx="78">
                  <c:v>61.456799816753289</c:v>
                </c:pt>
                <c:pt idx="79">
                  <c:v>61.693771061922369</c:v>
                </c:pt>
                <c:pt idx="80">
                  <c:v>65.027660489895908</c:v>
                </c:pt>
                <c:pt idx="81">
                  <c:v>66.120395070897558</c:v>
                </c:pt>
                <c:pt idx="82">
                  <c:v>66.904537626548461</c:v>
                </c:pt>
                <c:pt idx="83">
                  <c:v>68.096067787070567</c:v>
                </c:pt>
                <c:pt idx="84">
                  <c:v>70.179739976165777</c:v>
                </c:pt>
                <c:pt idx="85">
                  <c:v>63.950943006481005</c:v>
                </c:pt>
                <c:pt idx="86">
                  <c:v>66.721687691341103</c:v>
                </c:pt>
                <c:pt idx="87">
                  <c:v>66.815079113169105</c:v>
                </c:pt>
                <c:pt idx="88">
                  <c:v>65.41945135170846</c:v>
                </c:pt>
                <c:pt idx="89">
                  <c:v>69.78867480440482</c:v>
                </c:pt>
                <c:pt idx="90">
                  <c:v>67.051027100552318</c:v>
                </c:pt>
                <c:pt idx="91">
                  <c:v>69.525711823368169</c:v>
                </c:pt>
                <c:pt idx="92">
                  <c:v>65.907891219941831</c:v>
                </c:pt>
                <c:pt idx="93">
                  <c:v>67.320776728466328</c:v>
                </c:pt>
                <c:pt idx="94">
                  <c:v>71.464048585840203</c:v>
                </c:pt>
                <c:pt idx="95">
                  <c:v>63.224370717991881</c:v>
                </c:pt>
                <c:pt idx="96">
                  <c:v>53.427104113250877</c:v>
                </c:pt>
                <c:pt idx="97">
                  <c:v>55.224342408280286</c:v>
                </c:pt>
                <c:pt idx="98">
                  <c:v>57.160540449020907</c:v>
                </c:pt>
                <c:pt idx="99">
                  <c:v>51.875266786026138</c:v>
                </c:pt>
                <c:pt idx="100">
                  <c:v>56.796419417793366</c:v>
                </c:pt>
                <c:pt idx="101">
                  <c:v>61.95623559709653</c:v>
                </c:pt>
                <c:pt idx="102">
                  <c:v>56.560416881245729</c:v>
                </c:pt>
                <c:pt idx="103">
                  <c:v>59.430551672704041</c:v>
                </c:pt>
                <c:pt idx="104">
                  <c:v>52.235969271520382</c:v>
                </c:pt>
                <c:pt idx="105">
                  <c:v>54.02820262818598</c:v>
                </c:pt>
                <c:pt idx="106">
                  <c:v>57.462887846946813</c:v>
                </c:pt>
                <c:pt idx="107">
                  <c:v>62.103604187307077</c:v>
                </c:pt>
                <c:pt idx="108">
                  <c:v>65.303324048158487</c:v>
                </c:pt>
                <c:pt idx="109">
                  <c:v>68.330029775139209</c:v>
                </c:pt>
                <c:pt idx="110">
                  <c:v>71.859287447921375</c:v>
                </c:pt>
                <c:pt idx="111">
                  <c:v>73.770860907814068</c:v>
                </c:pt>
                <c:pt idx="112">
                  <c:v>76.403489399208794</c:v>
                </c:pt>
                <c:pt idx="113">
                  <c:v>76.317708423267732</c:v>
                </c:pt>
                <c:pt idx="114">
                  <c:v>79.430654715554283</c:v>
                </c:pt>
                <c:pt idx="115">
                  <c:v>78.00444388659777</c:v>
                </c:pt>
                <c:pt idx="116">
                  <c:v>81.015619775164282</c:v>
                </c:pt>
                <c:pt idx="117">
                  <c:v>82.178014036873762</c:v>
                </c:pt>
                <c:pt idx="118">
                  <c:v>84.164516321181765</c:v>
                </c:pt>
                <c:pt idx="119">
                  <c:v>84.571064729090779</c:v>
                </c:pt>
                <c:pt idx="120">
                  <c:v>85.046379530712116</c:v>
                </c:pt>
                <c:pt idx="121">
                  <c:v>85.84920657583578</c:v>
                </c:pt>
                <c:pt idx="122">
                  <c:v>87.132098703126601</c:v>
                </c:pt>
                <c:pt idx="123">
                  <c:v>87.257752559339622</c:v>
                </c:pt>
                <c:pt idx="124">
                  <c:v>71.896141207073583</c:v>
                </c:pt>
                <c:pt idx="125">
                  <c:v>73.842341071779416</c:v>
                </c:pt>
                <c:pt idx="126">
                  <c:v>78.539950844319847</c:v>
                </c:pt>
                <c:pt idx="127">
                  <c:v>80.458514512809245</c:v>
                </c:pt>
                <c:pt idx="128">
                  <c:v>84.706055759800222</c:v>
                </c:pt>
                <c:pt idx="129">
                  <c:v>78.896206280012734</c:v>
                </c:pt>
                <c:pt idx="130">
                  <c:v>82.502105795684741</c:v>
                </c:pt>
                <c:pt idx="131">
                  <c:v>82.826325777773761</c:v>
                </c:pt>
                <c:pt idx="132">
                  <c:v>72.381310057646203</c:v>
                </c:pt>
                <c:pt idx="133">
                  <c:v>76.55862569770882</c:v>
                </c:pt>
                <c:pt idx="134">
                  <c:v>80.014230861597639</c:v>
                </c:pt>
                <c:pt idx="135">
                  <c:v>82.229550452961689</c:v>
                </c:pt>
                <c:pt idx="136">
                  <c:v>85.481748381968885</c:v>
                </c:pt>
                <c:pt idx="137">
                  <c:v>73.92963436714885</c:v>
                </c:pt>
                <c:pt idx="138">
                  <c:v>76.865008095976904</c:v>
                </c:pt>
                <c:pt idx="139">
                  <c:v>70.985161747943849</c:v>
                </c:pt>
                <c:pt idx="140">
                  <c:v>73.691313745746697</c:v>
                </c:pt>
                <c:pt idx="141">
                  <c:v>74.6304763420532</c:v>
                </c:pt>
                <c:pt idx="142">
                  <c:v>75.253937868156839</c:v>
                </c:pt>
                <c:pt idx="143">
                  <c:v>79.127020921989441</c:v>
                </c:pt>
                <c:pt idx="144">
                  <c:v>81.494198698238222</c:v>
                </c:pt>
                <c:pt idx="145">
                  <c:v>81.915623888442695</c:v>
                </c:pt>
                <c:pt idx="146">
                  <c:v>77.916227716418462</c:v>
                </c:pt>
                <c:pt idx="147">
                  <c:v>80.070094254286715</c:v>
                </c:pt>
                <c:pt idx="148">
                  <c:v>77.575665572365111</c:v>
                </c:pt>
                <c:pt idx="149">
                  <c:v>54.776482963435527</c:v>
                </c:pt>
                <c:pt idx="150">
                  <c:v>59.466356533735713</c:v>
                </c:pt>
                <c:pt idx="151">
                  <c:v>64.835476220402555</c:v>
                </c:pt>
                <c:pt idx="152">
                  <c:v>68.419180472198775</c:v>
                </c:pt>
                <c:pt idx="153">
                  <c:v>71.570151915152152</c:v>
                </c:pt>
                <c:pt idx="154">
                  <c:v>73.738542156339761</c:v>
                </c:pt>
                <c:pt idx="155">
                  <c:v>69.088149276889979</c:v>
                </c:pt>
                <c:pt idx="156">
                  <c:v>71.350908961818618</c:v>
                </c:pt>
                <c:pt idx="157">
                  <c:v>73.475390294739185</c:v>
                </c:pt>
                <c:pt idx="158">
                  <c:v>69.674731794428396</c:v>
                </c:pt>
                <c:pt idx="159">
                  <c:v>72.885441263376322</c:v>
                </c:pt>
                <c:pt idx="160">
                  <c:v>68.06800898348456</c:v>
                </c:pt>
                <c:pt idx="161">
                  <c:v>67.16488197139698</c:v>
                </c:pt>
                <c:pt idx="162">
                  <c:v>63.076085196429915</c:v>
                </c:pt>
                <c:pt idx="163">
                  <c:v>67.596435091773813</c:v>
                </c:pt>
                <c:pt idx="164">
                  <c:v>68.923340059993365</c:v>
                </c:pt>
                <c:pt idx="165">
                  <c:v>72.652734349192215</c:v>
                </c:pt>
                <c:pt idx="166">
                  <c:v>64.850585097725201</c:v>
                </c:pt>
                <c:pt idx="167">
                  <c:v>62.155568213400684</c:v>
                </c:pt>
                <c:pt idx="168">
                  <c:v>68.747830355438751</c:v>
                </c:pt>
                <c:pt idx="169">
                  <c:v>64.521227338678841</c:v>
                </c:pt>
                <c:pt idx="170">
                  <c:v>61.703543977678613</c:v>
                </c:pt>
                <c:pt idx="171">
                  <c:v>63.535386531363223</c:v>
                </c:pt>
                <c:pt idx="172">
                  <c:v>61.326798084586748</c:v>
                </c:pt>
                <c:pt idx="173">
                  <c:v>65.980064611658577</c:v>
                </c:pt>
                <c:pt idx="174">
                  <c:v>58.852764117525489</c:v>
                </c:pt>
                <c:pt idx="175">
                  <c:v>58.259108061546264</c:v>
                </c:pt>
                <c:pt idx="176">
                  <c:v>49.58798451666636</c:v>
                </c:pt>
                <c:pt idx="177">
                  <c:v>49.961502826659</c:v>
                </c:pt>
                <c:pt idx="178">
                  <c:v>53.167643141494963</c:v>
                </c:pt>
                <c:pt idx="179">
                  <c:v>44.670148518651075</c:v>
                </c:pt>
                <c:pt idx="180">
                  <c:v>40.2909780280755</c:v>
                </c:pt>
                <c:pt idx="181">
                  <c:v>46.602529230610259</c:v>
                </c:pt>
                <c:pt idx="182">
                  <c:v>47.032779576043794</c:v>
                </c:pt>
                <c:pt idx="183">
                  <c:v>45.09827151799125</c:v>
                </c:pt>
                <c:pt idx="184">
                  <c:v>44.277947778426736</c:v>
                </c:pt>
                <c:pt idx="185">
                  <c:v>39.687268211550474</c:v>
                </c:pt>
                <c:pt idx="186">
                  <c:v>35.022041780435245</c:v>
                </c:pt>
                <c:pt idx="187">
                  <c:v>36.652896660449358</c:v>
                </c:pt>
                <c:pt idx="188">
                  <c:v>43.150786169063331</c:v>
                </c:pt>
                <c:pt idx="189">
                  <c:v>43.822995904671764</c:v>
                </c:pt>
                <c:pt idx="190">
                  <c:v>42.696539434810596</c:v>
                </c:pt>
                <c:pt idx="191">
                  <c:v>41.199495633222597</c:v>
                </c:pt>
                <c:pt idx="192">
                  <c:v>44.80979180690526</c:v>
                </c:pt>
                <c:pt idx="193">
                  <c:v>40.202588502358424</c:v>
                </c:pt>
                <c:pt idx="194">
                  <c:v>39.594152686503058</c:v>
                </c:pt>
                <c:pt idx="195">
                  <c:v>35.074639624496939</c:v>
                </c:pt>
                <c:pt idx="196">
                  <c:v>31.196161522423878</c:v>
                </c:pt>
                <c:pt idx="197">
                  <c:v>31.659273124390324</c:v>
                </c:pt>
                <c:pt idx="198">
                  <c:v>27.194528310438045</c:v>
                </c:pt>
                <c:pt idx="199">
                  <c:v>34.184232343391159</c:v>
                </c:pt>
                <c:pt idx="200">
                  <c:v>38.727811584596466</c:v>
                </c:pt>
                <c:pt idx="201">
                  <c:v>35.757068087343967</c:v>
                </c:pt>
                <c:pt idx="202">
                  <c:v>34.538808163665507</c:v>
                </c:pt>
                <c:pt idx="203">
                  <c:v>33.790900143418028</c:v>
                </c:pt>
                <c:pt idx="204">
                  <c:v>34.528582845462381</c:v>
                </c:pt>
                <c:pt idx="205">
                  <c:v>41.403429295689349</c:v>
                </c:pt>
                <c:pt idx="206">
                  <c:v>45.581455320081382</c:v>
                </c:pt>
                <c:pt idx="207">
                  <c:v>46.541056873392236</c:v>
                </c:pt>
                <c:pt idx="208">
                  <c:v>47.972803749300425</c:v>
                </c:pt>
                <c:pt idx="209">
                  <c:v>49.600227070311448</c:v>
                </c:pt>
                <c:pt idx="210">
                  <c:v>48.489128983928374</c:v>
                </c:pt>
                <c:pt idx="211">
                  <c:v>53.580472920503844</c:v>
                </c:pt>
                <c:pt idx="212">
                  <c:v>54.246844251899851</c:v>
                </c:pt>
                <c:pt idx="213">
                  <c:v>58.813604843062706</c:v>
                </c:pt>
                <c:pt idx="214">
                  <c:v>60.338136173183784</c:v>
                </c:pt>
                <c:pt idx="215">
                  <c:v>61.443069373095135</c:v>
                </c:pt>
                <c:pt idx="216">
                  <c:v>59.040681920028582</c:v>
                </c:pt>
                <c:pt idx="217">
                  <c:v>56.6331114607462</c:v>
                </c:pt>
                <c:pt idx="218">
                  <c:v>57.940022262337827</c:v>
                </c:pt>
                <c:pt idx="219">
                  <c:v>59.900860788619489</c:v>
                </c:pt>
                <c:pt idx="220">
                  <c:v>54.583153616608243</c:v>
                </c:pt>
                <c:pt idx="221">
                  <c:v>54.86114305136708</c:v>
                </c:pt>
                <c:pt idx="222">
                  <c:v>56.049854150261517</c:v>
                </c:pt>
                <c:pt idx="223">
                  <c:v>57.855417340116787</c:v>
                </c:pt>
                <c:pt idx="224">
                  <c:v>62.489792172507698</c:v>
                </c:pt>
                <c:pt idx="225">
                  <c:v>66.006008298168979</c:v>
                </c:pt>
                <c:pt idx="226">
                  <c:v>61.048206221323902</c:v>
                </c:pt>
                <c:pt idx="227">
                  <c:v>63.215951125412751</c:v>
                </c:pt>
                <c:pt idx="228">
                  <c:v>59.53894442417252</c:v>
                </c:pt>
                <c:pt idx="229">
                  <c:v>55.924679148421909</c:v>
                </c:pt>
                <c:pt idx="230">
                  <c:v>59.763891005247771</c:v>
                </c:pt>
                <c:pt idx="231">
                  <c:v>59.736398393674691</c:v>
                </c:pt>
                <c:pt idx="232">
                  <c:v>64.206047015761115</c:v>
                </c:pt>
                <c:pt idx="233">
                  <c:v>61.817383310110529</c:v>
                </c:pt>
                <c:pt idx="234">
                  <c:v>62.731602965175348</c:v>
                </c:pt>
                <c:pt idx="235">
                  <c:v>58.831802845655226</c:v>
                </c:pt>
                <c:pt idx="236">
                  <c:v>63.581718157872828</c:v>
                </c:pt>
                <c:pt idx="237">
                  <c:v>63.361122852063204</c:v>
                </c:pt>
                <c:pt idx="238">
                  <c:v>66.686302367988674</c:v>
                </c:pt>
                <c:pt idx="239">
                  <c:v>66.745600934395014</c:v>
                </c:pt>
                <c:pt idx="240">
                  <c:v>68.237327286350038</c:v>
                </c:pt>
                <c:pt idx="241">
                  <c:v>69.850622130968503</c:v>
                </c:pt>
                <c:pt idx="242">
                  <c:v>61.228751495059541</c:v>
                </c:pt>
                <c:pt idx="243">
                  <c:v>61.242737454052481</c:v>
                </c:pt>
                <c:pt idx="244">
                  <c:v>62.107234050591991</c:v>
                </c:pt>
                <c:pt idx="245">
                  <c:v>65.583106213844459</c:v>
                </c:pt>
                <c:pt idx="246">
                  <c:v>69.174251497348223</c:v>
                </c:pt>
                <c:pt idx="247">
                  <c:v>73.140388411745647</c:v>
                </c:pt>
                <c:pt idx="248">
                  <c:v>75.007235001063663</c:v>
                </c:pt>
                <c:pt idx="249">
                  <c:v>76.383826760693438</c:v>
                </c:pt>
                <c:pt idx="250">
                  <c:v>77.865440610491646</c:v>
                </c:pt>
                <c:pt idx="251">
                  <c:v>70.373405857828104</c:v>
                </c:pt>
                <c:pt idx="252">
                  <c:v>71.684474050115085</c:v>
                </c:pt>
                <c:pt idx="253">
                  <c:v>76.575287752799611</c:v>
                </c:pt>
                <c:pt idx="254">
                  <c:v>79.558028696344181</c:v>
                </c:pt>
                <c:pt idx="255">
                  <c:v>73.835609866155764</c:v>
                </c:pt>
                <c:pt idx="256">
                  <c:v>64.963461609043506</c:v>
                </c:pt>
                <c:pt idx="257">
                  <c:v>66.64405349155021</c:v>
                </c:pt>
                <c:pt idx="258">
                  <c:v>70.883114054257931</c:v>
                </c:pt>
                <c:pt idx="259">
                  <c:v>72.497589917132757</c:v>
                </c:pt>
                <c:pt idx="260">
                  <c:v>61.435327499041115</c:v>
                </c:pt>
                <c:pt idx="261">
                  <c:v>59.601108271353191</c:v>
                </c:pt>
                <c:pt idx="262">
                  <c:v>48.616279119584824</c:v>
                </c:pt>
                <c:pt idx="263">
                  <c:v>43.960635489420447</c:v>
                </c:pt>
                <c:pt idx="264">
                  <c:v>43.222979663766793</c:v>
                </c:pt>
                <c:pt idx="265">
                  <c:v>50.33987693362058</c:v>
                </c:pt>
                <c:pt idx="266">
                  <c:v>51.867880435294147</c:v>
                </c:pt>
                <c:pt idx="267">
                  <c:v>40.850371391739806</c:v>
                </c:pt>
                <c:pt idx="268">
                  <c:v>39.893665269211638</c:v>
                </c:pt>
                <c:pt idx="269">
                  <c:v>41.693985301722918</c:v>
                </c:pt>
                <c:pt idx="270">
                  <c:v>33.538597141302233</c:v>
                </c:pt>
                <c:pt idx="271">
                  <c:v>24.70802585819753</c:v>
                </c:pt>
                <c:pt idx="272">
                  <c:v>22.379563654635689</c:v>
                </c:pt>
                <c:pt idx="273">
                  <c:v>23.133737911646975</c:v>
                </c:pt>
                <c:pt idx="274">
                  <c:v>20.738680108534425</c:v>
                </c:pt>
                <c:pt idx="275">
                  <c:v>18.339280498485039</c:v>
                </c:pt>
                <c:pt idx="276">
                  <c:v>24.816820971534611</c:v>
                </c:pt>
                <c:pt idx="277">
                  <c:v>31.773865164178815</c:v>
                </c:pt>
                <c:pt idx="278">
                  <c:v>35.733215598487476</c:v>
                </c:pt>
                <c:pt idx="279">
                  <c:v>35.748816481993074</c:v>
                </c:pt>
                <c:pt idx="280">
                  <c:v>41.536311075831108</c:v>
                </c:pt>
                <c:pt idx="281">
                  <c:v>44.169538039674528</c:v>
                </c:pt>
                <c:pt idx="282">
                  <c:v>46.997955717174683</c:v>
                </c:pt>
                <c:pt idx="283">
                  <c:v>45.573365740375316</c:v>
                </c:pt>
                <c:pt idx="284">
                  <c:v>50.199026638293184</c:v>
                </c:pt>
                <c:pt idx="285">
                  <c:v>51.648609727145889</c:v>
                </c:pt>
                <c:pt idx="286">
                  <c:v>48.43358744329182</c:v>
                </c:pt>
                <c:pt idx="287">
                  <c:v>50.879090908015378</c:v>
                </c:pt>
                <c:pt idx="288">
                  <c:v>55.679694943513063</c:v>
                </c:pt>
                <c:pt idx="289">
                  <c:v>56.885740227133709</c:v>
                </c:pt>
                <c:pt idx="290">
                  <c:v>48.821882628075535</c:v>
                </c:pt>
                <c:pt idx="291">
                  <c:v>44.703903806206625</c:v>
                </c:pt>
                <c:pt idx="292">
                  <c:v>50.170167431343181</c:v>
                </c:pt>
                <c:pt idx="293">
                  <c:v>46.518634154019033</c:v>
                </c:pt>
                <c:pt idx="294">
                  <c:v>52.994322359986867</c:v>
                </c:pt>
                <c:pt idx="295">
                  <c:v>55.642405761872773</c:v>
                </c:pt>
                <c:pt idx="296">
                  <c:v>55.425746331524785</c:v>
                </c:pt>
                <c:pt idx="297">
                  <c:v>60.176129126008114</c:v>
                </c:pt>
                <c:pt idx="298">
                  <c:v>61.795998530746225</c:v>
                </c:pt>
                <c:pt idx="299">
                  <c:v>64.067487525225729</c:v>
                </c:pt>
                <c:pt idx="300">
                  <c:v>63.92904876924861</c:v>
                </c:pt>
                <c:pt idx="301">
                  <c:v>66.074776199246742</c:v>
                </c:pt>
                <c:pt idx="302">
                  <c:v>64.074550315254413</c:v>
                </c:pt>
                <c:pt idx="303">
                  <c:v>61.404008852906351</c:v>
                </c:pt>
                <c:pt idx="304">
                  <c:v>58.378295935276839</c:v>
                </c:pt>
                <c:pt idx="305">
                  <c:v>51.329522343030604</c:v>
                </c:pt>
                <c:pt idx="306">
                  <c:v>44.442004889049308</c:v>
                </c:pt>
                <c:pt idx="307">
                  <c:v>53.753730991561653</c:v>
                </c:pt>
                <c:pt idx="308">
                  <c:v>53.253725106879841</c:v>
                </c:pt>
                <c:pt idx="309">
                  <c:v>54.026601714560663</c:v>
                </c:pt>
                <c:pt idx="310">
                  <c:v>57.889036746254739</c:v>
                </c:pt>
                <c:pt idx="311">
                  <c:v>61.292760876985426</c:v>
                </c:pt>
                <c:pt idx="312">
                  <c:v>63.822316349597536</c:v>
                </c:pt>
                <c:pt idx="313">
                  <c:v>62.732752536104584</c:v>
                </c:pt>
                <c:pt idx="314">
                  <c:v>54.432951221407478</c:v>
                </c:pt>
                <c:pt idx="315">
                  <c:v>57.976410523842077</c:v>
                </c:pt>
                <c:pt idx="316">
                  <c:v>59.110148867278376</c:v>
                </c:pt>
                <c:pt idx="317">
                  <c:v>60.914132910987909</c:v>
                </c:pt>
                <c:pt idx="318">
                  <c:v>63.106212115448848</c:v>
                </c:pt>
                <c:pt idx="319">
                  <c:v>60.071883320648062</c:v>
                </c:pt>
                <c:pt idx="320">
                  <c:v>60.361299928029531</c:v>
                </c:pt>
                <c:pt idx="321">
                  <c:v>61.117081306623255</c:v>
                </c:pt>
                <c:pt idx="322">
                  <c:v>66.115956550475573</c:v>
                </c:pt>
                <c:pt idx="323">
                  <c:v>67.163396614769368</c:v>
                </c:pt>
                <c:pt idx="324">
                  <c:v>70.404534342177499</c:v>
                </c:pt>
                <c:pt idx="325">
                  <c:v>71.956534740807655</c:v>
                </c:pt>
                <c:pt idx="326">
                  <c:v>73.692961144131104</c:v>
                </c:pt>
                <c:pt idx="327">
                  <c:v>70.239142200006526</c:v>
                </c:pt>
                <c:pt idx="328">
                  <c:v>74.43102399202661</c:v>
                </c:pt>
                <c:pt idx="329">
                  <c:v>67.619687856972945</c:v>
                </c:pt>
                <c:pt idx="330">
                  <c:v>70.313542182199768</c:v>
                </c:pt>
                <c:pt idx="331">
                  <c:v>73.920367208668921</c:v>
                </c:pt>
                <c:pt idx="332">
                  <c:v>75.984870233058757</c:v>
                </c:pt>
                <c:pt idx="333">
                  <c:v>77.631700025524509</c:v>
                </c:pt>
                <c:pt idx="334">
                  <c:v>69.677947281716982</c:v>
                </c:pt>
                <c:pt idx="335">
                  <c:v>73.141147959362215</c:v>
                </c:pt>
                <c:pt idx="336">
                  <c:v>73.683993488188989</c:v>
                </c:pt>
                <c:pt idx="337">
                  <c:v>74.189982519857594</c:v>
                </c:pt>
                <c:pt idx="338">
                  <c:v>75.893410677054192</c:v>
                </c:pt>
                <c:pt idx="339">
                  <c:v>77.380963181191973</c:v>
                </c:pt>
                <c:pt idx="340">
                  <c:v>73.44547828619784</c:v>
                </c:pt>
                <c:pt idx="341">
                  <c:v>76.597831576477262</c:v>
                </c:pt>
                <c:pt idx="342">
                  <c:v>72.628349392817569</c:v>
                </c:pt>
                <c:pt idx="343">
                  <c:v>74.706672375793403</c:v>
                </c:pt>
                <c:pt idx="344">
                  <c:v>76.762527624215721</c:v>
                </c:pt>
                <c:pt idx="345">
                  <c:v>75.604959661498611</c:v>
                </c:pt>
                <c:pt idx="346">
                  <c:v>67.513556725131593</c:v>
                </c:pt>
                <c:pt idx="347">
                  <c:v>72.871199768489134</c:v>
                </c:pt>
                <c:pt idx="348">
                  <c:v>68.786985485077594</c:v>
                </c:pt>
                <c:pt idx="349">
                  <c:v>69.668121132285336</c:v>
                </c:pt>
                <c:pt idx="350">
                  <c:v>70.771536772927988</c:v>
                </c:pt>
                <c:pt idx="351">
                  <c:v>65.57268131213965</c:v>
                </c:pt>
                <c:pt idx="352">
                  <c:v>67.907956026472249</c:v>
                </c:pt>
                <c:pt idx="353">
                  <c:v>54.935747060177881</c:v>
                </c:pt>
                <c:pt idx="354">
                  <c:v>50.796580522111164</c:v>
                </c:pt>
                <c:pt idx="355">
                  <c:v>60.571190849337597</c:v>
                </c:pt>
                <c:pt idx="356">
                  <c:v>60.626702275380588</c:v>
                </c:pt>
                <c:pt idx="357">
                  <c:v>57.593685968152279</c:v>
                </c:pt>
                <c:pt idx="358">
                  <c:v>49.942805594057383</c:v>
                </c:pt>
                <c:pt idx="359">
                  <c:v>49.396953294895653</c:v>
                </c:pt>
                <c:pt idx="360">
                  <c:v>57.382220285342378</c:v>
                </c:pt>
                <c:pt idx="361">
                  <c:v>57.695702203696001</c:v>
                </c:pt>
                <c:pt idx="362">
                  <c:v>59.521005337694532</c:v>
                </c:pt>
                <c:pt idx="363">
                  <c:v>59.634195441502534</c:v>
                </c:pt>
                <c:pt idx="364">
                  <c:v>63.889377316293746</c:v>
                </c:pt>
                <c:pt idx="365">
                  <c:v>63.633244017927368</c:v>
                </c:pt>
                <c:pt idx="366">
                  <c:v>63.356611688768737</c:v>
                </c:pt>
                <c:pt idx="367">
                  <c:v>59.01436158288832</c:v>
                </c:pt>
                <c:pt idx="368">
                  <c:v>63.643466966408823</c:v>
                </c:pt>
                <c:pt idx="369">
                  <c:v>65.92618612790659</c:v>
                </c:pt>
                <c:pt idx="370">
                  <c:v>68.085239041453391</c:v>
                </c:pt>
                <c:pt idx="371">
                  <c:v>72.113919433442149</c:v>
                </c:pt>
                <c:pt idx="372">
                  <c:v>72.007681314347764</c:v>
                </c:pt>
                <c:pt idx="373">
                  <c:v>73.007531671854451</c:v>
                </c:pt>
                <c:pt idx="374">
                  <c:v>74.278826833332303</c:v>
                </c:pt>
                <c:pt idx="375">
                  <c:v>74.81614778685244</c:v>
                </c:pt>
                <c:pt idx="376">
                  <c:v>76.913776395842547</c:v>
                </c:pt>
                <c:pt idx="377">
                  <c:v>76.973243586415634</c:v>
                </c:pt>
                <c:pt idx="378">
                  <c:v>79.029139427324907</c:v>
                </c:pt>
                <c:pt idx="379">
                  <c:v>81.152435928735528</c:v>
                </c:pt>
                <c:pt idx="380">
                  <c:v>83.482510045755859</c:v>
                </c:pt>
                <c:pt idx="381">
                  <c:v>84.237829984017822</c:v>
                </c:pt>
                <c:pt idx="382">
                  <c:v>87.725723689144218</c:v>
                </c:pt>
                <c:pt idx="383">
                  <c:v>74.692478377453796</c:v>
                </c:pt>
                <c:pt idx="384">
                  <c:v>67.525304291643181</c:v>
                </c:pt>
                <c:pt idx="385">
                  <c:v>67.852227887143982</c:v>
                </c:pt>
                <c:pt idx="386">
                  <c:v>70.408874771059743</c:v>
                </c:pt>
                <c:pt idx="387">
                  <c:v>70.977932519044899</c:v>
                </c:pt>
                <c:pt idx="388">
                  <c:v>74.868384506169804</c:v>
                </c:pt>
                <c:pt idx="389">
                  <c:v>77.673771875595335</c:v>
                </c:pt>
                <c:pt idx="390">
                  <c:v>78.05936725063782</c:v>
                </c:pt>
                <c:pt idx="391">
                  <c:v>59.958450954557165</c:v>
                </c:pt>
                <c:pt idx="392">
                  <c:v>62.217856657862612</c:v>
                </c:pt>
                <c:pt idx="393">
                  <c:v>47.211615916026716</c:v>
                </c:pt>
                <c:pt idx="394">
                  <c:v>56.09201675434521</c:v>
                </c:pt>
                <c:pt idx="395">
                  <c:v>59.111062715356127</c:v>
                </c:pt>
                <c:pt idx="396">
                  <c:v>60.908203454251272</c:v>
                </c:pt>
                <c:pt idx="397">
                  <c:v>64.644431178817854</c:v>
                </c:pt>
                <c:pt idx="398">
                  <c:v>54.830576682106368</c:v>
                </c:pt>
                <c:pt idx="399">
                  <c:v>61.062746589509281</c:v>
                </c:pt>
                <c:pt idx="400">
                  <c:v>62.20601204527815</c:v>
                </c:pt>
                <c:pt idx="401">
                  <c:v>59.575897524840684</c:v>
                </c:pt>
                <c:pt idx="402">
                  <c:v>61.22236692822662</c:v>
                </c:pt>
                <c:pt idx="403">
                  <c:v>63.176158368843474</c:v>
                </c:pt>
                <c:pt idx="404">
                  <c:v>66.286732482983524</c:v>
                </c:pt>
                <c:pt idx="405">
                  <c:v>68.754769550935947</c:v>
                </c:pt>
                <c:pt idx="406">
                  <c:v>68.438726068050087</c:v>
                </c:pt>
                <c:pt idx="407">
                  <c:v>54.518746358526712</c:v>
                </c:pt>
                <c:pt idx="408">
                  <c:v>41.988288065861454</c:v>
                </c:pt>
                <c:pt idx="409">
                  <c:v>52.431221428943012</c:v>
                </c:pt>
                <c:pt idx="410">
                  <c:v>55.87248529355935</c:v>
                </c:pt>
                <c:pt idx="411">
                  <c:v>57.285069408236367</c:v>
                </c:pt>
                <c:pt idx="412">
                  <c:v>61.35099221241105</c:v>
                </c:pt>
                <c:pt idx="413">
                  <c:v>66.02372923412247</c:v>
                </c:pt>
                <c:pt idx="414">
                  <c:v>61.246200287593609</c:v>
                </c:pt>
                <c:pt idx="415">
                  <c:v>58.174437420847191</c:v>
                </c:pt>
                <c:pt idx="416">
                  <c:v>65.265616239784976</c:v>
                </c:pt>
                <c:pt idx="417">
                  <c:v>67.531885853736554</c:v>
                </c:pt>
                <c:pt idx="418">
                  <c:v>66.087069931811996</c:v>
                </c:pt>
                <c:pt idx="419">
                  <c:v>67.805570902336001</c:v>
                </c:pt>
                <c:pt idx="420">
                  <c:v>70.493034242206619</c:v>
                </c:pt>
                <c:pt idx="421">
                  <c:v>73.554493747874687</c:v>
                </c:pt>
                <c:pt idx="422">
                  <c:v>73.875988845653524</c:v>
                </c:pt>
                <c:pt idx="423">
                  <c:v>75.197900872977186</c:v>
                </c:pt>
                <c:pt idx="424">
                  <c:v>76.536355531878911</c:v>
                </c:pt>
                <c:pt idx="425">
                  <c:v>78.188548904587023</c:v>
                </c:pt>
                <c:pt idx="426">
                  <c:v>69.313849130906675</c:v>
                </c:pt>
                <c:pt idx="427">
                  <c:v>73.755070927446653</c:v>
                </c:pt>
                <c:pt idx="428">
                  <c:v>72.302884737713811</c:v>
                </c:pt>
                <c:pt idx="429">
                  <c:v>75.048573111933095</c:v>
                </c:pt>
                <c:pt idx="430">
                  <c:v>66.160863062484069</c:v>
                </c:pt>
                <c:pt idx="431">
                  <c:v>61.713780982508254</c:v>
                </c:pt>
                <c:pt idx="432">
                  <c:v>64.549227921963038</c:v>
                </c:pt>
                <c:pt idx="433">
                  <c:v>53.651811125755387</c:v>
                </c:pt>
                <c:pt idx="434">
                  <c:v>53.656462941694571</c:v>
                </c:pt>
                <c:pt idx="435">
                  <c:v>45.845724180395294</c:v>
                </c:pt>
                <c:pt idx="436">
                  <c:v>53.150748700051111</c:v>
                </c:pt>
                <c:pt idx="437">
                  <c:v>49.496489400193482</c:v>
                </c:pt>
                <c:pt idx="438">
                  <c:v>42.816150277092206</c:v>
                </c:pt>
                <c:pt idx="439">
                  <c:v>48.607113219085726</c:v>
                </c:pt>
                <c:pt idx="440">
                  <c:v>52.38161047030853</c:v>
                </c:pt>
                <c:pt idx="441">
                  <c:v>47.993271860886438</c:v>
                </c:pt>
                <c:pt idx="442">
                  <c:v>52.239404726405738</c:v>
                </c:pt>
                <c:pt idx="443">
                  <c:v>50.255519210387796</c:v>
                </c:pt>
                <c:pt idx="444">
                  <c:v>49.243151704500285</c:v>
                </c:pt>
                <c:pt idx="445">
                  <c:v>49.243151704500278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D-4A14-AFB8-55029D96B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1088"/>
        <c:axId val="166043008"/>
      </c:scatterChart>
      <c:valAx>
        <c:axId val="166041088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Month &amp; Year</a:t>
                </a:r>
              </a:p>
            </c:rich>
          </c:tx>
          <c:overlay val="0"/>
        </c:title>
        <c:numFmt formatCode="d\-mmm\-yy" sourceLinked="1"/>
        <c:majorTickMark val="out"/>
        <c:minorTickMark val="none"/>
        <c:tickLblPos val="nextTo"/>
        <c:crossAx val="166043008"/>
        <c:crosses val="autoZero"/>
        <c:crossBetween val="midCat"/>
      </c:valAx>
      <c:valAx>
        <c:axId val="166043008"/>
        <c:scaling>
          <c:orientation val="minMax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200"/>
                  <a:t>RSI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660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409575</xdr:colOff>
      <xdr:row>2</xdr:row>
      <xdr:rowOff>147637</xdr:rowOff>
    </xdr:from>
    <xdr:to>
      <xdr:col>19</xdr:col>
      <xdr:colOff>314325</xdr:colOff>
      <xdr:row>16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0.45035</cdr:x>
      <cdr:y>0.28993</cdr:y>
    </cdr:from>
    <cdr:to>
      <cdr:x>0.58968</cdr:x>
      <cdr:y>0.37674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3860" y="795338"/>
          <a:ext cx="83344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CA" sz="1200"/>
            <a:t>Buy Signal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64"/>
  <sheetViews>
    <sheetView showGridLines="0" showZeros="0" tabSelected="1" zoomScaleNormal="100" workbookViewId="0">
      <selection activeCell="O23" sqref="O23"/>
    </sheetView>
  </sheetViews>
  <sheetFormatPr defaultColWidth="8.85546875" defaultRowHeight="15.75" customHeight="1"/>
  <cols>
    <col min="1" max="1" width="12.140625" style="2" customWidth="1"/>
    <col min="2" max="2" width="9.85546875" style="4" bestFit="1" customWidth="1"/>
    <col min="3" max="3" width="11" style="4" customWidth="1"/>
    <col min="4" max="5" width="8.5703125" style="5" customWidth="1"/>
    <col min="6" max="6" width="10.28515625" style="4" customWidth="1"/>
    <col min="7" max="7" width="10" style="4" customWidth="1"/>
    <col min="8" max="8" width="8.5703125" style="4" customWidth="1"/>
    <col min="9" max="9" width="12.85546875" style="4" customWidth="1"/>
    <col min="10" max="17" width="8.85546875" style="2"/>
    <col min="18" max="18" width="11.42578125" style="2" customWidth="1"/>
    <col min="19" max="16384" width="8.85546875" style="2"/>
  </cols>
  <sheetData>
    <row r="1" spans="1:19" ht="32.25" customHeight="1">
      <c r="A1" s="6" t="s">
        <v>9</v>
      </c>
    </row>
    <row r="2" spans="1:19" ht="15.75" customHeight="1">
      <c r="A2" s="11" t="s">
        <v>8</v>
      </c>
    </row>
    <row r="3" spans="1:19" ht="15.75" customHeight="1" thickBot="1">
      <c r="A3" s="11"/>
    </row>
    <row r="4" spans="1:19" s="1" customFormat="1" ht="15.75" customHeight="1" thickBot="1">
      <c r="A4" s="8" t="s">
        <v>4</v>
      </c>
      <c r="B4" s="9" t="s">
        <v>7</v>
      </c>
      <c r="C4" s="9" t="s">
        <v>3</v>
      </c>
      <c r="D4" s="9" t="s">
        <v>0</v>
      </c>
      <c r="E4" s="9" t="s">
        <v>1</v>
      </c>
      <c r="F4" s="9" t="s">
        <v>5</v>
      </c>
      <c r="G4" s="9" t="s">
        <v>6</v>
      </c>
      <c r="H4" s="9" t="s">
        <v>2</v>
      </c>
      <c r="I4" s="10" t="s">
        <v>10</v>
      </c>
    </row>
    <row r="5" spans="1:19" ht="15.75" customHeight="1" thickBot="1">
      <c r="A5" s="16">
        <v>31048</v>
      </c>
      <c r="B5" s="14">
        <v>179.63</v>
      </c>
      <c r="C5" s="3"/>
      <c r="D5" s="3"/>
      <c r="E5" s="3"/>
      <c r="F5" s="3"/>
      <c r="G5" s="3"/>
      <c r="H5" s="3"/>
      <c r="I5" s="3"/>
    </row>
    <row r="6" spans="1:19" ht="15.75" customHeight="1" thickBot="1">
      <c r="A6" s="16">
        <v>31079</v>
      </c>
      <c r="B6" s="14">
        <v>181.18</v>
      </c>
      <c r="C6" s="3">
        <f t="shared" ref="C6:C37" si="0">B6-B5</f>
        <v>1.5500000000000114</v>
      </c>
      <c r="D6" s="3">
        <f t="shared" ref="D6:D37" si="1">IF(C6&gt;0,C6,0)</f>
        <v>1.5500000000000114</v>
      </c>
      <c r="E6" s="3">
        <f t="shared" ref="E6:E19" si="2">IF(C6&lt;0,-C6,0)</f>
        <v>0</v>
      </c>
      <c r="F6" s="3"/>
      <c r="G6" s="3"/>
      <c r="H6" s="3"/>
      <c r="I6" s="3"/>
      <c r="R6" s="12"/>
      <c r="S6" s="12"/>
    </row>
    <row r="7" spans="1:19" ht="15.75" customHeight="1" thickBot="1">
      <c r="A7" s="16">
        <v>31107</v>
      </c>
      <c r="B7" s="14">
        <v>180.66</v>
      </c>
      <c r="C7" s="3">
        <f t="shared" si="0"/>
        <v>-0.52000000000001023</v>
      </c>
      <c r="D7" s="3">
        <f t="shared" si="1"/>
        <v>0</v>
      </c>
      <c r="E7" s="3">
        <f t="shared" si="2"/>
        <v>0.52000000000001023</v>
      </c>
      <c r="F7" s="3"/>
      <c r="G7" s="3"/>
      <c r="H7" s="3"/>
      <c r="I7" s="3"/>
      <c r="R7" s="13"/>
      <c r="S7" s="12"/>
    </row>
    <row r="8" spans="1:19" ht="15.75" customHeight="1" thickBot="1">
      <c r="A8" s="16">
        <v>31138</v>
      </c>
      <c r="B8" s="14">
        <v>179.83</v>
      </c>
      <c r="C8" s="3">
        <f t="shared" si="0"/>
        <v>-0.82999999999998408</v>
      </c>
      <c r="D8" s="3">
        <f t="shared" si="1"/>
        <v>0</v>
      </c>
      <c r="E8" s="3">
        <f t="shared" si="2"/>
        <v>0.82999999999998408</v>
      </c>
      <c r="F8" s="3"/>
      <c r="G8" s="3"/>
      <c r="H8" s="3"/>
      <c r="I8" s="3"/>
      <c r="R8" s="13"/>
      <c r="S8" s="12"/>
    </row>
    <row r="9" spans="1:19" ht="15.75" customHeight="1" thickBot="1">
      <c r="A9" s="16">
        <v>31168</v>
      </c>
      <c r="B9" s="14">
        <v>189.55</v>
      </c>
      <c r="C9" s="3">
        <f t="shared" si="0"/>
        <v>9.7199999999999989</v>
      </c>
      <c r="D9" s="3">
        <f t="shared" si="1"/>
        <v>9.7199999999999989</v>
      </c>
      <c r="E9" s="3">
        <f t="shared" si="2"/>
        <v>0</v>
      </c>
      <c r="F9" s="3"/>
      <c r="G9" s="3"/>
      <c r="H9" s="3"/>
      <c r="I9" s="3"/>
      <c r="R9" s="13"/>
      <c r="S9" s="12"/>
    </row>
    <row r="10" spans="1:19" ht="15.75" customHeight="1" thickBot="1">
      <c r="A10" s="16">
        <v>31199</v>
      </c>
      <c r="B10" s="14">
        <v>191.85</v>
      </c>
      <c r="C10" s="3">
        <f t="shared" si="0"/>
        <v>2.2999999999999829</v>
      </c>
      <c r="D10" s="3">
        <f t="shared" si="1"/>
        <v>2.2999999999999829</v>
      </c>
      <c r="E10" s="3">
        <f t="shared" si="2"/>
        <v>0</v>
      </c>
      <c r="F10" s="3"/>
      <c r="G10" s="3"/>
      <c r="H10" s="3"/>
      <c r="I10" s="3"/>
      <c r="R10" s="13"/>
      <c r="S10" s="12"/>
    </row>
    <row r="11" spans="1:19" ht="15.75" customHeight="1" thickBot="1">
      <c r="A11" s="16">
        <v>31229</v>
      </c>
      <c r="B11" s="14">
        <v>190.92</v>
      </c>
      <c r="C11" s="3">
        <f t="shared" si="0"/>
        <v>-0.93000000000000682</v>
      </c>
      <c r="D11" s="3">
        <f t="shared" si="1"/>
        <v>0</v>
      </c>
      <c r="E11" s="3">
        <f t="shared" si="2"/>
        <v>0.93000000000000682</v>
      </c>
      <c r="F11" s="3"/>
      <c r="G11" s="3"/>
      <c r="H11" s="3"/>
      <c r="I11" s="3"/>
      <c r="R11" s="13"/>
      <c r="S11" s="12"/>
    </row>
    <row r="12" spans="1:19" ht="15.75" customHeight="1" thickBot="1">
      <c r="A12" s="16">
        <v>31260</v>
      </c>
      <c r="B12" s="14">
        <v>188.63</v>
      </c>
      <c r="C12" s="3">
        <f t="shared" si="0"/>
        <v>-2.289999999999992</v>
      </c>
      <c r="D12" s="3">
        <f t="shared" si="1"/>
        <v>0</v>
      </c>
      <c r="E12" s="3">
        <f t="shared" si="2"/>
        <v>2.289999999999992</v>
      </c>
      <c r="F12" s="3"/>
      <c r="G12" s="3"/>
      <c r="H12" s="3"/>
      <c r="I12" s="3"/>
      <c r="R12" s="13"/>
      <c r="S12" s="12"/>
    </row>
    <row r="13" spans="1:19" ht="15.75" customHeight="1" thickBot="1">
      <c r="A13" s="16">
        <v>31291</v>
      </c>
      <c r="B13" s="14">
        <v>182.08</v>
      </c>
      <c r="C13" s="3">
        <f t="shared" si="0"/>
        <v>-6.5499999999999829</v>
      </c>
      <c r="D13" s="3">
        <f t="shared" si="1"/>
        <v>0</v>
      </c>
      <c r="E13" s="3">
        <f t="shared" si="2"/>
        <v>6.5499999999999829</v>
      </c>
      <c r="F13" s="3"/>
      <c r="G13" s="3"/>
      <c r="H13" s="3"/>
      <c r="I13" s="3"/>
      <c r="R13" s="13"/>
      <c r="S13" s="12"/>
    </row>
    <row r="14" spans="1:19" ht="15.75" customHeight="1" thickBot="1">
      <c r="A14" s="16">
        <v>31321</v>
      </c>
      <c r="B14" s="14">
        <v>189.82</v>
      </c>
      <c r="C14" s="3">
        <f t="shared" si="0"/>
        <v>7.7399999999999807</v>
      </c>
      <c r="D14" s="3">
        <f t="shared" si="1"/>
        <v>7.7399999999999807</v>
      </c>
      <c r="E14" s="3">
        <f t="shared" si="2"/>
        <v>0</v>
      </c>
      <c r="F14" s="3"/>
      <c r="G14" s="3"/>
      <c r="H14" s="3"/>
      <c r="I14" s="3"/>
      <c r="R14" s="13"/>
      <c r="S14" s="12"/>
    </row>
    <row r="15" spans="1:19" ht="15.75" customHeight="1" thickBot="1">
      <c r="A15" s="16">
        <v>31352</v>
      </c>
      <c r="B15" s="14">
        <v>202.17</v>
      </c>
      <c r="C15" s="3">
        <f t="shared" si="0"/>
        <v>12.349999999999994</v>
      </c>
      <c r="D15" s="3">
        <f t="shared" si="1"/>
        <v>12.349999999999994</v>
      </c>
      <c r="E15" s="3">
        <f t="shared" si="2"/>
        <v>0</v>
      </c>
      <c r="F15" s="3"/>
      <c r="G15" s="3"/>
      <c r="H15" s="3"/>
      <c r="I15" s="3"/>
      <c r="R15" s="13"/>
      <c r="S15" s="12"/>
    </row>
    <row r="16" spans="1:19" ht="15.75" customHeight="1" thickBot="1">
      <c r="A16" s="16">
        <v>31382</v>
      </c>
      <c r="B16" s="14">
        <v>211.28</v>
      </c>
      <c r="C16" s="3">
        <f t="shared" si="0"/>
        <v>9.1100000000000136</v>
      </c>
      <c r="D16" s="3">
        <f t="shared" si="1"/>
        <v>9.1100000000000136</v>
      </c>
      <c r="E16" s="3">
        <f t="shared" si="2"/>
        <v>0</v>
      </c>
      <c r="F16" s="3"/>
      <c r="G16" s="3"/>
      <c r="H16" s="3"/>
      <c r="I16" s="3"/>
      <c r="R16" s="13"/>
      <c r="S16" s="12"/>
    </row>
    <row r="17" spans="1:19" ht="15.75" customHeight="1" thickBot="1">
      <c r="A17" s="16">
        <v>31413</v>
      </c>
      <c r="B17" s="14">
        <v>211.78</v>
      </c>
      <c r="C17" s="3">
        <f t="shared" si="0"/>
        <v>0.5</v>
      </c>
      <c r="D17" s="3">
        <f t="shared" si="1"/>
        <v>0.5</v>
      </c>
      <c r="E17" s="3">
        <f t="shared" si="2"/>
        <v>0</v>
      </c>
      <c r="F17" s="3"/>
      <c r="G17" s="3"/>
      <c r="H17" s="3"/>
      <c r="I17" s="3"/>
      <c r="R17" s="13"/>
      <c r="S17" s="12"/>
    </row>
    <row r="18" spans="1:19" ht="15.75" customHeight="1" thickBot="1">
      <c r="A18" s="16">
        <v>31444</v>
      </c>
      <c r="B18" s="14">
        <v>226.92</v>
      </c>
      <c r="C18" s="3">
        <f t="shared" si="0"/>
        <v>15.139999999999986</v>
      </c>
      <c r="D18" s="3">
        <f t="shared" si="1"/>
        <v>15.139999999999986</v>
      </c>
      <c r="E18" s="3">
        <f t="shared" si="2"/>
        <v>0</v>
      </c>
      <c r="F18" s="3"/>
      <c r="G18" s="3"/>
      <c r="H18" s="3"/>
      <c r="I18" s="3"/>
      <c r="R18" s="13"/>
      <c r="S18" s="12"/>
    </row>
    <row r="19" spans="1:19" ht="15.75" customHeight="1" thickBot="1">
      <c r="A19" s="16">
        <v>31472</v>
      </c>
      <c r="B19" s="14">
        <v>238.9</v>
      </c>
      <c r="C19" s="3">
        <f t="shared" si="0"/>
        <v>11.980000000000018</v>
      </c>
      <c r="D19" s="3">
        <f t="shared" si="1"/>
        <v>11.980000000000018</v>
      </c>
      <c r="E19" s="3">
        <f t="shared" si="2"/>
        <v>0</v>
      </c>
      <c r="F19" s="3">
        <f>(SUM(D6:D19)/14)</f>
        <v>5.0278571428571421</v>
      </c>
      <c r="G19" s="3">
        <f>SUM(E6:E19)/14</f>
        <v>0.7942857142857126</v>
      </c>
      <c r="H19" s="3">
        <f>F19/G19</f>
        <v>6.3300359712230341</v>
      </c>
      <c r="I19" s="3">
        <f>IF(G19=0,100,100-(100/(1+H19)))</f>
        <v>86.357502146975861</v>
      </c>
      <c r="J19" s="7"/>
      <c r="R19" s="13"/>
      <c r="S19" s="12"/>
    </row>
    <row r="20" spans="1:19" ht="15.75" customHeight="1" thickBot="1">
      <c r="A20" s="16">
        <v>31503</v>
      </c>
      <c r="B20" s="14">
        <v>235.52</v>
      </c>
      <c r="C20" s="3">
        <f t="shared" si="0"/>
        <v>-3.3799999999999955</v>
      </c>
      <c r="D20" s="3">
        <f t="shared" si="1"/>
        <v>0</v>
      </c>
      <c r="E20" s="3">
        <f t="shared" ref="E20:E26" si="3">IF(C20&lt;0,-C20,0)</f>
        <v>3.3799999999999955</v>
      </c>
      <c r="F20" s="3">
        <f>((F19*13)+D20)/14</f>
        <v>4.6687244897959177</v>
      </c>
      <c r="G20" s="3">
        <f>((G19*13)+E20)/14</f>
        <v>0.97897959183673289</v>
      </c>
      <c r="H20" s="3">
        <f t="shared" ref="H20:H26" si="4">F20/G20</f>
        <v>4.7689701897019052</v>
      </c>
      <c r="I20" s="3">
        <f t="shared" ref="I20:I26" si="5">IF(G20=0,100,100-(100/(1+H20)))</f>
        <v>82.665883734586046</v>
      </c>
      <c r="J20" s="7"/>
      <c r="R20" s="13"/>
      <c r="S20" s="12"/>
    </row>
    <row r="21" spans="1:19" ht="15.75" customHeight="1" thickBot="1">
      <c r="A21" s="16">
        <v>31533</v>
      </c>
      <c r="B21" s="14">
        <v>247.35</v>
      </c>
      <c r="C21" s="3">
        <f t="shared" si="0"/>
        <v>11.829999999999984</v>
      </c>
      <c r="D21" s="3">
        <f t="shared" si="1"/>
        <v>11.829999999999984</v>
      </c>
      <c r="E21" s="3">
        <f t="shared" si="3"/>
        <v>0</v>
      </c>
      <c r="F21" s="3">
        <f t="shared" ref="F21:F30" si="6">((F20*13)+D21)/14</f>
        <v>5.1802441690962082</v>
      </c>
      <c r="G21" s="3">
        <f t="shared" ref="G21:G30" si="7">((G20*13)+E21)/14</f>
        <v>0.90905247813410917</v>
      </c>
      <c r="H21" s="3">
        <f t="shared" si="4"/>
        <v>5.698509485094859</v>
      </c>
      <c r="I21" s="3">
        <f t="shared" si="5"/>
        <v>85.071305755031872</v>
      </c>
      <c r="J21" s="7"/>
      <c r="R21" s="13"/>
      <c r="S21" s="12"/>
    </row>
    <row r="22" spans="1:19" ht="15.75" customHeight="1" thickBot="1">
      <c r="A22" s="16">
        <v>31564</v>
      </c>
      <c r="B22" s="14">
        <v>250.84</v>
      </c>
      <c r="C22" s="3">
        <f t="shared" si="0"/>
        <v>3.4900000000000091</v>
      </c>
      <c r="D22" s="3">
        <f t="shared" si="1"/>
        <v>3.4900000000000091</v>
      </c>
      <c r="E22" s="3">
        <f t="shared" si="3"/>
        <v>0</v>
      </c>
      <c r="F22" s="3">
        <f t="shared" si="6"/>
        <v>5.0595124427321938</v>
      </c>
      <c r="G22" s="3">
        <f t="shared" si="7"/>
        <v>0.84412015826738707</v>
      </c>
      <c r="H22" s="3">
        <f t="shared" si="4"/>
        <v>5.9938296617831996</v>
      </c>
      <c r="I22" s="3">
        <f t="shared" si="5"/>
        <v>85.70168207749812</v>
      </c>
      <c r="J22" s="7"/>
      <c r="R22" s="13"/>
      <c r="S22" s="12"/>
    </row>
    <row r="23" spans="1:19" ht="15.75" customHeight="1" thickBot="1">
      <c r="A23" s="16">
        <v>31594</v>
      </c>
      <c r="B23" s="14">
        <v>236.12</v>
      </c>
      <c r="C23" s="3">
        <f t="shared" si="0"/>
        <v>-14.719999999999999</v>
      </c>
      <c r="D23" s="3">
        <f t="shared" si="1"/>
        <v>0</v>
      </c>
      <c r="E23" s="3">
        <f t="shared" si="3"/>
        <v>14.719999999999999</v>
      </c>
      <c r="F23" s="3">
        <f t="shared" si="6"/>
        <v>4.6981186968227515</v>
      </c>
      <c r="G23" s="3">
        <f t="shared" si="7"/>
        <v>1.8352544326768592</v>
      </c>
      <c r="H23" s="3">
        <f t="shared" si="4"/>
        <v>2.5599277207412521</v>
      </c>
      <c r="I23" s="3">
        <f t="shared" si="5"/>
        <v>71.909542034415836</v>
      </c>
      <c r="J23" s="7"/>
      <c r="R23" s="13"/>
      <c r="S23" s="12"/>
    </row>
    <row r="24" spans="1:19" ht="15.75" customHeight="1" thickBot="1">
      <c r="A24" s="16">
        <v>31625</v>
      </c>
      <c r="B24" s="14">
        <v>252.93</v>
      </c>
      <c r="C24" s="3">
        <f t="shared" si="0"/>
        <v>16.810000000000002</v>
      </c>
      <c r="D24" s="3">
        <f t="shared" si="1"/>
        <v>16.810000000000002</v>
      </c>
      <c r="E24" s="3">
        <f t="shared" si="3"/>
        <v>0</v>
      </c>
      <c r="F24" s="3">
        <f t="shared" si="6"/>
        <v>5.5632530756211267</v>
      </c>
      <c r="G24" s="3">
        <f t="shared" si="7"/>
        <v>1.7041648303427979</v>
      </c>
      <c r="H24" s="3">
        <f t="shared" si="4"/>
        <v>3.264504099936191</v>
      </c>
      <c r="I24" s="3">
        <f t="shared" si="5"/>
        <v>76.550614642040969</v>
      </c>
      <c r="J24" s="7"/>
      <c r="R24" s="13"/>
      <c r="S24" s="12"/>
    </row>
    <row r="25" spans="1:19" ht="15.75" customHeight="1" thickBot="1">
      <c r="A25" s="16">
        <v>31656</v>
      </c>
      <c r="B25" s="14">
        <v>231.32</v>
      </c>
      <c r="C25" s="3">
        <f t="shared" si="0"/>
        <v>-21.610000000000014</v>
      </c>
      <c r="D25" s="3">
        <f t="shared" si="1"/>
        <v>0</v>
      </c>
      <c r="E25" s="3">
        <f t="shared" si="3"/>
        <v>21.610000000000014</v>
      </c>
      <c r="F25" s="3">
        <f t="shared" si="6"/>
        <v>5.1658778559339043</v>
      </c>
      <c r="G25" s="3">
        <f t="shared" si="7"/>
        <v>3.1260101996040279</v>
      </c>
      <c r="H25" s="3">
        <f t="shared" si="4"/>
        <v>1.6525467052501193</v>
      </c>
      <c r="I25" s="3">
        <f t="shared" si="5"/>
        <v>62.300381063197676</v>
      </c>
      <c r="J25" s="7"/>
      <c r="R25" s="13"/>
      <c r="S25" s="12"/>
    </row>
    <row r="26" spans="1:19" ht="15.75" customHeight="1" thickBot="1">
      <c r="A26" s="16">
        <v>31686</v>
      </c>
      <c r="B26" s="14">
        <v>243.98</v>
      </c>
      <c r="C26" s="3">
        <f t="shared" si="0"/>
        <v>12.659999999999997</v>
      </c>
      <c r="D26" s="3">
        <f t="shared" si="1"/>
        <v>12.659999999999997</v>
      </c>
      <c r="E26" s="3">
        <f t="shared" si="3"/>
        <v>0</v>
      </c>
      <c r="F26" s="3">
        <f t="shared" si="6"/>
        <v>5.7011722947957679</v>
      </c>
      <c r="G26" s="3">
        <f t="shared" si="7"/>
        <v>2.9027237567751691</v>
      </c>
      <c r="H26" s="3">
        <f t="shared" si="4"/>
        <v>1.9640767680661364</v>
      </c>
      <c r="I26" s="3">
        <f t="shared" si="5"/>
        <v>66.26268216890908</v>
      </c>
      <c r="J26" s="7"/>
      <c r="R26" s="13"/>
      <c r="S26" s="12"/>
    </row>
    <row r="27" spans="1:19" ht="15.75" customHeight="1" thickBot="1">
      <c r="A27" s="16">
        <v>31717</v>
      </c>
      <c r="B27" s="14">
        <v>249.22</v>
      </c>
      <c r="C27" s="3">
        <f t="shared" si="0"/>
        <v>5.2400000000000091</v>
      </c>
      <c r="D27" s="3">
        <f t="shared" si="1"/>
        <v>5.2400000000000091</v>
      </c>
      <c r="E27" s="3">
        <f t="shared" ref="E27:E37" si="8">IF(C27&lt;0,-C27,0)</f>
        <v>0</v>
      </c>
      <c r="F27" s="3">
        <f t="shared" si="6"/>
        <v>5.668231416596071</v>
      </c>
      <c r="G27" s="3">
        <f t="shared" si="7"/>
        <v>2.6953863455769427</v>
      </c>
      <c r="H27" s="3">
        <f t="shared" ref="H27:H37" si="9">F27/G27</f>
        <v>2.1029383879967662</v>
      </c>
      <c r="I27" s="3">
        <f t="shared" ref="I27:I37" si="10">IF(G27=0,100,100-(100/(1+H27)))</f>
        <v>67.772482886919562</v>
      </c>
      <c r="J27" s="7"/>
      <c r="R27" s="13"/>
      <c r="S27" s="12"/>
    </row>
    <row r="28" spans="1:19" ht="15.75" customHeight="1" thickBot="1">
      <c r="A28" s="16">
        <v>31747</v>
      </c>
      <c r="B28" s="14">
        <v>242.17</v>
      </c>
      <c r="C28" s="3">
        <f t="shared" si="0"/>
        <v>-7.0500000000000114</v>
      </c>
      <c r="D28" s="3">
        <f t="shared" si="1"/>
        <v>0</v>
      </c>
      <c r="E28" s="3">
        <f t="shared" si="8"/>
        <v>7.0500000000000114</v>
      </c>
      <c r="F28" s="3">
        <f t="shared" si="6"/>
        <v>5.2633577439820654</v>
      </c>
      <c r="G28" s="3">
        <f t="shared" si="7"/>
        <v>3.0064301780357332</v>
      </c>
      <c r="H28" s="3">
        <f t="shared" si="9"/>
        <v>1.7507001434574834</v>
      </c>
      <c r="I28" s="3">
        <f t="shared" si="10"/>
        <v>63.645619375180118</v>
      </c>
      <c r="J28" s="7"/>
      <c r="R28" s="13"/>
      <c r="S28" s="12"/>
    </row>
    <row r="29" spans="1:19" ht="15.75" customHeight="1" thickBot="1">
      <c r="A29" s="16">
        <v>31778</v>
      </c>
      <c r="B29" s="14">
        <v>274.08</v>
      </c>
      <c r="C29" s="3">
        <f t="shared" si="0"/>
        <v>31.909999999999997</v>
      </c>
      <c r="D29" s="3">
        <f t="shared" si="1"/>
        <v>31.909999999999997</v>
      </c>
      <c r="E29" s="3">
        <f t="shared" si="8"/>
        <v>0</v>
      </c>
      <c r="F29" s="3">
        <f t="shared" si="6"/>
        <v>7.1666893336976321</v>
      </c>
      <c r="G29" s="3">
        <f t="shared" si="7"/>
        <v>2.7916851653188952</v>
      </c>
      <c r="H29" s="3">
        <f t="shared" si="9"/>
        <v>2.5671552876840891</v>
      </c>
      <c r="I29" s="3">
        <f t="shared" si="10"/>
        <v>71.966457320975451</v>
      </c>
      <c r="J29" s="7"/>
      <c r="R29" s="13"/>
      <c r="S29" s="12"/>
    </row>
    <row r="30" spans="1:19" ht="15.75" customHeight="1" thickBot="1">
      <c r="A30" s="16">
        <v>31809</v>
      </c>
      <c r="B30" s="14">
        <v>284.2</v>
      </c>
      <c r="C30" s="3">
        <f t="shared" si="0"/>
        <v>10.120000000000005</v>
      </c>
      <c r="D30" s="3">
        <f t="shared" si="1"/>
        <v>10.120000000000005</v>
      </c>
      <c r="E30" s="3">
        <f t="shared" si="8"/>
        <v>0</v>
      </c>
      <c r="F30" s="3">
        <f t="shared" si="6"/>
        <v>7.377640095576373</v>
      </c>
      <c r="G30" s="3">
        <f t="shared" si="7"/>
        <v>2.5922790820818311</v>
      </c>
      <c r="H30" s="3">
        <f t="shared" si="9"/>
        <v>2.8460053342911946</v>
      </c>
      <c r="I30" s="3">
        <f t="shared" si="10"/>
        <v>73.998996021041748</v>
      </c>
      <c r="J30" s="7"/>
      <c r="R30" s="13"/>
      <c r="S30" s="12"/>
    </row>
    <row r="31" spans="1:19" ht="15.75" customHeight="1" thickBot="1">
      <c r="A31" s="16">
        <v>31837</v>
      </c>
      <c r="B31" s="14">
        <v>291.7</v>
      </c>
      <c r="C31" s="3">
        <f t="shared" si="0"/>
        <v>7.5</v>
      </c>
      <c r="D31" s="3">
        <f t="shared" si="1"/>
        <v>7.5</v>
      </c>
      <c r="E31" s="3">
        <f t="shared" si="8"/>
        <v>0</v>
      </c>
      <c r="F31" s="3">
        <f>((F30*13)+D31)/14</f>
        <v>7.3863800887494895</v>
      </c>
      <c r="G31" s="3">
        <f>((G30*13)+E31)/14</f>
        <v>2.4071162905045576</v>
      </c>
      <c r="H31" s="3">
        <f t="shared" si="9"/>
        <v>3.068559719315108</v>
      </c>
      <c r="I31" s="3">
        <f t="shared" si="10"/>
        <v>75.421277577600904</v>
      </c>
      <c r="J31" s="7"/>
      <c r="R31" s="13"/>
      <c r="S31" s="12"/>
    </row>
    <row r="32" spans="1:19" ht="15.75" customHeight="1" thickBot="1">
      <c r="A32" s="16">
        <v>31868</v>
      </c>
      <c r="B32" s="14">
        <v>288.36</v>
      </c>
      <c r="C32" s="3">
        <f t="shared" si="0"/>
        <v>-3.339999999999975</v>
      </c>
      <c r="D32" s="3">
        <f t="shared" si="1"/>
        <v>0</v>
      </c>
      <c r="E32" s="3">
        <f t="shared" si="8"/>
        <v>3.339999999999975</v>
      </c>
      <c r="F32" s="3">
        <f t="shared" ref="F32:F37" si="11">((F31*13)+D32)/14</f>
        <v>6.858781510981669</v>
      </c>
      <c r="G32" s="3">
        <f t="shared" ref="G32:G37" si="12">((G31*13)+E32)/14</f>
        <v>2.473750841182802</v>
      </c>
      <c r="H32" s="3">
        <f t="shared" si="9"/>
        <v>2.7726242258505724</v>
      </c>
      <c r="I32" s="3">
        <f t="shared" si="10"/>
        <v>73.493251908105407</v>
      </c>
      <c r="J32" s="7"/>
      <c r="R32" s="13"/>
      <c r="S32" s="12"/>
    </row>
    <row r="33" spans="1:19" ht="15.75" customHeight="1" thickBot="1">
      <c r="A33" s="16">
        <v>31898</v>
      </c>
      <c r="B33" s="14">
        <v>290.10000000000002</v>
      </c>
      <c r="C33" s="3">
        <f t="shared" si="0"/>
        <v>1.7400000000000091</v>
      </c>
      <c r="D33" s="3">
        <f t="shared" si="1"/>
        <v>1.7400000000000091</v>
      </c>
      <c r="E33" s="3">
        <f t="shared" si="8"/>
        <v>0</v>
      </c>
      <c r="F33" s="3">
        <f t="shared" si="11"/>
        <v>6.4931542601972652</v>
      </c>
      <c r="G33" s="3">
        <f t="shared" si="12"/>
        <v>2.2970543525268878</v>
      </c>
      <c r="H33" s="3">
        <f t="shared" si="9"/>
        <v>2.8267307880871142</v>
      </c>
      <c r="I33" s="3">
        <f t="shared" si="10"/>
        <v>73.868033698292251</v>
      </c>
      <c r="J33" s="7"/>
      <c r="R33" s="13"/>
      <c r="S33" s="12"/>
    </row>
    <row r="34" spans="1:19" ht="15.75" customHeight="1" thickBot="1">
      <c r="A34" s="16">
        <v>31929</v>
      </c>
      <c r="B34" s="14">
        <v>304</v>
      </c>
      <c r="C34" s="3">
        <f t="shared" si="0"/>
        <v>13.899999999999977</v>
      </c>
      <c r="D34" s="3">
        <f t="shared" si="1"/>
        <v>13.899999999999977</v>
      </c>
      <c r="E34" s="3">
        <f t="shared" si="8"/>
        <v>0</v>
      </c>
      <c r="F34" s="3">
        <f t="shared" si="11"/>
        <v>7.0222146701831729</v>
      </c>
      <c r="G34" s="3">
        <f t="shared" si="12"/>
        <v>2.1329790416321104</v>
      </c>
      <c r="H34" s="3">
        <f t="shared" si="9"/>
        <v>3.2922098778851212</v>
      </c>
      <c r="I34" s="3">
        <f t="shared" si="10"/>
        <v>76.701978038112031</v>
      </c>
      <c r="J34" s="7"/>
      <c r="R34" s="13"/>
      <c r="S34" s="12"/>
    </row>
    <row r="35" spans="1:19" ht="15.75" customHeight="1" thickBot="1">
      <c r="A35" s="16">
        <v>31959</v>
      </c>
      <c r="B35" s="14">
        <v>318.66000000000003</v>
      </c>
      <c r="C35" s="3">
        <f t="shared" si="0"/>
        <v>14.660000000000025</v>
      </c>
      <c r="D35" s="3">
        <f t="shared" si="1"/>
        <v>14.660000000000025</v>
      </c>
      <c r="E35" s="3">
        <f t="shared" si="8"/>
        <v>0</v>
      </c>
      <c r="F35" s="3">
        <f t="shared" si="11"/>
        <v>7.5677707651700903</v>
      </c>
      <c r="G35" s="3">
        <f t="shared" si="12"/>
        <v>1.9806233958012454</v>
      </c>
      <c r="H35" s="3">
        <f t="shared" si="9"/>
        <v>3.8209034494963183</v>
      </c>
      <c r="I35" s="3">
        <f t="shared" si="10"/>
        <v>79.257000052459489</v>
      </c>
      <c r="J35" s="7"/>
      <c r="R35" s="13"/>
      <c r="S35" s="12"/>
    </row>
    <row r="36" spans="1:19" ht="15.75" customHeight="1" thickBot="1">
      <c r="A36" s="16">
        <v>31990</v>
      </c>
      <c r="B36" s="14">
        <v>329.8</v>
      </c>
      <c r="C36" s="3">
        <f t="shared" si="0"/>
        <v>11.139999999999986</v>
      </c>
      <c r="D36" s="3">
        <f t="shared" si="1"/>
        <v>11.139999999999986</v>
      </c>
      <c r="E36" s="3">
        <f t="shared" si="8"/>
        <v>0</v>
      </c>
      <c r="F36" s="3">
        <f t="shared" si="11"/>
        <v>7.8229299962293686</v>
      </c>
      <c r="G36" s="3">
        <f t="shared" si="12"/>
        <v>1.8391502961011563</v>
      </c>
      <c r="H36" s="3">
        <f t="shared" si="9"/>
        <v>4.2535566629944936</v>
      </c>
      <c r="I36" s="3">
        <f t="shared" si="10"/>
        <v>80.965276209089055</v>
      </c>
      <c r="J36" s="7"/>
      <c r="R36" s="13"/>
      <c r="S36" s="12"/>
    </row>
    <row r="37" spans="1:19" ht="15.75" customHeight="1" thickBot="1">
      <c r="A37" s="16">
        <v>32021</v>
      </c>
      <c r="B37" s="14">
        <v>321.83</v>
      </c>
      <c r="C37" s="3">
        <f t="shared" si="0"/>
        <v>-7.9700000000000273</v>
      </c>
      <c r="D37" s="3">
        <f t="shared" si="1"/>
        <v>0</v>
      </c>
      <c r="E37" s="3">
        <f t="shared" si="8"/>
        <v>7.9700000000000273</v>
      </c>
      <c r="F37" s="3">
        <f t="shared" si="11"/>
        <v>7.2641492822129852</v>
      </c>
      <c r="G37" s="3">
        <f t="shared" si="12"/>
        <v>2.277068132093933</v>
      </c>
      <c r="H37" s="3">
        <f t="shared" si="9"/>
        <v>3.190132600702229</v>
      </c>
      <c r="I37" s="3">
        <f t="shared" si="10"/>
        <v>76.134406824442522</v>
      </c>
      <c r="R37" s="13"/>
      <c r="S37" s="12"/>
    </row>
    <row r="38" spans="1:19" ht="15.75" customHeight="1" thickBot="1">
      <c r="A38" s="16">
        <v>32051</v>
      </c>
      <c r="B38" s="14">
        <v>251.79</v>
      </c>
      <c r="C38" s="3">
        <f t="shared" ref="C38:C101" si="13">B38-B37</f>
        <v>-70.039999999999992</v>
      </c>
      <c r="D38" s="3">
        <f t="shared" ref="D38:D101" si="14">IF(C38&gt;0,C38,0)</f>
        <v>0</v>
      </c>
      <c r="E38" s="3">
        <f t="shared" ref="E38:E101" si="15">IF(C38&lt;0,-C38,0)</f>
        <v>70.039999999999992</v>
      </c>
      <c r="F38" s="3">
        <f t="shared" ref="F38:F101" si="16">((F37*13)+D38)/14</f>
        <v>6.7452814763406295</v>
      </c>
      <c r="G38" s="3">
        <f t="shared" ref="G38:G101" si="17">((G37*13)+E38)/14</f>
        <v>7.1172775512300808</v>
      </c>
      <c r="H38" s="3">
        <f t="shared" ref="H38:H101" si="18">F38/G38</f>
        <v>0.94773337526718215</v>
      </c>
      <c r="I38" s="3">
        <f t="shared" ref="I38:I101" si="19">IF(G38=0,100,100-(100/(1+H38)))</f>
        <v>48.658270546767007</v>
      </c>
      <c r="R38" s="13"/>
      <c r="S38" s="12"/>
    </row>
    <row r="39" spans="1:19" ht="15.75" customHeight="1" thickBot="1">
      <c r="A39" s="16">
        <v>32082</v>
      </c>
      <c r="B39" s="14">
        <v>230.3</v>
      </c>
      <c r="C39" s="3">
        <f t="shared" si="13"/>
        <v>-21.489999999999981</v>
      </c>
      <c r="D39" s="3">
        <f t="shared" si="14"/>
        <v>0</v>
      </c>
      <c r="E39" s="3">
        <f t="shared" si="15"/>
        <v>21.489999999999981</v>
      </c>
      <c r="F39" s="3">
        <f t="shared" si="16"/>
        <v>6.2634756566020133</v>
      </c>
      <c r="G39" s="3">
        <f t="shared" si="17"/>
        <v>8.1439005832850739</v>
      </c>
      <c r="H39" s="3">
        <f t="shared" si="18"/>
        <v>0.76910021095511238</v>
      </c>
      <c r="I39" s="3">
        <f t="shared" si="19"/>
        <v>43.47408960738781</v>
      </c>
      <c r="R39" s="13"/>
      <c r="S39" s="12"/>
    </row>
    <row r="40" spans="1:19" ht="15.75" customHeight="1" thickBot="1">
      <c r="A40" s="16">
        <v>32112</v>
      </c>
      <c r="B40" s="14">
        <v>247.08</v>
      </c>
      <c r="C40" s="3">
        <f t="shared" si="13"/>
        <v>16.78</v>
      </c>
      <c r="D40" s="3">
        <f t="shared" si="14"/>
        <v>16.78</v>
      </c>
      <c r="E40" s="3">
        <f t="shared" si="15"/>
        <v>0</v>
      </c>
      <c r="F40" s="3">
        <f t="shared" si="16"/>
        <v>7.0146559668447273</v>
      </c>
      <c r="G40" s="3">
        <f t="shared" si="17"/>
        <v>7.5621933987647116</v>
      </c>
      <c r="H40" s="3">
        <f t="shared" si="18"/>
        <v>0.92759542066070078</v>
      </c>
      <c r="I40" s="3">
        <f t="shared" si="19"/>
        <v>48.121893770776808</v>
      </c>
      <c r="R40" s="13"/>
      <c r="S40" s="12"/>
    </row>
    <row r="41" spans="1:19" ht="15.75" customHeight="1" thickBot="1">
      <c r="A41" s="16">
        <v>32143</v>
      </c>
      <c r="B41" s="14">
        <v>257.07</v>
      </c>
      <c r="C41" s="3">
        <f t="shared" si="13"/>
        <v>9.9899999999999807</v>
      </c>
      <c r="D41" s="3">
        <f t="shared" si="14"/>
        <v>9.9899999999999807</v>
      </c>
      <c r="E41" s="3">
        <f t="shared" si="15"/>
        <v>0</v>
      </c>
      <c r="F41" s="3">
        <f t="shared" si="16"/>
        <v>7.2271805406415313</v>
      </c>
      <c r="G41" s="3">
        <f t="shared" si="17"/>
        <v>7.0220367274243758</v>
      </c>
      <c r="H41" s="3">
        <f t="shared" si="18"/>
        <v>1.0292142894120693</v>
      </c>
      <c r="I41" s="3">
        <f t="shared" si="19"/>
        <v>50.719842393297291</v>
      </c>
      <c r="R41" s="13"/>
      <c r="S41" s="12"/>
    </row>
    <row r="42" spans="1:19" ht="15.75" customHeight="1" thickBot="1">
      <c r="A42" s="16">
        <v>32174</v>
      </c>
      <c r="B42" s="14">
        <v>267.82</v>
      </c>
      <c r="C42" s="3">
        <f t="shared" si="13"/>
        <v>10.75</v>
      </c>
      <c r="D42" s="3">
        <f t="shared" si="14"/>
        <v>10.75</v>
      </c>
      <c r="E42" s="3">
        <f t="shared" si="15"/>
        <v>0</v>
      </c>
      <c r="F42" s="3">
        <f t="shared" si="16"/>
        <v>7.4788105020242792</v>
      </c>
      <c r="G42" s="3">
        <f t="shared" si="17"/>
        <v>6.5204626754654926</v>
      </c>
      <c r="H42" s="3">
        <f t="shared" si="18"/>
        <v>1.1469754332257367</v>
      </c>
      <c r="I42" s="3">
        <f t="shared" si="19"/>
        <v>53.422848509377502</v>
      </c>
      <c r="R42" s="13"/>
      <c r="S42" s="12"/>
    </row>
    <row r="43" spans="1:19" ht="15.75" customHeight="1" thickBot="1">
      <c r="A43" s="16">
        <v>32203</v>
      </c>
      <c r="B43" s="14">
        <v>258.89</v>
      </c>
      <c r="C43" s="3">
        <f t="shared" si="13"/>
        <v>-8.9300000000000068</v>
      </c>
      <c r="D43" s="3">
        <f t="shared" si="14"/>
        <v>0</v>
      </c>
      <c r="E43" s="3">
        <f t="shared" si="15"/>
        <v>8.9300000000000068</v>
      </c>
      <c r="F43" s="3">
        <f t="shared" si="16"/>
        <v>6.9446097518796881</v>
      </c>
      <c r="G43" s="3">
        <f t="shared" si="17"/>
        <v>6.6925724843608156</v>
      </c>
      <c r="H43" s="3">
        <f t="shared" si="18"/>
        <v>1.037659251073908</v>
      </c>
      <c r="I43" s="3">
        <f t="shared" si="19"/>
        <v>50.924081174368588</v>
      </c>
      <c r="R43" s="13"/>
      <c r="S43" s="12"/>
    </row>
    <row r="44" spans="1:19" ht="15.75" customHeight="1" thickBot="1">
      <c r="A44" s="16">
        <v>32234</v>
      </c>
      <c r="B44" s="14">
        <v>261.33</v>
      </c>
      <c r="C44" s="3">
        <f t="shared" si="13"/>
        <v>2.4399999999999977</v>
      </c>
      <c r="D44" s="3">
        <f t="shared" si="14"/>
        <v>2.4399999999999977</v>
      </c>
      <c r="E44" s="3">
        <f t="shared" si="15"/>
        <v>0</v>
      </c>
      <c r="F44" s="3">
        <f t="shared" si="16"/>
        <v>6.6228519124597103</v>
      </c>
      <c r="G44" s="3">
        <f t="shared" si="17"/>
        <v>6.2145315926207578</v>
      </c>
      <c r="H44" s="3">
        <f t="shared" si="18"/>
        <v>1.0657041184445499</v>
      </c>
      <c r="I44" s="3">
        <f t="shared" si="19"/>
        <v>51.590356475980315</v>
      </c>
      <c r="R44" s="13"/>
      <c r="S44" s="12"/>
    </row>
    <row r="45" spans="1:19" ht="15.75" customHeight="1" thickBot="1">
      <c r="A45" s="16">
        <v>32264</v>
      </c>
      <c r="B45" s="14">
        <v>262.16000000000003</v>
      </c>
      <c r="C45" s="3">
        <f t="shared" si="13"/>
        <v>0.83000000000004093</v>
      </c>
      <c r="D45" s="3">
        <f t="shared" si="14"/>
        <v>0.83000000000004093</v>
      </c>
      <c r="E45" s="3">
        <f t="shared" si="15"/>
        <v>0</v>
      </c>
      <c r="F45" s="3">
        <f t="shared" si="16"/>
        <v>6.2090767758554488</v>
      </c>
      <c r="G45" s="3">
        <f t="shared" si="17"/>
        <v>5.7706364788621318</v>
      </c>
      <c r="H45" s="3">
        <f t="shared" si="18"/>
        <v>1.0759778056717533</v>
      </c>
      <c r="I45" s="3">
        <f t="shared" si="19"/>
        <v>51.829928178041577</v>
      </c>
      <c r="R45" s="13"/>
      <c r="S45" s="12"/>
    </row>
    <row r="46" spans="1:19" ht="15.75" customHeight="1" thickBot="1">
      <c r="A46" s="16">
        <v>32295</v>
      </c>
      <c r="B46" s="14">
        <v>273.5</v>
      </c>
      <c r="C46" s="3">
        <f t="shared" si="13"/>
        <v>11.339999999999975</v>
      </c>
      <c r="D46" s="3">
        <f t="shared" si="14"/>
        <v>11.339999999999975</v>
      </c>
      <c r="E46" s="3">
        <f t="shared" si="15"/>
        <v>0</v>
      </c>
      <c r="F46" s="3">
        <f t="shared" si="16"/>
        <v>6.5755712918657716</v>
      </c>
      <c r="G46" s="3">
        <f t="shared" si="17"/>
        <v>5.3584481589434088</v>
      </c>
      <c r="H46" s="3">
        <f t="shared" si="18"/>
        <v>1.2271409738080508</v>
      </c>
      <c r="I46" s="3">
        <f t="shared" si="19"/>
        <v>55.099384737636889</v>
      </c>
      <c r="R46" s="13"/>
      <c r="S46" s="12"/>
    </row>
    <row r="47" spans="1:19" ht="15.75" customHeight="1" thickBot="1">
      <c r="A47" s="16">
        <v>32325</v>
      </c>
      <c r="B47" s="14">
        <v>272.02</v>
      </c>
      <c r="C47" s="3">
        <f t="shared" si="13"/>
        <v>-1.4800000000000182</v>
      </c>
      <c r="D47" s="3">
        <f t="shared" si="14"/>
        <v>0</v>
      </c>
      <c r="E47" s="3">
        <f t="shared" si="15"/>
        <v>1.4800000000000182</v>
      </c>
      <c r="F47" s="3">
        <f t="shared" si="16"/>
        <v>6.1058876281610734</v>
      </c>
      <c r="G47" s="3">
        <f t="shared" si="17"/>
        <v>5.0814161475903097</v>
      </c>
      <c r="H47" s="3">
        <f t="shared" si="18"/>
        <v>1.2016114112316081</v>
      </c>
      <c r="I47" s="3">
        <f t="shared" si="19"/>
        <v>54.578723797557544</v>
      </c>
      <c r="R47" s="13"/>
      <c r="S47" s="12"/>
    </row>
    <row r="48" spans="1:19" ht="15.75" customHeight="1" thickBot="1">
      <c r="A48" s="16">
        <v>32356</v>
      </c>
      <c r="B48" s="14">
        <v>261.52</v>
      </c>
      <c r="C48" s="3">
        <f t="shared" si="13"/>
        <v>-10.5</v>
      </c>
      <c r="D48" s="3">
        <f t="shared" si="14"/>
        <v>0</v>
      </c>
      <c r="E48" s="3">
        <f t="shared" si="15"/>
        <v>10.5</v>
      </c>
      <c r="F48" s="3">
        <f t="shared" si="16"/>
        <v>5.6697527975781394</v>
      </c>
      <c r="G48" s="3">
        <f t="shared" si="17"/>
        <v>5.4684578513338593</v>
      </c>
      <c r="H48" s="3">
        <f t="shared" si="18"/>
        <v>1.0368101851960294</v>
      </c>
      <c r="I48" s="3">
        <f t="shared" si="19"/>
        <v>50.903623358317176</v>
      </c>
      <c r="R48" s="13"/>
      <c r="S48" s="12"/>
    </row>
    <row r="49" spans="1:19" ht="15.75" customHeight="1" thickBot="1">
      <c r="A49" s="16">
        <v>32387</v>
      </c>
      <c r="B49" s="14">
        <v>271.91000000000003</v>
      </c>
      <c r="C49" s="3">
        <f t="shared" si="13"/>
        <v>10.390000000000043</v>
      </c>
      <c r="D49" s="3">
        <f t="shared" si="14"/>
        <v>10.390000000000043</v>
      </c>
      <c r="E49" s="3">
        <f t="shared" si="15"/>
        <v>0</v>
      </c>
      <c r="F49" s="3">
        <f t="shared" si="16"/>
        <v>6.0069133120368461</v>
      </c>
      <c r="G49" s="3">
        <f t="shared" si="17"/>
        <v>5.0778537190957262</v>
      </c>
      <c r="H49" s="3">
        <f t="shared" si="18"/>
        <v>1.1829630478419075</v>
      </c>
      <c r="I49" s="3">
        <f t="shared" si="19"/>
        <v>54.190704190407295</v>
      </c>
      <c r="R49" s="13"/>
      <c r="S49" s="12"/>
    </row>
    <row r="50" spans="1:19" ht="15.75" customHeight="1" thickBot="1">
      <c r="A50" s="16">
        <v>32417</v>
      </c>
      <c r="B50" s="14">
        <v>278.97000000000003</v>
      </c>
      <c r="C50" s="3">
        <f t="shared" si="13"/>
        <v>7.0600000000000023</v>
      </c>
      <c r="D50" s="3">
        <f t="shared" si="14"/>
        <v>7.0600000000000023</v>
      </c>
      <c r="E50" s="3">
        <f t="shared" si="15"/>
        <v>0</v>
      </c>
      <c r="F50" s="3">
        <f t="shared" si="16"/>
        <v>6.0821337897484993</v>
      </c>
      <c r="G50" s="3">
        <f t="shared" si="17"/>
        <v>4.7151498820174593</v>
      </c>
      <c r="H50" s="3">
        <f t="shared" si="18"/>
        <v>1.2899131399713113</v>
      </c>
      <c r="I50" s="3">
        <f t="shared" si="19"/>
        <v>56.330221328284608</v>
      </c>
      <c r="R50" s="13"/>
      <c r="S50" s="12"/>
    </row>
    <row r="51" spans="1:19" ht="15.75" customHeight="1" thickBot="1">
      <c r="A51" s="16">
        <v>32448</v>
      </c>
      <c r="B51" s="14">
        <v>273.7</v>
      </c>
      <c r="C51" s="3">
        <f t="shared" si="13"/>
        <v>-5.2700000000000387</v>
      </c>
      <c r="D51" s="3">
        <f t="shared" si="14"/>
        <v>0</v>
      </c>
      <c r="E51" s="3">
        <f t="shared" si="15"/>
        <v>5.2700000000000387</v>
      </c>
      <c r="F51" s="3">
        <f t="shared" si="16"/>
        <v>5.6476956619093199</v>
      </c>
      <c r="G51" s="3">
        <f t="shared" si="17"/>
        <v>4.7547820333019297</v>
      </c>
      <c r="H51" s="3">
        <f t="shared" si="18"/>
        <v>1.1877927573448224</v>
      </c>
      <c r="I51" s="3">
        <f t="shared" si="19"/>
        <v>54.291831498078771</v>
      </c>
      <c r="R51" s="13"/>
      <c r="S51" s="12"/>
    </row>
    <row r="52" spans="1:19" ht="15.75" customHeight="1" thickBot="1">
      <c r="A52" s="16">
        <v>32478</v>
      </c>
      <c r="B52" s="14">
        <v>277.72000000000003</v>
      </c>
      <c r="C52" s="3">
        <f t="shared" si="13"/>
        <v>4.0200000000000387</v>
      </c>
      <c r="D52" s="3">
        <f t="shared" si="14"/>
        <v>4.0200000000000387</v>
      </c>
      <c r="E52" s="3">
        <f t="shared" si="15"/>
        <v>0</v>
      </c>
      <c r="F52" s="3">
        <f t="shared" si="16"/>
        <v>5.5314316860586574</v>
      </c>
      <c r="G52" s="3">
        <f t="shared" si="17"/>
        <v>4.4151547452089348</v>
      </c>
      <c r="H52" s="3">
        <f t="shared" si="18"/>
        <v>1.2528284975880042</v>
      </c>
      <c r="I52" s="3">
        <f t="shared" si="19"/>
        <v>55.611356964338285</v>
      </c>
      <c r="R52" s="13"/>
      <c r="S52" s="12"/>
    </row>
    <row r="53" spans="1:19" ht="15.75" customHeight="1" thickBot="1">
      <c r="A53" s="16">
        <v>32509</v>
      </c>
      <c r="B53" s="14">
        <v>297.47000000000003</v>
      </c>
      <c r="C53" s="3">
        <f t="shared" si="13"/>
        <v>19.75</v>
      </c>
      <c r="D53" s="3">
        <f t="shared" si="14"/>
        <v>19.75</v>
      </c>
      <c r="E53" s="3">
        <f t="shared" si="15"/>
        <v>0</v>
      </c>
      <c r="F53" s="3">
        <f t="shared" si="16"/>
        <v>6.5470437084830388</v>
      </c>
      <c r="G53" s="3">
        <f t="shared" si="17"/>
        <v>4.099786549122582</v>
      </c>
      <c r="H53" s="3">
        <f t="shared" si="18"/>
        <v>1.5969230666128722</v>
      </c>
      <c r="I53" s="3">
        <f t="shared" si="19"/>
        <v>61.492890842381208</v>
      </c>
      <c r="R53" s="13"/>
      <c r="S53" s="12"/>
    </row>
    <row r="54" spans="1:19" ht="15.75" customHeight="1" thickBot="1">
      <c r="A54" s="16">
        <v>32540</v>
      </c>
      <c r="B54" s="14">
        <v>288.86</v>
      </c>
      <c r="C54" s="3">
        <f t="shared" si="13"/>
        <v>-8.6100000000000136</v>
      </c>
      <c r="D54" s="3">
        <f t="shared" si="14"/>
        <v>0</v>
      </c>
      <c r="E54" s="3">
        <f t="shared" si="15"/>
        <v>8.6100000000000136</v>
      </c>
      <c r="F54" s="3">
        <f t="shared" si="16"/>
        <v>6.0793977293056782</v>
      </c>
      <c r="G54" s="3">
        <f t="shared" si="17"/>
        <v>4.4219446527566841</v>
      </c>
      <c r="H54" s="3">
        <f t="shared" si="18"/>
        <v>1.3748244735527664</v>
      </c>
      <c r="I54" s="3">
        <f t="shared" si="19"/>
        <v>57.891624785894685</v>
      </c>
      <c r="R54" s="13"/>
      <c r="S54" s="12"/>
    </row>
    <row r="55" spans="1:19" ht="15.75" customHeight="1" thickBot="1">
      <c r="A55" s="16">
        <v>32568</v>
      </c>
      <c r="B55" s="14">
        <v>294.87</v>
      </c>
      <c r="C55" s="3">
        <f t="shared" si="13"/>
        <v>6.0099999999999909</v>
      </c>
      <c r="D55" s="3">
        <f t="shared" si="14"/>
        <v>6.0099999999999909</v>
      </c>
      <c r="E55" s="3">
        <f t="shared" si="15"/>
        <v>0</v>
      </c>
      <c r="F55" s="3">
        <f t="shared" si="16"/>
        <v>6.0744407486409866</v>
      </c>
      <c r="G55" s="3">
        <f t="shared" si="17"/>
        <v>4.1060914632740637</v>
      </c>
      <c r="H55" s="3">
        <f t="shared" si="18"/>
        <v>1.4793729762165173</v>
      </c>
      <c r="I55" s="3">
        <f t="shared" si="19"/>
        <v>59.667221931006779</v>
      </c>
      <c r="R55" s="13"/>
      <c r="S55" s="12"/>
    </row>
    <row r="56" spans="1:19" ht="15.75" customHeight="1" thickBot="1">
      <c r="A56" s="16">
        <v>32599</v>
      </c>
      <c r="B56" s="14">
        <v>309.64</v>
      </c>
      <c r="C56" s="3">
        <f t="shared" si="13"/>
        <v>14.769999999999982</v>
      </c>
      <c r="D56" s="3">
        <f t="shared" si="14"/>
        <v>14.769999999999982</v>
      </c>
      <c r="E56" s="3">
        <f t="shared" si="15"/>
        <v>0</v>
      </c>
      <c r="F56" s="3">
        <f t="shared" si="16"/>
        <v>6.6955521237380582</v>
      </c>
      <c r="G56" s="3">
        <f t="shared" si="17"/>
        <v>3.8127992158973449</v>
      </c>
      <c r="H56" s="3">
        <f t="shared" si="18"/>
        <v>1.7560725715167917</v>
      </c>
      <c r="I56" s="3">
        <f t="shared" si="19"/>
        <v>63.716485177686934</v>
      </c>
      <c r="R56" s="13"/>
      <c r="S56" s="12"/>
    </row>
    <row r="57" spans="1:19" ht="15.75" customHeight="1" thickBot="1">
      <c r="A57" s="16">
        <v>32629</v>
      </c>
      <c r="B57" s="14">
        <v>320.52</v>
      </c>
      <c r="C57" s="3">
        <f t="shared" si="13"/>
        <v>10.879999999999995</v>
      </c>
      <c r="D57" s="3">
        <f t="shared" si="14"/>
        <v>10.879999999999995</v>
      </c>
      <c r="E57" s="3">
        <f t="shared" si="15"/>
        <v>0</v>
      </c>
      <c r="F57" s="3">
        <f t="shared" si="16"/>
        <v>6.9944412577567681</v>
      </c>
      <c r="G57" s="3">
        <f t="shared" si="17"/>
        <v>3.5404564147618203</v>
      </c>
      <c r="H57" s="3">
        <f t="shared" si="18"/>
        <v>1.9755761513102288</v>
      </c>
      <c r="I57" s="3">
        <f t="shared" si="19"/>
        <v>66.393063085961614</v>
      </c>
      <c r="R57" s="13"/>
      <c r="S57" s="12"/>
    </row>
    <row r="58" spans="1:19" ht="15.75" customHeight="1" thickBot="1">
      <c r="A58" s="16">
        <v>32660</v>
      </c>
      <c r="B58" s="14">
        <v>317.98</v>
      </c>
      <c r="C58" s="3">
        <f t="shared" si="13"/>
        <v>-2.5399999999999636</v>
      </c>
      <c r="D58" s="3">
        <f t="shared" si="14"/>
        <v>0</v>
      </c>
      <c r="E58" s="3">
        <f t="shared" si="15"/>
        <v>2.5399999999999636</v>
      </c>
      <c r="F58" s="3">
        <f t="shared" si="16"/>
        <v>6.4948383107741421</v>
      </c>
      <c r="G58" s="3">
        <f t="shared" si="17"/>
        <v>3.4689952422788304</v>
      </c>
      <c r="H58" s="3">
        <f t="shared" si="18"/>
        <v>1.8722534501106995</v>
      </c>
      <c r="I58" s="3">
        <f t="shared" si="19"/>
        <v>65.18413094911736</v>
      </c>
      <c r="R58" s="13"/>
      <c r="S58" s="12"/>
    </row>
    <row r="59" spans="1:19" ht="15.75" customHeight="1" thickBot="1">
      <c r="A59" s="16">
        <v>32690</v>
      </c>
      <c r="B59" s="14">
        <v>346.08</v>
      </c>
      <c r="C59" s="3">
        <f t="shared" si="13"/>
        <v>28.099999999999966</v>
      </c>
      <c r="D59" s="3">
        <f t="shared" si="14"/>
        <v>28.099999999999966</v>
      </c>
      <c r="E59" s="3">
        <f t="shared" si="15"/>
        <v>0</v>
      </c>
      <c r="F59" s="3">
        <f t="shared" si="16"/>
        <v>8.0380641457188435</v>
      </c>
      <c r="G59" s="3">
        <f t="shared" si="17"/>
        <v>3.2212098678303427</v>
      </c>
      <c r="H59" s="3">
        <f t="shared" si="18"/>
        <v>2.4953556196364537</v>
      </c>
      <c r="I59" s="3">
        <f t="shared" si="19"/>
        <v>71.390607742968129</v>
      </c>
      <c r="R59" s="13"/>
      <c r="S59" s="12"/>
    </row>
    <row r="60" spans="1:19" ht="15.75" customHeight="1" thickBot="1">
      <c r="A60" s="16">
        <v>32721</v>
      </c>
      <c r="B60" s="14">
        <v>351.45</v>
      </c>
      <c r="C60" s="3">
        <f t="shared" si="13"/>
        <v>5.3700000000000045</v>
      </c>
      <c r="D60" s="3">
        <f t="shared" si="14"/>
        <v>5.3700000000000045</v>
      </c>
      <c r="E60" s="3">
        <f t="shared" si="15"/>
        <v>0</v>
      </c>
      <c r="F60" s="3">
        <f t="shared" si="16"/>
        <v>7.8474881353103552</v>
      </c>
      <c r="G60" s="3">
        <f t="shared" si="17"/>
        <v>2.9911234486996037</v>
      </c>
      <c r="H60" s="3">
        <f t="shared" si="18"/>
        <v>2.6235921953412071</v>
      </c>
      <c r="I60" s="3">
        <f t="shared" si="19"/>
        <v>72.40307556447209</v>
      </c>
      <c r="R60" s="13"/>
      <c r="S60" s="12"/>
    </row>
    <row r="61" spans="1:19" ht="15.75" customHeight="1" thickBot="1">
      <c r="A61" s="16">
        <v>32752</v>
      </c>
      <c r="B61" s="14">
        <v>349.15</v>
      </c>
      <c r="C61" s="3">
        <f t="shared" si="13"/>
        <v>-2.3000000000000114</v>
      </c>
      <c r="D61" s="3">
        <f t="shared" si="14"/>
        <v>0</v>
      </c>
      <c r="E61" s="3">
        <f t="shared" si="15"/>
        <v>2.3000000000000114</v>
      </c>
      <c r="F61" s="3">
        <f t="shared" si="16"/>
        <v>7.2869532685024723</v>
      </c>
      <c r="G61" s="3">
        <f t="shared" si="17"/>
        <v>2.941757488078204</v>
      </c>
      <c r="H61" s="3">
        <f t="shared" si="18"/>
        <v>2.4770747752095992</v>
      </c>
      <c r="I61" s="3">
        <f t="shared" si="19"/>
        <v>71.240192844580974</v>
      </c>
      <c r="R61" s="13"/>
      <c r="S61" s="12"/>
    </row>
    <row r="62" spans="1:19" ht="15.75" customHeight="1" thickBot="1">
      <c r="A62" s="16">
        <v>32782</v>
      </c>
      <c r="B62" s="14">
        <v>340.36</v>
      </c>
      <c r="C62" s="3">
        <f t="shared" si="13"/>
        <v>-8.7899999999999636</v>
      </c>
      <c r="D62" s="3">
        <f t="shared" si="14"/>
        <v>0</v>
      </c>
      <c r="E62" s="3">
        <f t="shared" si="15"/>
        <v>8.7899999999999636</v>
      </c>
      <c r="F62" s="3">
        <f t="shared" si="16"/>
        <v>6.7664566064665816</v>
      </c>
      <c r="G62" s="3">
        <f t="shared" si="17"/>
        <v>3.3594890960726151</v>
      </c>
      <c r="H62" s="3">
        <f t="shared" si="18"/>
        <v>2.014132629386074</v>
      </c>
      <c r="I62" s="3">
        <f t="shared" si="19"/>
        <v>66.822959605341509</v>
      </c>
      <c r="R62" s="13"/>
      <c r="S62" s="12"/>
    </row>
    <row r="63" spans="1:19" ht="15.75" customHeight="1" thickBot="1">
      <c r="A63" s="16">
        <v>32813</v>
      </c>
      <c r="B63" s="14">
        <v>345.99</v>
      </c>
      <c r="C63" s="3">
        <f t="shared" si="13"/>
        <v>5.6299999999999955</v>
      </c>
      <c r="D63" s="3">
        <f t="shared" si="14"/>
        <v>5.6299999999999955</v>
      </c>
      <c r="E63" s="3">
        <f t="shared" si="15"/>
        <v>0</v>
      </c>
      <c r="F63" s="3">
        <f t="shared" si="16"/>
        <v>6.685281134576111</v>
      </c>
      <c r="G63" s="3">
        <f t="shared" si="17"/>
        <v>3.1195255892102858</v>
      </c>
      <c r="H63" s="3">
        <f t="shared" si="18"/>
        <v>2.1430441723892071</v>
      </c>
      <c r="I63" s="3">
        <f t="shared" si="19"/>
        <v>68.183711549944803</v>
      </c>
      <c r="R63" s="13"/>
      <c r="S63" s="12"/>
    </row>
    <row r="64" spans="1:19" ht="15.75" customHeight="1" thickBot="1">
      <c r="A64" s="16">
        <v>32843</v>
      </c>
      <c r="B64" s="14">
        <v>353.4</v>
      </c>
      <c r="C64" s="3">
        <f t="shared" si="13"/>
        <v>7.4099999999999682</v>
      </c>
      <c r="D64" s="3">
        <f t="shared" si="14"/>
        <v>7.4099999999999682</v>
      </c>
      <c r="E64" s="3">
        <f t="shared" si="15"/>
        <v>0</v>
      </c>
      <c r="F64" s="3">
        <f t="shared" si="16"/>
        <v>6.7370467678206722</v>
      </c>
      <c r="G64" s="3">
        <f t="shared" si="17"/>
        <v>2.8967023328381223</v>
      </c>
      <c r="H64" s="3">
        <f t="shared" si="18"/>
        <v>2.3257642635375202</v>
      </c>
      <c r="I64" s="3">
        <f t="shared" si="19"/>
        <v>69.931723334583893</v>
      </c>
      <c r="R64" s="13"/>
      <c r="S64" s="12"/>
    </row>
    <row r="65" spans="1:19" ht="15.75" customHeight="1" thickBot="1">
      <c r="A65" s="16">
        <v>32874</v>
      </c>
      <c r="B65" s="14">
        <v>329.08</v>
      </c>
      <c r="C65" s="3">
        <f t="shared" si="13"/>
        <v>-24.319999999999993</v>
      </c>
      <c r="D65" s="3">
        <f t="shared" si="14"/>
        <v>0</v>
      </c>
      <c r="E65" s="3">
        <f t="shared" si="15"/>
        <v>24.319999999999993</v>
      </c>
      <c r="F65" s="3">
        <f t="shared" si="16"/>
        <v>6.2558291415477667</v>
      </c>
      <c r="G65" s="3">
        <f t="shared" si="17"/>
        <v>4.4269378804925417</v>
      </c>
      <c r="H65" s="3">
        <f t="shared" si="18"/>
        <v>1.4131278347307061</v>
      </c>
      <c r="I65" s="3">
        <f t="shared" si="19"/>
        <v>58.560007240080786</v>
      </c>
      <c r="R65" s="13"/>
      <c r="S65" s="12"/>
    </row>
    <row r="66" spans="1:19" ht="15.75" customHeight="1" thickBot="1">
      <c r="A66" s="16">
        <v>32905</v>
      </c>
      <c r="B66" s="14">
        <v>331.89</v>
      </c>
      <c r="C66" s="3">
        <f t="shared" si="13"/>
        <v>2.8100000000000023</v>
      </c>
      <c r="D66" s="3">
        <f t="shared" si="14"/>
        <v>2.8100000000000023</v>
      </c>
      <c r="E66" s="3">
        <f t="shared" si="15"/>
        <v>0</v>
      </c>
      <c r="F66" s="3">
        <f t="shared" si="16"/>
        <v>6.0096984885800691</v>
      </c>
      <c r="G66" s="3">
        <f t="shared" si="17"/>
        <v>4.1107280318859321</v>
      </c>
      <c r="H66" s="3">
        <f t="shared" si="18"/>
        <v>1.4619547783176796</v>
      </c>
      <c r="I66" s="3">
        <f t="shared" si="19"/>
        <v>59.38186969123263</v>
      </c>
      <c r="R66" s="13"/>
      <c r="S66" s="12"/>
    </row>
    <row r="67" spans="1:19" ht="15.75" customHeight="1" thickBot="1">
      <c r="A67" s="16">
        <v>32933</v>
      </c>
      <c r="B67" s="14">
        <v>339.94</v>
      </c>
      <c r="C67" s="3">
        <f t="shared" si="13"/>
        <v>8.0500000000000114</v>
      </c>
      <c r="D67" s="3">
        <f t="shared" si="14"/>
        <v>8.0500000000000114</v>
      </c>
      <c r="E67" s="3">
        <f t="shared" si="15"/>
        <v>0</v>
      </c>
      <c r="F67" s="3">
        <f t="shared" si="16"/>
        <v>6.1554343108243499</v>
      </c>
      <c r="G67" s="3">
        <f t="shared" si="17"/>
        <v>3.8171046010369372</v>
      </c>
      <c r="H67" s="3">
        <f t="shared" si="18"/>
        <v>1.612592515581625</v>
      </c>
      <c r="I67" s="3">
        <f t="shared" si="19"/>
        <v>61.723843498901843</v>
      </c>
      <c r="R67" s="13"/>
      <c r="S67" s="12"/>
    </row>
    <row r="68" spans="1:19" ht="15.75" customHeight="1" thickBot="1">
      <c r="A68" s="16">
        <v>32964</v>
      </c>
      <c r="B68" s="14">
        <v>330.8</v>
      </c>
      <c r="C68" s="3">
        <f t="shared" si="13"/>
        <v>-9.1399999999999864</v>
      </c>
      <c r="D68" s="3">
        <f t="shared" si="14"/>
        <v>0</v>
      </c>
      <c r="E68" s="3">
        <f t="shared" si="15"/>
        <v>9.1399999999999864</v>
      </c>
      <c r="F68" s="3">
        <f t="shared" si="16"/>
        <v>5.7157604314797528</v>
      </c>
      <c r="G68" s="3">
        <f t="shared" si="17"/>
        <v>4.1973114152485831</v>
      </c>
      <c r="H68" s="3">
        <f t="shared" si="18"/>
        <v>1.3617670613418711</v>
      </c>
      <c r="I68" s="3">
        <f t="shared" si="19"/>
        <v>57.658821804728028</v>
      </c>
      <c r="R68" s="13"/>
      <c r="S68" s="12"/>
    </row>
    <row r="69" spans="1:19" ht="15.75" customHeight="1" thickBot="1">
      <c r="A69" s="16">
        <v>32994</v>
      </c>
      <c r="B69" s="14">
        <v>361.23</v>
      </c>
      <c r="C69" s="3">
        <f t="shared" si="13"/>
        <v>30.430000000000007</v>
      </c>
      <c r="D69" s="3">
        <f t="shared" si="14"/>
        <v>30.430000000000007</v>
      </c>
      <c r="E69" s="3">
        <f t="shared" si="15"/>
        <v>0</v>
      </c>
      <c r="F69" s="3">
        <f t="shared" si="16"/>
        <v>7.4810632578026288</v>
      </c>
      <c r="G69" s="3">
        <f t="shared" si="17"/>
        <v>3.8975034570165414</v>
      </c>
      <c r="H69" s="3">
        <f t="shared" si="18"/>
        <v>1.9194500634334852</v>
      </c>
      <c r="I69" s="3">
        <f t="shared" si="19"/>
        <v>65.746973632974999</v>
      </c>
      <c r="R69" s="13"/>
      <c r="S69" s="12"/>
    </row>
    <row r="70" spans="1:19" ht="15.75" customHeight="1" thickBot="1">
      <c r="A70" s="16">
        <v>33025</v>
      </c>
      <c r="B70" s="14">
        <v>358.02</v>
      </c>
      <c r="C70" s="3">
        <f t="shared" si="13"/>
        <v>-3.2100000000000364</v>
      </c>
      <c r="D70" s="3">
        <f t="shared" si="14"/>
        <v>0</v>
      </c>
      <c r="E70" s="3">
        <f t="shared" si="15"/>
        <v>3.2100000000000364</v>
      </c>
      <c r="F70" s="3">
        <f t="shared" si="16"/>
        <v>6.946701596531013</v>
      </c>
      <c r="G70" s="3">
        <f t="shared" si="17"/>
        <v>3.8483960672296482</v>
      </c>
      <c r="H70" s="3">
        <f t="shared" si="18"/>
        <v>1.8050900882277816</v>
      </c>
      <c r="I70" s="3">
        <f t="shared" si="19"/>
        <v>64.350521068940537</v>
      </c>
      <c r="R70" s="13"/>
      <c r="S70" s="12"/>
    </row>
    <row r="71" spans="1:19" ht="15.75" customHeight="1" thickBot="1">
      <c r="A71" s="16">
        <v>33055</v>
      </c>
      <c r="B71" s="14">
        <v>356.15</v>
      </c>
      <c r="C71" s="3">
        <f t="shared" si="13"/>
        <v>-1.8700000000000045</v>
      </c>
      <c r="D71" s="3">
        <f t="shared" si="14"/>
        <v>0</v>
      </c>
      <c r="E71" s="3">
        <f t="shared" si="15"/>
        <v>1.8700000000000045</v>
      </c>
      <c r="F71" s="3">
        <f t="shared" si="16"/>
        <v>6.450508625350226</v>
      </c>
      <c r="G71" s="3">
        <f t="shared" si="17"/>
        <v>3.7070820624275309</v>
      </c>
      <c r="H71" s="3">
        <f t="shared" si="18"/>
        <v>1.740050130189511</v>
      </c>
      <c r="I71" s="3">
        <f t="shared" si="19"/>
        <v>63.504317348718118</v>
      </c>
      <c r="R71" s="13"/>
      <c r="S71" s="12"/>
    </row>
    <row r="72" spans="1:19" ht="15.75" customHeight="1" thickBot="1">
      <c r="A72" s="16">
        <v>33086</v>
      </c>
      <c r="B72" s="14">
        <v>322.56</v>
      </c>
      <c r="C72" s="3">
        <f t="shared" si="13"/>
        <v>-33.589999999999975</v>
      </c>
      <c r="D72" s="3">
        <f t="shared" si="14"/>
        <v>0</v>
      </c>
      <c r="E72" s="3">
        <f t="shared" si="15"/>
        <v>33.589999999999975</v>
      </c>
      <c r="F72" s="3">
        <f t="shared" si="16"/>
        <v>5.9897580092537819</v>
      </c>
      <c r="G72" s="3">
        <f t="shared" si="17"/>
        <v>5.8415762008255632</v>
      </c>
      <c r="H72" s="3">
        <f t="shared" si="18"/>
        <v>1.0253667509134397</v>
      </c>
      <c r="I72" s="3">
        <f t="shared" si="19"/>
        <v>50.626226111937491</v>
      </c>
      <c r="R72" s="13"/>
      <c r="S72" s="12"/>
    </row>
    <row r="73" spans="1:19" ht="15.75" customHeight="1" thickBot="1">
      <c r="A73" s="16">
        <v>33117</v>
      </c>
      <c r="B73" s="14">
        <v>306.05</v>
      </c>
      <c r="C73" s="3">
        <f t="shared" si="13"/>
        <v>-16.509999999999991</v>
      </c>
      <c r="D73" s="3">
        <f t="shared" si="14"/>
        <v>0</v>
      </c>
      <c r="E73" s="3">
        <f t="shared" si="15"/>
        <v>16.509999999999991</v>
      </c>
      <c r="F73" s="3">
        <f t="shared" si="16"/>
        <v>5.5619181514499401</v>
      </c>
      <c r="G73" s="3">
        <f t="shared" si="17"/>
        <v>6.6036064721951657</v>
      </c>
      <c r="H73" s="3">
        <f t="shared" si="18"/>
        <v>0.84225463386843091</v>
      </c>
      <c r="I73" s="3">
        <f t="shared" si="19"/>
        <v>45.718687220768992</v>
      </c>
      <c r="R73" s="13"/>
      <c r="S73" s="12"/>
    </row>
    <row r="74" spans="1:19" ht="15.75" customHeight="1" thickBot="1">
      <c r="A74" s="16">
        <v>33147</v>
      </c>
      <c r="B74" s="14">
        <v>304</v>
      </c>
      <c r="C74" s="3">
        <f t="shared" si="13"/>
        <v>-2.0500000000000114</v>
      </c>
      <c r="D74" s="3">
        <f t="shared" si="14"/>
        <v>0</v>
      </c>
      <c r="E74" s="3">
        <f t="shared" si="15"/>
        <v>2.0500000000000114</v>
      </c>
      <c r="F74" s="3">
        <f t="shared" si="16"/>
        <v>5.1646382834892304</v>
      </c>
      <c r="G74" s="3">
        <f t="shared" si="17"/>
        <v>6.2783488670383685</v>
      </c>
      <c r="H74" s="3">
        <f t="shared" si="18"/>
        <v>0.82261091138210363</v>
      </c>
      <c r="I74" s="3">
        <f t="shared" si="19"/>
        <v>45.133654486810336</v>
      </c>
      <c r="R74" s="13"/>
      <c r="S74" s="12"/>
    </row>
    <row r="75" spans="1:19" ht="15.75" customHeight="1" thickBot="1">
      <c r="A75" s="16">
        <v>33178</v>
      </c>
      <c r="B75" s="14">
        <v>322.22000000000003</v>
      </c>
      <c r="C75" s="3">
        <f t="shared" si="13"/>
        <v>18.220000000000027</v>
      </c>
      <c r="D75" s="3">
        <f t="shared" si="14"/>
        <v>18.220000000000027</v>
      </c>
      <c r="E75" s="3">
        <f t="shared" si="15"/>
        <v>0</v>
      </c>
      <c r="F75" s="3">
        <f t="shared" si="16"/>
        <v>6.0971641203828586</v>
      </c>
      <c r="G75" s="3">
        <f t="shared" si="17"/>
        <v>5.8298953765356272</v>
      </c>
      <c r="H75" s="3">
        <f t="shared" si="18"/>
        <v>1.0458445180548084</v>
      </c>
      <c r="I75" s="3">
        <f t="shared" si="19"/>
        <v>51.120430160997707</v>
      </c>
      <c r="R75" s="13"/>
      <c r="S75" s="12"/>
    </row>
    <row r="76" spans="1:19" ht="15.75" customHeight="1" thickBot="1">
      <c r="A76" s="16">
        <v>33208</v>
      </c>
      <c r="B76" s="14">
        <v>330.22</v>
      </c>
      <c r="C76" s="3">
        <f t="shared" si="13"/>
        <v>8</v>
      </c>
      <c r="D76" s="3">
        <f t="shared" si="14"/>
        <v>8</v>
      </c>
      <c r="E76" s="3">
        <f t="shared" si="15"/>
        <v>0</v>
      </c>
      <c r="F76" s="3">
        <f t="shared" si="16"/>
        <v>6.2330809689269406</v>
      </c>
      <c r="G76" s="3">
        <f t="shared" si="17"/>
        <v>5.4134742782116536</v>
      </c>
      <c r="H76" s="3">
        <f t="shared" si="18"/>
        <v>1.1514012348805405</v>
      </c>
      <c r="I76" s="3">
        <f t="shared" si="19"/>
        <v>53.518665705538361</v>
      </c>
      <c r="R76" s="13"/>
      <c r="S76" s="12"/>
    </row>
    <row r="77" spans="1:19" ht="15.75" customHeight="1" thickBot="1">
      <c r="A77" s="16">
        <v>33239</v>
      </c>
      <c r="B77" s="14">
        <v>343.93</v>
      </c>
      <c r="C77" s="3">
        <f t="shared" si="13"/>
        <v>13.70999999999998</v>
      </c>
      <c r="D77" s="3">
        <f t="shared" si="14"/>
        <v>13.70999999999998</v>
      </c>
      <c r="E77" s="3">
        <f t="shared" si="15"/>
        <v>0</v>
      </c>
      <c r="F77" s="3">
        <f t="shared" si="16"/>
        <v>6.7671466140035861</v>
      </c>
      <c r="G77" s="3">
        <f t="shared" si="17"/>
        <v>5.0267975440536787</v>
      </c>
      <c r="H77" s="3">
        <f t="shared" si="18"/>
        <v>1.3462142755298765</v>
      </c>
      <c r="I77" s="3">
        <f t="shared" si="19"/>
        <v>57.378146982156743</v>
      </c>
      <c r="R77" s="13"/>
      <c r="S77" s="12"/>
    </row>
    <row r="78" spans="1:19" ht="15.75" customHeight="1" thickBot="1">
      <c r="A78" s="16">
        <v>33270</v>
      </c>
      <c r="B78" s="14">
        <v>367.07</v>
      </c>
      <c r="C78" s="3">
        <f t="shared" si="13"/>
        <v>23.139999999999986</v>
      </c>
      <c r="D78" s="3">
        <f t="shared" si="14"/>
        <v>23.139999999999986</v>
      </c>
      <c r="E78" s="3">
        <f t="shared" si="15"/>
        <v>0</v>
      </c>
      <c r="F78" s="3">
        <f t="shared" si="16"/>
        <v>7.9366361415747582</v>
      </c>
      <c r="G78" s="3">
        <f t="shared" si="17"/>
        <v>4.6677405766212727</v>
      </c>
      <c r="H78" s="3">
        <f t="shared" si="18"/>
        <v>1.7003164617429669</v>
      </c>
      <c r="I78" s="3">
        <f t="shared" si="19"/>
        <v>62.967303493216036</v>
      </c>
      <c r="R78" s="13"/>
      <c r="S78" s="12"/>
    </row>
    <row r="79" spans="1:19" ht="15.75" customHeight="1" thickBot="1">
      <c r="A79" s="16">
        <v>33298</v>
      </c>
      <c r="B79" s="14">
        <v>375.22</v>
      </c>
      <c r="C79" s="3">
        <f t="shared" si="13"/>
        <v>8.1500000000000341</v>
      </c>
      <c r="D79" s="3">
        <f t="shared" si="14"/>
        <v>8.1500000000000341</v>
      </c>
      <c r="E79" s="3">
        <f t="shared" si="15"/>
        <v>0</v>
      </c>
      <c r="F79" s="3">
        <f t="shared" si="16"/>
        <v>7.9518764171765639</v>
      </c>
      <c r="G79" s="3">
        <f t="shared" si="17"/>
        <v>4.3343305354340389</v>
      </c>
      <c r="H79" s="3">
        <f t="shared" si="18"/>
        <v>1.83462621324524</v>
      </c>
      <c r="I79" s="3">
        <f t="shared" si="19"/>
        <v>64.721980085863123</v>
      </c>
      <c r="R79" s="13"/>
      <c r="S79" s="12"/>
    </row>
    <row r="80" spans="1:19" ht="15.75" customHeight="1" thickBot="1">
      <c r="A80" s="16">
        <v>33329</v>
      </c>
      <c r="B80" s="14">
        <v>375.34</v>
      </c>
      <c r="C80" s="3">
        <f t="shared" si="13"/>
        <v>0.1199999999999477</v>
      </c>
      <c r="D80" s="3">
        <f t="shared" si="14"/>
        <v>0.1199999999999477</v>
      </c>
      <c r="E80" s="3">
        <f t="shared" si="15"/>
        <v>0</v>
      </c>
      <c r="F80" s="3">
        <f t="shared" si="16"/>
        <v>7.3924566730925196</v>
      </c>
      <c r="G80" s="3">
        <f t="shared" si="17"/>
        <v>4.0247354971887503</v>
      </c>
      <c r="H80" s="3">
        <f t="shared" si="18"/>
        <v>1.8367559006687766</v>
      </c>
      <c r="I80" s="3">
        <f t="shared" si="19"/>
        <v>64.748464971404616</v>
      </c>
      <c r="R80" s="13"/>
      <c r="S80" s="12"/>
    </row>
    <row r="81" spans="1:19" ht="15.75" customHeight="1" thickBot="1">
      <c r="A81" s="16">
        <v>33359</v>
      </c>
      <c r="B81" s="14">
        <v>389.83</v>
      </c>
      <c r="C81" s="3">
        <f t="shared" si="13"/>
        <v>14.490000000000009</v>
      </c>
      <c r="D81" s="3">
        <f t="shared" si="14"/>
        <v>14.490000000000009</v>
      </c>
      <c r="E81" s="3">
        <f t="shared" si="15"/>
        <v>0</v>
      </c>
      <c r="F81" s="3">
        <f t="shared" si="16"/>
        <v>7.8994240535859115</v>
      </c>
      <c r="G81" s="3">
        <f t="shared" si="17"/>
        <v>3.7372543902466968</v>
      </c>
      <c r="H81" s="3">
        <f t="shared" si="18"/>
        <v>2.1136971767834272</v>
      </c>
      <c r="I81" s="3">
        <f t="shared" si="19"/>
        <v>67.883838946951172</v>
      </c>
      <c r="R81" s="13"/>
      <c r="S81" s="12"/>
    </row>
    <row r="82" spans="1:19" ht="15.75" customHeight="1" thickBot="1">
      <c r="A82" s="16">
        <v>33390</v>
      </c>
      <c r="B82" s="14">
        <v>371.16</v>
      </c>
      <c r="C82" s="3">
        <f t="shared" si="13"/>
        <v>-18.669999999999959</v>
      </c>
      <c r="D82" s="3">
        <f t="shared" si="14"/>
        <v>0</v>
      </c>
      <c r="E82" s="3">
        <f t="shared" si="15"/>
        <v>18.669999999999959</v>
      </c>
      <c r="F82" s="3">
        <f t="shared" si="16"/>
        <v>7.335179478329775</v>
      </c>
      <c r="G82" s="3">
        <f t="shared" si="17"/>
        <v>4.803879076657644</v>
      </c>
      <c r="H82" s="3">
        <f t="shared" si="18"/>
        <v>1.5269284179054134</v>
      </c>
      <c r="I82" s="3">
        <f t="shared" si="19"/>
        <v>60.426263248528969</v>
      </c>
      <c r="R82" s="13"/>
      <c r="S82" s="12"/>
    </row>
    <row r="83" spans="1:19" ht="15.75" customHeight="1" thickBot="1">
      <c r="A83" s="16">
        <v>33420</v>
      </c>
      <c r="B83" s="14">
        <v>387.81</v>
      </c>
      <c r="C83" s="3">
        <f t="shared" si="13"/>
        <v>16.649999999999977</v>
      </c>
      <c r="D83" s="3">
        <f t="shared" si="14"/>
        <v>16.649999999999977</v>
      </c>
      <c r="E83" s="3">
        <f t="shared" si="15"/>
        <v>0</v>
      </c>
      <c r="F83" s="3">
        <f t="shared" si="16"/>
        <v>8.000523801306219</v>
      </c>
      <c r="G83" s="3">
        <f t="shared" si="17"/>
        <v>4.4607448568963841</v>
      </c>
      <c r="H83" s="3">
        <f t="shared" si="18"/>
        <v>1.7935398813355754</v>
      </c>
      <c r="I83" s="3">
        <f t="shared" si="19"/>
        <v>64.203124262471391</v>
      </c>
      <c r="R83" s="13"/>
      <c r="S83" s="12"/>
    </row>
    <row r="84" spans="1:19" ht="15.75" customHeight="1" thickBot="1">
      <c r="A84" s="16">
        <v>33451</v>
      </c>
      <c r="B84" s="14">
        <v>395.43</v>
      </c>
      <c r="C84" s="3">
        <f t="shared" si="13"/>
        <v>7.6200000000000045</v>
      </c>
      <c r="D84" s="3">
        <f t="shared" si="14"/>
        <v>7.6200000000000045</v>
      </c>
      <c r="E84" s="3">
        <f t="shared" si="15"/>
        <v>0</v>
      </c>
      <c r="F84" s="3">
        <f t="shared" si="16"/>
        <v>7.973343529784346</v>
      </c>
      <c r="G84" s="3">
        <f t="shared" si="17"/>
        <v>4.1421202242609283</v>
      </c>
      <c r="H84" s="3">
        <f t="shared" si="18"/>
        <v>1.9249425651827903</v>
      </c>
      <c r="I84" s="3">
        <f t="shared" si="19"/>
        <v>65.811294488187457</v>
      </c>
      <c r="R84" s="13"/>
      <c r="S84" s="12"/>
    </row>
    <row r="85" spans="1:19" ht="15.75" customHeight="1" thickBot="1">
      <c r="A85" s="16">
        <v>33482</v>
      </c>
      <c r="B85" s="14">
        <v>387.86</v>
      </c>
      <c r="C85" s="3">
        <f t="shared" si="13"/>
        <v>-7.5699999999999932</v>
      </c>
      <c r="D85" s="3">
        <f t="shared" si="14"/>
        <v>0</v>
      </c>
      <c r="E85" s="3">
        <f t="shared" si="15"/>
        <v>7.5699999999999932</v>
      </c>
      <c r="F85" s="3">
        <f t="shared" si="16"/>
        <v>7.4038189919426074</v>
      </c>
      <c r="G85" s="3">
        <f t="shared" si="17"/>
        <v>4.3869687796708616</v>
      </c>
      <c r="H85" s="3">
        <f t="shared" si="18"/>
        <v>1.6876844499673165</v>
      </c>
      <c r="I85" s="3">
        <f t="shared" si="19"/>
        <v>62.793251268311636</v>
      </c>
      <c r="R85" s="13"/>
      <c r="S85" s="12"/>
    </row>
    <row r="86" spans="1:19" ht="15.75" customHeight="1" thickBot="1">
      <c r="A86" s="16">
        <v>33512</v>
      </c>
      <c r="B86" s="14">
        <v>392.45</v>
      </c>
      <c r="C86" s="3">
        <f t="shared" si="13"/>
        <v>4.589999999999975</v>
      </c>
      <c r="D86" s="3">
        <f t="shared" si="14"/>
        <v>4.589999999999975</v>
      </c>
      <c r="E86" s="3">
        <f t="shared" si="15"/>
        <v>0</v>
      </c>
      <c r="F86" s="3">
        <f t="shared" si="16"/>
        <v>7.2028319210895626</v>
      </c>
      <c r="G86" s="3">
        <f t="shared" si="17"/>
        <v>4.0736138668372286</v>
      </c>
      <c r="H86" s="3">
        <f t="shared" si="18"/>
        <v>1.7681675673109079</v>
      </c>
      <c r="I86" s="3">
        <f t="shared" si="19"/>
        <v>63.875019279579448</v>
      </c>
      <c r="R86" s="13"/>
      <c r="S86" s="12"/>
    </row>
    <row r="87" spans="1:19" ht="15.75" customHeight="1" thickBot="1">
      <c r="A87" s="16">
        <v>33543</v>
      </c>
      <c r="B87" s="14">
        <v>375.22</v>
      </c>
      <c r="C87" s="3">
        <f t="shared" si="13"/>
        <v>-17.229999999999961</v>
      </c>
      <c r="D87" s="3">
        <f t="shared" si="14"/>
        <v>0</v>
      </c>
      <c r="E87" s="3">
        <f t="shared" si="15"/>
        <v>17.229999999999961</v>
      </c>
      <c r="F87" s="3">
        <f t="shared" si="16"/>
        <v>6.6883439267260218</v>
      </c>
      <c r="G87" s="3">
        <f t="shared" si="17"/>
        <v>5.0133557334917089</v>
      </c>
      <c r="H87" s="3">
        <f t="shared" si="18"/>
        <v>1.3341051946592497</v>
      </c>
      <c r="I87" s="3">
        <f t="shared" si="19"/>
        <v>57.157029499435758</v>
      </c>
      <c r="R87" s="13"/>
      <c r="S87" s="12"/>
    </row>
    <row r="88" spans="1:19" ht="15.75" customHeight="1" thickBot="1">
      <c r="A88" s="16">
        <v>33573</v>
      </c>
      <c r="B88" s="14">
        <v>417.09</v>
      </c>
      <c r="C88" s="3">
        <f t="shared" si="13"/>
        <v>41.869999999999948</v>
      </c>
      <c r="D88" s="3">
        <f t="shared" si="14"/>
        <v>41.869999999999948</v>
      </c>
      <c r="E88" s="3">
        <f t="shared" si="15"/>
        <v>0</v>
      </c>
      <c r="F88" s="3">
        <f t="shared" si="16"/>
        <v>9.2013193605313024</v>
      </c>
      <c r="G88" s="3">
        <f t="shared" si="17"/>
        <v>4.6552588953851588</v>
      </c>
      <c r="H88" s="3">
        <f t="shared" si="18"/>
        <v>1.9765429952032818</v>
      </c>
      <c r="I88" s="3">
        <f t="shared" si="19"/>
        <v>66.403979327310026</v>
      </c>
      <c r="R88" s="13"/>
      <c r="S88" s="12"/>
    </row>
    <row r="89" spans="1:19" ht="15.75" customHeight="1" thickBot="1">
      <c r="A89" s="16">
        <v>33604</v>
      </c>
      <c r="B89" s="14">
        <v>408.78</v>
      </c>
      <c r="C89" s="3">
        <f t="shared" si="13"/>
        <v>-8.3100000000000023</v>
      </c>
      <c r="D89" s="3">
        <f t="shared" si="14"/>
        <v>0</v>
      </c>
      <c r="E89" s="3">
        <f t="shared" si="15"/>
        <v>8.3100000000000023</v>
      </c>
      <c r="F89" s="3">
        <f t="shared" si="16"/>
        <v>8.5440822633504947</v>
      </c>
      <c r="G89" s="3">
        <f t="shared" si="17"/>
        <v>4.9163118314290761</v>
      </c>
      <c r="H89" s="3">
        <f t="shared" si="18"/>
        <v>1.7379048677770499</v>
      </c>
      <c r="I89" s="3">
        <f t="shared" si="19"/>
        <v>63.475721462451084</v>
      </c>
      <c r="R89" s="13"/>
      <c r="S89" s="12"/>
    </row>
    <row r="90" spans="1:19" ht="15.75" customHeight="1" thickBot="1">
      <c r="A90" s="16">
        <v>33635</v>
      </c>
      <c r="B90" s="14">
        <v>412.7</v>
      </c>
      <c r="C90" s="3">
        <f t="shared" si="13"/>
        <v>3.9200000000000159</v>
      </c>
      <c r="D90" s="3">
        <f t="shared" si="14"/>
        <v>3.9200000000000159</v>
      </c>
      <c r="E90" s="3">
        <f t="shared" si="15"/>
        <v>0</v>
      </c>
      <c r="F90" s="3">
        <f t="shared" si="16"/>
        <v>8.2137906731111752</v>
      </c>
      <c r="G90" s="3">
        <f t="shared" si="17"/>
        <v>4.5651467006127131</v>
      </c>
      <c r="H90" s="3">
        <f t="shared" si="18"/>
        <v>1.7992391508489218</v>
      </c>
      <c r="I90" s="3">
        <f t="shared" si="19"/>
        <v>64.276006939359533</v>
      </c>
      <c r="R90" s="13"/>
      <c r="S90" s="12"/>
    </row>
    <row r="91" spans="1:19" ht="15.75" customHeight="1" thickBot="1">
      <c r="A91" s="16">
        <v>33664</v>
      </c>
      <c r="B91" s="14">
        <v>403.69</v>
      </c>
      <c r="C91" s="3">
        <f t="shared" si="13"/>
        <v>-9.0099999999999909</v>
      </c>
      <c r="D91" s="3">
        <f t="shared" si="14"/>
        <v>0</v>
      </c>
      <c r="E91" s="3">
        <f t="shared" si="15"/>
        <v>9.0099999999999909</v>
      </c>
      <c r="F91" s="3">
        <f t="shared" si="16"/>
        <v>7.627091339317519</v>
      </c>
      <c r="G91" s="3">
        <f t="shared" si="17"/>
        <v>4.8826362219975197</v>
      </c>
      <c r="H91" s="3">
        <f t="shared" si="18"/>
        <v>1.5620847002599805</v>
      </c>
      <c r="I91" s="3">
        <f t="shared" si="19"/>
        <v>60.969284118572354</v>
      </c>
      <c r="R91" s="13"/>
      <c r="S91" s="12"/>
    </row>
    <row r="92" spans="1:19" ht="15.75" customHeight="1" thickBot="1">
      <c r="A92" s="16">
        <v>33695</v>
      </c>
      <c r="B92" s="14">
        <v>414.95</v>
      </c>
      <c r="C92" s="3">
        <f t="shared" si="13"/>
        <v>11.259999999999991</v>
      </c>
      <c r="D92" s="3">
        <f t="shared" si="14"/>
        <v>11.259999999999991</v>
      </c>
      <c r="E92" s="3">
        <f t="shared" si="15"/>
        <v>0</v>
      </c>
      <c r="F92" s="3">
        <f t="shared" si="16"/>
        <v>7.8865848150805524</v>
      </c>
      <c r="G92" s="3">
        <f t="shared" si="17"/>
        <v>4.5338764918548398</v>
      </c>
      <c r="H92" s="3">
        <f t="shared" si="18"/>
        <v>1.7394794122091528</v>
      </c>
      <c r="I92" s="3">
        <f t="shared" si="19"/>
        <v>63.496714173384255</v>
      </c>
      <c r="R92" s="13"/>
      <c r="S92" s="12"/>
    </row>
    <row r="93" spans="1:19" ht="15.75" customHeight="1" thickBot="1">
      <c r="A93" s="16">
        <v>33725</v>
      </c>
      <c r="B93" s="14">
        <v>415.35</v>
      </c>
      <c r="C93" s="3">
        <f t="shared" si="13"/>
        <v>0.40000000000003411</v>
      </c>
      <c r="D93" s="3">
        <f t="shared" si="14"/>
        <v>0.40000000000003411</v>
      </c>
      <c r="E93" s="3">
        <f t="shared" si="15"/>
        <v>0</v>
      </c>
      <c r="F93" s="3">
        <f t="shared" si="16"/>
        <v>7.351828756860515</v>
      </c>
      <c r="G93" s="3">
        <f t="shared" si="17"/>
        <v>4.2100281710080649</v>
      </c>
      <c r="H93" s="3">
        <f t="shared" si="18"/>
        <v>1.7462659294035474</v>
      </c>
      <c r="I93" s="3">
        <f t="shared" si="19"/>
        <v>63.586920359996356</v>
      </c>
      <c r="R93" s="13"/>
      <c r="S93" s="12"/>
    </row>
    <row r="94" spans="1:19" ht="15.75" customHeight="1" thickBot="1">
      <c r="A94" s="16">
        <v>33756</v>
      </c>
      <c r="B94" s="14">
        <v>408.14</v>
      </c>
      <c r="C94" s="3">
        <f t="shared" si="13"/>
        <v>-7.2100000000000364</v>
      </c>
      <c r="D94" s="3">
        <f t="shared" si="14"/>
        <v>0</v>
      </c>
      <c r="E94" s="3">
        <f t="shared" si="15"/>
        <v>7.2100000000000364</v>
      </c>
      <c r="F94" s="3">
        <f t="shared" si="16"/>
        <v>6.8266981313704784</v>
      </c>
      <c r="G94" s="3">
        <f t="shared" si="17"/>
        <v>4.4243118730789197</v>
      </c>
      <c r="H94" s="3">
        <f t="shared" si="18"/>
        <v>1.5429965895735365</v>
      </c>
      <c r="I94" s="3">
        <f t="shared" si="19"/>
        <v>60.676313759126934</v>
      </c>
      <c r="R94" s="13"/>
      <c r="S94" s="12"/>
    </row>
    <row r="95" spans="1:19" ht="15.75" customHeight="1" thickBot="1">
      <c r="A95" s="16">
        <v>33786</v>
      </c>
      <c r="B95" s="14">
        <v>424.21</v>
      </c>
      <c r="C95" s="3">
        <f t="shared" si="13"/>
        <v>16.069999999999993</v>
      </c>
      <c r="D95" s="3">
        <f t="shared" si="14"/>
        <v>16.069999999999993</v>
      </c>
      <c r="E95" s="3">
        <f t="shared" si="15"/>
        <v>0</v>
      </c>
      <c r="F95" s="3">
        <f t="shared" si="16"/>
        <v>7.4869339791297298</v>
      </c>
      <c r="G95" s="3">
        <f t="shared" si="17"/>
        <v>4.1082895964304251</v>
      </c>
      <c r="H95" s="3">
        <f t="shared" si="18"/>
        <v>1.8223968401923059</v>
      </c>
      <c r="I95" s="3">
        <f t="shared" si="19"/>
        <v>64.569121331220586</v>
      </c>
      <c r="R95" s="13"/>
      <c r="S95" s="12"/>
    </row>
    <row r="96" spans="1:19" ht="15.75" customHeight="1" thickBot="1">
      <c r="A96" s="16">
        <v>33817</v>
      </c>
      <c r="B96" s="14">
        <v>414.03</v>
      </c>
      <c r="C96" s="3">
        <f t="shared" si="13"/>
        <v>-10.180000000000007</v>
      </c>
      <c r="D96" s="3">
        <f t="shared" si="14"/>
        <v>0</v>
      </c>
      <c r="E96" s="3">
        <f t="shared" si="15"/>
        <v>10.180000000000007</v>
      </c>
      <c r="F96" s="3">
        <f t="shared" si="16"/>
        <v>6.9521529806204629</v>
      </c>
      <c r="G96" s="3">
        <f t="shared" si="17"/>
        <v>4.5419831966853952</v>
      </c>
      <c r="H96" s="3">
        <f t="shared" si="18"/>
        <v>1.5306426024856143</v>
      </c>
      <c r="I96" s="3">
        <f t="shared" si="19"/>
        <v>60.48434500321013</v>
      </c>
      <c r="R96" s="13"/>
      <c r="S96" s="12"/>
    </row>
    <row r="97" spans="1:19" ht="15.75" customHeight="1" thickBot="1">
      <c r="A97" s="16">
        <v>33848</v>
      </c>
      <c r="B97" s="14">
        <v>417.8</v>
      </c>
      <c r="C97" s="3">
        <f t="shared" si="13"/>
        <v>3.7700000000000387</v>
      </c>
      <c r="D97" s="3">
        <f t="shared" si="14"/>
        <v>3.7700000000000387</v>
      </c>
      <c r="E97" s="3">
        <f t="shared" si="15"/>
        <v>0</v>
      </c>
      <c r="F97" s="3">
        <f t="shared" si="16"/>
        <v>6.7248563391475757</v>
      </c>
      <c r="G97" s="3">
        <f t="shared" si="17"/>
        <v>4.217555825493581</v>
      </c>
      <c r="H97" s="3">
        <f t="shared" si="18"/>
        <v>1.5944913635756239</v>
      </c>
      <c r="I97" s="3">
        <f t="shared" si="19"/>
        <v>61.456799816753289</v>
      </c>
      <c r="R97" s="13"/>
      <c r="S97" s="12"/>
    </row>
    <row r="98" spans="1:19" ht="15.75" customHeight="1" thickBot="1">
      <c r="A98" s="16">
        <v>33878</v>
      </c>
      <c r="B98" s="14">
        <v>418.68</v>
      </c>
      <c r="C98" s="3">
        <f t="shared" si="13"/>
        <v>0.87999999999999545</v>
      </c>
      <c r="D98" s="3">
        <f t="shared" si="14"/>
        <v>0.87999999999999545</v>
      </c>
      <c r="E98" s="3">
        <f t="shared" si="15"/>
        <v>0</v>
      </c>
      <c r="F98" s="3">
        <f t="shared" si="16"/>
        <v>6.3073666006370344</v>
      </c>
      <c r="G98" s="3">
        <f t="shared" si="17"/>
        <v>3.9163018379583252</v>
      </c>
      <c r="H98" s="3">
        <f t="shared" si="18"/>
        <v>1.6105414908277949</v>
      </c>
      <c r="I98" s="3">
        <f t="shared" si="19"/>
        <v>61.693771061922369</v>
      </c>
      <c r="R98" s="13"/>
      <c r="S98" s="12"/>
    </row>
    <row r="99" spans="1:19" ht="15.75" customHeight="1" thickBot="1">
      <c r="A99" s="16">
        <v>33909</v>
      </c>
      <c r="B99" s="14">
        <v>431.35</v>
      </c>
      <c r="C99" s="3">
        <f t="shared" si="13"/>
        <v>12.670000000000016</v>
      </c>
      <c r="D99" s="3">
        <f t="shared" si="14"/>
        <v>12.670000000000016</v>
      </c>
      <c r="E99" s="3">
        <f t="shared" si="15"/>
        <v>0</v>
      </c>
      <c r="F99" s="3">
        <f t="shared" si="16"/>
        <v>6.7618404148772475</v>
      </c>
      <c r="G99" s="3">
        <f t="shared" si="17"/>
        <v>3.6365659923898734</v>
      </c>
      <c r="H99" s="3">
        <f t="shared" si="18"/>
        <v>1.8594026422255328</v>
      </c>
      <c r="I99" s="3">
        <f t="shared" si="19"/>
        <v>65.027660489895908</v>
      </c>
      <c r="R99" s="13"/>
      <c r="S99" s="12"/>
    </row>
    <row r="100" spans="1:19" ht="15.75" customHeight="1" thickBot="1">
      <c r="A100" s="16">
        <v>33939</v>
      </c>
      <c r="B100" s="14">
        <v>435.71</v>
      </c>
      <c r="C100" s="3">
        <f t="shared" si="13"/>
        <v>4.3599999999999568</v>
      </c>
      <c r="D100" s="3">
        <f t="shared" si="14"/>
        <v>4.3599999999999568</v>
      </c>
      <c r="E100" s="3">
        <f t="shared" si="15"/>
        <v>0</v>
      </c>
      <c r="F100" s="3">
        <f t="shared" si="16"/>
        <v>6.5902803852431555</v>
      </c>
      <c r="G100" s="3">
        <f t="shared" si="17"/>
        <v>3.3768112786477396</v>
      </c>
      <c r="H100" s="3">
        <f t="shared" si="18"/>
        <v>1.951628279292607</v>
      </c>
      <c r="I100" s="3">
        <f t="shared" si="19"/>
        <v>66.120395070897558</v>
      </c>
      <c r="R100" s="13"/>
      <c r="S100" s="12"/>
    </row>
    <row r="101" spans="1:19" ht="15.75" customHeight="1" thickBot="1">
      <c r="A101" s="16">
        <v>33970</v>
      </c>
      <c r="B101" s="14">
        <v>438.78</v>
      </c>
      <c r="C101" s="3">
        <f t="shared" si="13"/>
        <v>3.0699999999999932</v>
      </c>
      <c r="D101" s="3">
        <f t="shared" si="14"/>
        <v>3.0699999999999932</v>
      </c>
      <c r="E101" s="3">
        <f t="shared" si="15"/>
        <v>0</v>
      </c>
      <c r="F101" s="3">
        <f t="shared" si="16"/>
        <v>6.3388317862972148</v>
      </c>
      <c r="G101" s="3">
        <f t="shared" si="17"/>
        <v>3.1356104730300438</v>
      </c>
      <c r="H101" s="3">
        <f t="shared" si="18"/>
        <v>2.0215622574355647</v>
      </c>
      <c r="I101" s="3">
        <f t="shared" si="19"/>
        <v>66.904537626548461</v>
      </c>
      <c r="R101" s="13"/>
      <c r="S101" s="12"/>
    </row>
    <row r="102" spans="1:19" ht="15.75" customHeight="1" thickBot="1">
      <c r="A102" s="16">
        <v>34001</v>
      </c>
      <c r="B102" s="14">
        <v>443.38</v>
      </c>
      <c r="C102" s="3">
        <f t="shared" ref="C102:C106" si="20">B102-B101</f>
        <v>4.6000000000000227</v>
      </c>
      <c r="D102" s="3">
        <f t="shared" ref="D102:D165" si="21">IF(C102&gt;0,C102,0)</f>
        <v>4.6000000000000227</v>
      </c>
      <c r="E102" s="3">
        <f t="shared" ref="E102:E165" si="22">IF(C102&lt;0,-C102,0)</f>
        <v>0</v>
      </c>
      <c r="F102" s="3">
        <f t="shared" ref="F102:F165" si="23">((F101*13)+D102)/14</f>
        <v>6.214629515847415</v>
      </c>
      <c r="G102" s="3">
        <f t="shared" ref="G102:G165" si="24">((G101*13)+E102)/14</f>
        <v>2.9116382963850405</v>
      </c>
      <c r="H102" s="3">
        <f t="shared" ref="H102:H165" si="25">F102/G102</f>
        <v>2.1344098693725866</v>
      </c>
      <c r="I102" s="3">
        <f t="shared" ref="I102:I165" si="26">IF(G102=0,100,100-(100/(1+H102)))</f>
        <v>68.096067787070567</v>
      </c>
      <c r="R102" s="13"/>
      <c r="S102" s="12"/>
    </row>
    <row r="103" spans="1:19" ht="15.75" customHeight="1" thickBot="1">
      <c r="A103" s="16">
        <v>34029</v>
      </c>
      <c r="B103" s="14">
        <v>451.67</v>
      </c>
      <c r="C103" s="3">
        <f t="shared" si="20"/>
        <v>8.2900000000000205</v>
      </c>
      <c r="D103" s="3">
        <f t="shared" si="21"/>
        <v>8.2900000000000205</v>
      </c>
      <c r="E103" s="3">
        <f t="shared" si="22"/>
        <v>0</v>
      </c>
      <c r="F103" s="3">
        <f t="shared" si="23"/>
        <v>6.3628702647154585</v>
      </c>
      <c r="G103" s="3">
        <f t="shared" si="24"/>
        <v>2.7036641323575377</v>
      </c>
      <c r="H103" s="3">
        <f t="shared" si="25"/>
        <v>2.353424816553368</v>
      </c>
      <c r="I103" s="3">
        <f t="shared" si="26"/>
        <v>70.179739976165777</v>
      </c>
      <c r="R103" s="13"/>
      <c r="S103" s="12"/>
    </row>
    <row r="104" spans="1:19" ht="15.75" customHeight="1" thickBot="1">
      <c r="A104" s="16">
        <v>34060</v>
      </c>
      <c r="B104" s="14">
        <v>440.19</v>
      </c>
      <c r="C104" s="3">
        <f t="shared" si="20"/>
        <v>-11.480000000000018</v>
      </c>
      <c r="D104" s="3">
        <f t="shared" si="21"/>
        <v>0</v>
      </c>
      <c r="E104" s="3">
        <f t="shared" si="22"/>
        <v>11.480000000000018</v>
      </c>
      <c r="F104" s="3">
        <f t="shared" si="23"/>
        <v>5.9083795315214971</v>
      </c>
      <c r="G104" s="3">
        <f t="shared" si="24"/>
        <v>3.3305452657605721</v>
      </c>
      <c r="H104" s="3">
        <f t="shared" si="25"/>
        <v>1.7739976670673605</v>
      </c>
      <c r="I104" s="3">
        <f t="shared" si="26"/>
        <v>63.950943006481005</v>
      </c>
      <c r="R104" s="13"/>
      <c r="S104" s="12"/>
    </row>
    <row r="105" spans="1:19" ht="15.75" customHeight="1" thickBot="1">
      <c r="A105" s="16">
        <v>34090</v>
      </c>
      <c r="B105" s="14">
        <v>450.19</v>
      </c>
      <c r="C105" s="3">
        <f t="shared" si="20"/>
        <v>10</v>
      </c>
      <c r="D105" s="3">
        <f t="shared" si="21"/>
        <v>10</v>
      </c>
      <c r="E105" s="3">
        <f t="shared" si="22"/>
        <v>0</v>
      </c>
      <c r="F105" s="3">
        <f t="shared" si="23"/>
        <v>6.2006381364128185</v>
      </c>
      <c r="G105" s="3">
        <f t="shared" si="24"/>
        <v>3.0926491753491026</v>
      </c>
      <c r="H105" s="3">
        <f t="shared" si="25"/>
        <v>2.0049600794803637</v>
      </c>
      <c r="I105" s="3">
        <f t="shared" si="26"/>
        <v>66.721687691341103</v>
      </c>
      <c r="R105" s="13"/>
      <c r="S105" s="12"/>
    </row>
    <row r="106" spans="1:19" ht="15.75" customHeight="1" thickBot="1">
      <c r="A106" s="16">
        <v>34121</v>
      </c>
      <c r="B106" s="14">
        <v>450.53</v>
      </c>
      <c r="C106" s="3">
        <f>B106-B105</f>
        <v>0.33999999999997499</v>
      </c>
      <c r="D106" s="3">
        <f t="shared" si="21"/>
        <v>0.33999999999997499</v>
      </c>
      <c r="E106" s="3">
        <f t="shared" si="22"/>
        <v>0</v>
      </c>
      <c r="F106" s="3">
        <f t="shared" si="23"/>
        <v>5.7820211266690436</v>
      </c>
      <c r="G106" s="3">
        <f t="shared" si="24"/>
        <v>2.8717456628241669</v>
      </c>
      <c r="H106" s="3">
        <f t="shared" si="25"/>
        <v>2.0134168570425621</v>
      </c>
      <c r="I106" s="3">
        <f t="shared" si="26"/>
        <v>66.815079113169105</v>
      </c>
      <c r="R106" s="13"/>
      <c r="S106" s="12"/>
    </row>
    <row r="107" spans="1:19" ht="15.75" customHeight="1" thickBot="1">
      <c r="A107" s="16">
        <v>34151</v>
      </c>
      <c r="B107" s="14">
        <v>448.13</v>
      </c>
      <c r="C107" s="3">
        <f t="shared" ref="C107:C170" si="27">B107-B106</f>
        <v>-2.3999999999999773</v>
      </c>
      <c r="D107" s="3">
        <f t="shared" si="21"/>
        <v>0</v>
      </c>
      <c r="E107" s="3">
        <f t="shared" si="22"/>
        <v>2.3999999999999773</v>
      </c>
      <c r="F107" s="3">
        <f t="shared" si="23"/>
        <v>5.3690196176212543</v>
      </c>
      <c r="G107" s="3">
        <f t="shared" si="24"/>
        <v>2.8380495440510103</v>
      </c>
      <c r="H107" s="3">
        <f t="shared" si="25"/>
        <v>1.8917991156551681</v>
      </c>
      <c r="I107" s="3">
        <f t="shared" si="26"/>
        <v>65.41945135170846</v>
      </c>
      <c r="R107" s="13"/>
      <c r="S107" s="12"/>
    </row>
    <row r="108" spans="1:19" ht="15.75" customHeight="1" thickBot="1">
      <c r="A108" s="16">
        <v>34182</v>
      </c>
      <c r="B108" s="14">
        <v>463.56</v>
      </c>
      <c r="C108" s="3">
        <f t="shared" si="27"/>
        <v>15.430000000000007</v>
      </c>
      <c r="D108" s="3">
        <f t="shared" si="21"/>
        <v>15.430000000000007</v>
      </c>
      <c r="E108" s="3">
        <f t="shared" si="22"/>
        <v>0</v>
      </c>
      <c r="F108" s="3">
        <f t="shared" si="23"/>
        <v>6.0876610735054513</v>
      </c>
      <c r="G108" s="3">
        <f t="shared" si="24"/>
        <v>2.6353317194759383</v>
      </c>
      <c r="H108" s="3">
        <f t="shared" si="25"/>
        <v>2.3100170003327105</v>
      </c>
      <c r="I108" s="3">
        <f t="shared" si="26"/>
        <v>69.78867480440482</v>
      </c>
      <c r="R108" s="13"/>
      <c r="S108" s="12"/>
    </row>
    <row r="109" spans="1:19" ht="15.75" customHeight="1" thickBot="1">
      <c r="A109" s="16">
        <v>34213</v>
      </c>
      <c r="B109" s="14">
        <v>458.93</v>
      </c>
      <c r="C109" s="3">
        <f t="shared" si="27"/>
        <v>-4.6299999999999955</v>
      </c>
      <c r="D109" s="3">
        <f t="shared" si="21"/>
        <v>0</v>
      </c>
      <c r="E109" s="3">
        <f t="shared" si="22"/>
        <v>4.6299999999999955</v>
      </c>
      <c r="F109" s="3">
        <f t="shared" si="23"/>
        <v>5.6528281396836331</v>
      </c>
      <c r="G109" s="3">
        <f t="shared" si="24"/>
        <v>2.7778080252276567</v>
      </c>
      <c r="H109" s="3">
        <f t="shared" si="25"/>
        <v>2.0349959710481982</v>
      </c>
      <c r="I109" s="3">
        <f t="shared" si="26"/>
        <v>67.051027100552318</v>
      </c>
      <c r="R109" s="12"/>
      <c r="S109" s="12"/>
    </row>
    <row r="110" spans="1:19" ht="15.75" customHeight="1" thickBot="1">
      <c r="A110" s="16">
        <v>34243</v>
      </c>
      <c r="B110" s="14">
        <v>467.83</v>
      </c>
      <c r="C110" s="3">
        <f t="shared" si="27"/>
        <v>8.8999999999999773</v>
      </c>
      <c r="D110" s="3">
        <f t="shared" si="21"/>
        <v>8.8999999999999773</v>
      </c>
      <c r="E110" s="3">
        <f t="shared" si="22"/>
        <v>0</v>
      </c>
      <c r="F110" s="3">
        <f t="shared" si="23"/>
        <v>5.8847689868490862</v>
      </c>
      <c r="G110" s="3">
        <f t="shared" si="24"/>
        <v>2.579393166282824</v>
      </c>
      <c r="H110" s="3">
        <f t="shared" si="25"/>
        <v>2.2814548257990679</v>
      </c>
      <c r="I110" s="3">
        <f t="shared" si="26"/>
        <v>69.525711823368169</v>
      </c>
    </row>
    <row r="111" spans="1:19" ht="15.75" customHeight="1" thickBot="1">
      <c r="A111" s="16">
        <v>34274</v>
      </c>
      <c r="B111" s="14">
        <v>461.79</v>
      </c>
      <c r="C111" s="3">
        <f t="shared" si="27"/>
        <v>-6.0399999999999636</v>
      </c>
      <c r="D111" s="3">
        <f t="shared" si="21"/>
        <v>0</v>
      </c>
      <c r="E111" s="3">
        <f t="shared" si="22"/>
        <v>6.0399999999999636</v>
      </c>
      <c r="F111" s="3">
        <f t="shared" si="23"/>
        <v>5.464428344931294</v>
      </c>
      <c r="G111" s="3">
        <f t="shared" si="24"/>
        <v>2.8265793686911911</v>
      </c>
      <c r="H111" s="3">
        <f t="shared" si="25"/>
        <v>1.9332301103795018</v>
      </c>
      <c r="I111" s="3">
        <f t="shared" si="26"/>
        <v>65.907891219941831</v>
      </c>
    </row>
    <row r="112" spans="1:19" ht="15.75" customHeight="1" thickBot="1">
      <c r="A112" s="16">
        <v>34304</v>
      </c>
      <c r="B112" s="14">
        <v>466.45</v>
      </c>
      <c r="C112" s="3">
        <f t="shared" si="27"/>
        <v>4.6599999999999682</v>
      </c>
      <c r="D112" s="3">
        <f t="shared" si="21"/>
        <v>4.6599999999999682</v>
      </c>
      <c r="E112" s="3">
        <f t="shared" si="22"/>
        <v>0</v>
      </c>
      <c r="F112" s="3">
        <f t="shared" si="23"/>
        <v>5.4069691774362001</v>
      </c>
      <c r="G112" s="3">
        <f t="shared" si="24"/>
        <v>2.6246808423561059</v>
      </c>
      <c r="H112" s="3">
        <f t="shared" si="25"/>
        <v>2.060048250507482</v>
      </c>
      <c r="I112" s="3">
        <f t="shared" si="26"/>
        <v>67.320776728466328</v>
      </c>
    </row>
    <row r="113" spans="1:9" ht="15.75" customHeight="1" thickBot="1">
      <c r="A113" s="16">
        <v>34335</v>
      </c>
      <c r="B113" s="14">
        <v>481.61</v>
      </c>
      <c r="C113" s="3">
        <f t="shared" si="27"/>
        <v>15.160000000000025</v>
      </c>
      <c r="D113" s="3">
        <f t="shared" si="21"/>
        <v>15.160000000000025</v>
      </c>
      <c r="E113" s="3">
        <f t="shared" si="22"/>
        <v>0</v>
      </c>
      <c r="F113" s="3">
        <f t="shared" si="23"/>
        <v>6.1036142361907588</v>
      </c>
      <c r="G113" s="3">
        <f t="shared" si="24"/>
        <v>2.4372036393306695</v>
      </c>
      <c r="H113" s="3">
        <f t="shared" si="25"/>
        <v>2.504351354844931</v>
      </c>
      <c r="I113" s="3">
        <f t="shared" si="26"/>
        <v>71.464048585840203</v>
      </c>
    </row>
    <row r="114" spans="1:9" ht="15.75" customHeight="1" thickBot="1">
      <c r="A114" s="16">
        <v>34366</v>
      </c>
      <c r="B114" s="14">
        <v>467.14</v>
      </c>
      <c r="C114" s="3">
        <f t="shared" si="27"/>
        <v>-14.470000000000027</v>
      </c>
      <c r="D114" s="3">
        <f t="shared" si="21"/>
        <v>0</v>
      </c>
      <c r="E114" s="3">
        <f t="shared" si="22"/>
        <v>14.470000000000027</v>
      </c>
      <c r="F114" s="3">
        <f t="shared" si="23"/>
        <v>5.6676417907485614</v>
      </c>
      <c r="G114" s="3">
        <f t="shared" si="24"/>
        <v>3.2966890936641948</v>
      </c>
      <c r="H114" s="3">
        <f t="shared" si="25"/>
        <v>1.7191920832452863</v>
      </c>
      <c r="I114" s="3">
        <f t="shared" si="26"/>
        <v>63.224370717991881</v>
      </c>
    </row>
    <row r="115" spans="1:9" ht="15.75" customHeight="1" thickBot="1">
      <c r="A115" s="16">
        <v>34394</v>
      </c>
      <c r="B115" s="14">
        <v>445.77</v>
      </c>
      <c r="C115" s="3">
        <f t="shared" si="27"/>
        <v>-21.370000000000005</v>
      </c>
      <c r="D115" s="3">
        <f t="shared" si="21"/>
        <v>0</v>
      </c>
      <c r="E115" s="3">
        <f t="shared" si="22"/>
        <v>21.370000000000005</v>
      </c>
      <c r="F115" s="3">
        <f t="shared" si="23"/>
        <v>5.2628102342665217</v>
      </c>
      <c r="G115" s="3">
        <f t="shared" si="24"/>
        <v>4.5876398726881815</v>
      </c>
      <c r="H115" s="3">
        <f t="shared" si="25"/>
        <v>1.1471716133600338</v>
      </c>
      <c r="I115" s="3">
        <f t="shared" si="26"/>
        <v>53.427104113250877</v>
      </c>
    </row>
    <row r="116" spans="1:9" ht="15.75" customHeight="1" thickBot="1">
      <c r="A116" s="16">
        <v>34425</v>
      </c>
      <c r="B116" s="14">
        <v>450.91</v>
      </c>
      <c r="C116" s="3">
        <f t="shared" si="27"/>
        <v>5.1400000000000432</v>
      </c>
      <c r="D116" s="3">
        <f t="shared" si="21"/>
        <v>5.1400000000000432</v>
      </c>
      <c r="E116" s="3">
        <f t="shared" si="22"/>
        <v>0</v>
      </c>
      <c r="F116" s="3">
        <f t="shared" si="23"/>
        <v>5.2540380746760595</v>
      </c>
      <c r="G116" s="3">
        <f t="shared" si="24"/>
        <v>4.2599513103533111</v>
      </c>
      <c r="H116" s="3">
        <f t="shared" si="25"/>
        <v>1.2333563676905737</v>
      </c>
      <c r="I116" s="3">
        <f t="shared" si="26"/>
        <v>55.224342408280286</v>
      </c>
    </row>
    <row r="117" spans="1:9" ht="15.75" customHeight="1" thickBot="1">
      <c r="A117" s="16">
        <v>34455</v>
      </c>
      <c r="B117" s="14">
        <v>456.5</v>
      </c>
      <c r="C117" s="3">
        <f t="shared" si="27"/>
        <v>5.589999999999975</v>
      </c>
      <c r="D117" s="3">
        <f t="shared" si="21"/>
        <v>5.589999999999975</v>
      </c>
      <c r="E117" s="3">
        <f t="shared" si="22"/>
        <v>0</v>
      </c>
      <c r="F117" s="3">
        <f t="shared" si="23"/>
        <v>5.278035355056339</v>
      </c>
      <c r="G117" s="3">
        <f t="shared" si="24"/>
        <v>3.9556690738995033</v>
      </c>
      <c r="H117" s="3">
        <f t="shared" si="25"/>
        <v>1.334296488521282</v>
      </c>
      <c r="I117" s="3">
        <f t="shared" si="26"/>
        <v>57.160540449020907</v>
      </c>
    </row>
    <row r="118" spans="1:9" ht="15.75" customHeight="1" thickBot="1">
      <c r="A118" s="16">
        <v>34486</v>
      </c>
      <c r="B118" s="14">
        <v>444.27</v>
      </c>
      <c r="C118" s="3">
        <f t="shared" si="27"/>
        <v>-12.230000000000018</v>
      </c>
      <c r="D118" s="3">
        <f t="shared" si="21"/>
        <v>0</v>
      </c>
      <c r="E118" s="3">
        <f t="shared" si="22"/>
        <v>12.230000000000018</v>
      </c>
      <c r="F118" s="3">
        <f t="shared" si="23"/>
        <v>4.9010328296951728</v>
      </c>
      <c r="G118" s="3">
        <f t="shared" si="24"/>
        <v>4.5466927114781113</v>
      </c>
      <c r="H118" s="3">
        <f t="shared" si="25"/>
        <v>1.0779335971666901</v>
      </c>
      <c r="I118" s="3">
        <f t="shared" si="26"/>
        <v>51.875266786026138</v>
      </c>
    </row>
    <row r="119" spans="1:9" ht="15.75" customHeight="1" thickBot="1">
      <c r="A119" s="16">
        <v>34516</v>
      </c>
      <c r="B119" s="14">
        <v>458.26</v>
      </c>
      <c r="C119" s="3">
        <f t="shared" si="27"/>
        <v>13.990000000000009</v>
      </c>
      <c r="D119" s="3">
        <f t="shared" si="21"/>
        <v>13.990000000000009</v>
      </c>
      <c r="E119" s="3">
        <f t="shared" si="22"/>
        <v>0</v>
      </c>
      <c r="F119" s="3">
        <f t="shared" si="23"/>
        <v>5.5502447704312328</v>
      </c>
      <c r="G119" s="3">
        <f t="shared" si="24"/>
        <v>4.2219289463725316</v>
      </c>
      <c r="H119" s="3">
        <f t="shared" si="25"/>
        <v>1.3146229699578402</v>
      </c>
      <c r="I119" s="3">
        <f t="shared" si="26"/>
        <v>56.796419417793366</v>
      </c>
    </row>
    <row r="120" spans="1:9" ht="15.75" customHeight="1" thickBot="1">
      <c r="A120" s="16">
        <v>34547</v>
      </c>
      <c r="B120" s="14">
        <v>475.49</v>
      </c>
      <c r="C120" s="3">
        <f t="shared" si="27"/>
        <v>17.230000000000018</v>
      </c>
      <c r="D120" s="3">
        <f t="shared" si="21"/>
        <v>17.230000000000018</v>
      </c>
      <c r="E120" s="3">
        <f t="shared" si="22"/>
        <v>0</v>
      </c>
      <c r="F120" s="3">
        <f t="shared" si="23"/>
        <v>6.3845130011147173</v>
      </c>
      <c r="G120" s="3">
        <f t="shared" si="24"/>
        <v>3.920362593060208</v>
      </c>
      <c r="H120" s="3">
        <f t="shared" si="25"/>
        <v>1.6285516580574784</v>
      </c>
      <c r="I120" s="3">
        <f t="shared" si="26"/>
        <v>61.95623559709653</v>
      </c>
    </row>
    <row r="121" spans="1:9" ht="15.75" customHeight="1" thickBot="1">
      <c r="A121" s="16">
        <v>34578</v>
      </c>
      <c r="B121" s="14">
        <v>462.71</v>
      </c>
      <c r="C121" s="3">
        <f t="shared" si="27"/>
        <v>-12.78000000000003</v>
      </c>
      <c r="D121" s="3">
        <f t="shared" si="21"/>
        <v>0</v>
      </c>
      <c r="E121" s="3">
        <f t="shared" si="22"/>
        <v>12.78000000000003</v>
      </c>
      <c r="F121" s="3">
        <f t="shared" si="23"/>
        <v>5.928476358177952</v>
      </c>
      <c r="G121" s="3">
        <f t="shared" si="24"/>
        <v>4.553193836413052</v>
      </c>
      <c r="H121" s="3">
        <f t="shared" si="25"/>
        <v>1.3020478747832818</v>
      </c>
      <c r="I121" s="3">
        <f t="shared" si="26"/>
        <v>56.560416881245729</v>
      </c>
    </row>
    <row r="122" spans="1:9" ht="15.75" customHeight="1" thickBot="1">
      <c r="A122" s="16">
        <v>34608</v>
      </c>
      <c r="B122" s="14">
        <v>472.35</v>
      </c>
      <c r="C122" s="3">
        <f t="shared" si="27"/>
        <v>9.6400000000000432</v>
      </c>
      <c r="D122" s="3">
        <f t="shared" si="21"/>
        <v>9.6400000000000432</v>
      </c>
      <c r="E122" s="3">
        <f t="shared" si="22"/>
        <v>0</v>
      </c>
      <c r="F122" s="3">
        <f t="shared" si="23"/>
        <v>6.1935851897366732</v>
      </c>
      <c r="G122" s="3">
        <f t="shared" si="24"/>
        <v>4.2279657052406909</v>
      </c>
      <c r="H122" s="3">
        <f t="shared" si="25"/>
        <v>1.4649090417312367</v>
      </c>
      <c r="I122" s="3">
        <f t="shared" si="26"/>
        <v>59.430551672704041</v>
      </c>
    </row>
    <row r="123" spans="1:9" ht="15.75" customHeight="1" thickBot="1">
      <c r="A123" s="16">
        <v>34639</v>
      </c>
      <c r="B123" s="14">
        <v>453.69</v>
      </c>
      <c r="C123" s="3">
        <f t="shared" si="27"/>
        <v>-18.660000000000025</v>
      </c>
      <c r="D123" s="3">
        <f t="shared" si="21"/>
        <v>0</v>
      </c>
      <c r="E123" s="3">
        <f t="shared" si="22"/>
        <v>18.660000000000025</v>
      </c>
      <c r="F123" s="3">
        <f t="shared" si="23"/>
        <v>5.7511862476126243</v>
      </c>
      <c r="G123" s="3">
        <f t="shared" si="24"/>
        <v>5.2588252977234999</v>
      </c>
      <c r="H123" s="3">
        <f t="shared" si="25"/>
        <v>1.0936256525011894</v>
      </c>
      <c r="I123" s="3">
        <f t="shared" si="26"/>
        <v>52.235969271520382</v>
      </c>
    </row>
    <row r="124" spans="1:9" ht="15.75" customHeight="1" thickBot="1">
      <c r="A124" s="16">
        <v>34669</v>
      </c>
      <c r="B124" s="14">
        <v>459.27</v>
      </c>
      <c r="C124" s="3">
        <f t="shared" si="27"/>
        <v>5.5799999999999841</v>
      </c>
      <c r="D124" s="3">
        <f t="shared" si="21"/>
        <v>5.5799999999999841</v>
      </c>
      <c r="E124" s="3">
        <f t="shared" si="22"/>
        <v>0</v>
      </c>
      <c r="F124" s="3">
        <f t="shared" si="23"/>
        <v>5.7389586584974364</v>
      </c>
      <c r="G124" s="3">
        <f t="shared" si="24"/>
        <v>4.8831949193146782</v>
      </c>
      <c r="H124" s="3">
        <f t="shared" si="25"/>
        <v>1.1752466885558726</v>
      </c>
      <c r="I124" s="3">
        <f t="shared" si="26"/>
        <v>54.02820262818598</v>
      </c>
    </row>
    <row r="125" spans="1:9" ht="15.75" customHeight="1" thickBot="1">
      <c r="A125" s="16">
        <v>34700</v>
      </c>
      <c r="B125" s="14">
        <v>470.42</v>
      </c>
      <c r="C125" s="3">
        <f t="shared" si="27"/>
        <v>11.150000000000034</v>
      </c>
      <c r="D125" s="3">
        <f t="shared" si="21"/>
        <v>11.150000000000034</v>
      </c>
      <c r="E125" s="3">
        <f t="shared" si="22"/>
        <v>0</v>
      </c>
      <c r="F125" s="3">
        <f t="shared" si="23"/>
        <v>6.1254616114619074</v>
      </c>
      <c r="G125" s="3">
        <f t="shared" si="24"/>
        <v>4.5343952822207729</v>
      </c>
      <c r="H125" s="3">
        <f t="shared" si="25"/>
        <v>1.3508883170110153</v>
      </c>
      <c r="I125" s="3">
        <f t="shared" si="26"/>
        <v>57.462887846946813</v>
      </c>
    </row>
    <row r="126" spans="1:9" ht="15.75" customHeight="1" thickBot="1">
      <c r="A126" s="16">
        <v>34731</v>
      </c>
      <c r="B126" s="14">
        <v>487.39</v>
      </c>
      <c r="C126" s="3">
        <f t="shared" si="27"/>
        <v>16.96999999999997</v>
      </c>
      <c r="D126" s="3">
        <f t="shared" si="21"/>
        <v>16.96999999999997</v>
      </c>
      <c r="E126" s="3">
        <f t="shared" si="22"/>
        <v>0</v>
      </c>
      <c r="F126" s="3">
        <f t="shared" si="23"/>
        <v>6.9000714963574836</v>
      </c>
      <c r="G126" s="3">
        <f t="shared" si="24"/>
        <v>4.2105099049192889</v>
      </c>
      <c r="H126" s="3">
        <f t="shared" si="25"/>
        <v>1.6387733676379395</v>
      </c>
      <c r="I126" s="3">
        <f t="shared" si="26"/>
        <v>62.103604187307077</v>
      </c>
    </row>
    <row r="127" spans="1:9" ht="15.75" customHeight="1" thickBot="1">
      <c r="A127" s="16">
        <v>34759</v>
      </c>
      <c r="B127" s="14">
        <v>500.71</v>
      </c>
      <c r="C127" s="3">
        <f t="shared" si="27"/>
        <v>13.319999999999993</v>
      </c>
      <c r="D127" s="3">
        <f t="shared" si="21"/>
        <v>13.319999999999993</v>
      </c>
      <c r="E127" s="3">
        <f t="shared" si="22"/>
        <v>0</v>
      </c>
      <c r="F127" s="3">
        <f t="shared" si="23"/>
        <v>7.3586378180462342</v>
      </c>
      <c r="G127" s="3">
        <f t="shared" si="24"/>
        <v>3.9097591974250538</v>
      </c>
      <c r="H127" s="3">
        <f t="shared" si="25"/>
        <v>1.8821204699492984</v>
      </c>
      <c r="I127" s="3">
        <f t="shared" si="26"/>
        <v>65.303324048158487</v>
      </c>
    </row>
    <row r="128" spans="1:9" ht="15.75" customHeight="1" thickBot="1">
      <c r="A128" s="16">
        <v>34790</v>
      </c>
      <c r="B128" s="14">
        <v>514.71</v>
      </c>
      <c r="C128" s="3">
        <f t="shared" si="27"/>
        <v>14.000000000000057</v>
      </c>
      <c r="D128" s="3">
        <f t="shared" si="21"/>
        <v>14.000000000000057</v>
      </c>
      <c r="E128" s="3">
        <f t="shared" si="22"/>
        <v>0</v>
      </c>
      <c r="F128" s="3">
        <f t="shared" si="23"/>
        <v>7.8330208310429361</v>
      </c>
      <c r="G128" s="3">
        <f t="shared" si="24"/>
        <v>3.6304906833232642</v>
      </c>
      <c r="H128" s="3">
        <f t="shared" si="25"/>
        <v>2.1575653305003875</v>
      </c>
      <c r="I128" s="3">
        <f t="shared" si="26"/>
        <v>68.330029775139209</v>
      </c>
    </row>
    <row r="129" spans="1:9" ht="15.75" customHeight="1" thickBot="1">
      <c r="A129" s="16">
        <v>34820</v>
      </c>
      <c r="B129" s="14">
        <v>533.4</v>
      </c>
      <c r="C129" s="3">
        <f t="shared" si="27"/>
        <v>18.689999999999941</v>
      </c>
      <c r="D129" s="3">
        <f t="shared" si="21"/>
        <v>18.689999999999941</v>
      </c>
      <c r="E129" s="3">
        <f t="shared" si="22"/>
        <v>0</v>
      </c>
      <c r="F129" s="3">
        <f t="shared" si="23"/>
        <v>8.6085193431112934</v>
      </c>
      <c r="G129" s="3">
        <f t="shared" si="24"/>
        <v>3.3711699202287453</v>
      </c>
      <c r="H129" s="3">
        <f t="shared" si="25"/>
        <v>2.5535702877080655</v>
      </c>
      <c r="I129" s="3">
        <f t="shared" si="26"/>
        <v>71.859287447921375</v>
      </c>
    </row>
    <row r="130" spans="1:9" ht="15.75" customHeight="1" thickBot="1">
      <c r="A130" s="16">
        <v>34851</v>
      </c>
      <c r="B130" s="14">
        <v>544.75</v>
      </c>
      <c r="C130" s="3">
        <f t="shared" si="27"/>
        <v>11.350000000000023</v>
      </c>
      <c r="D130" s="3">
        <f t="shared" si="21"/>
        <v>11.350000000000023</v>
      </c>
      <c r="E130" s="3">
        <f t="shared" si="22"/>
        <v>0</v>
      </c>
      <c r="F130" s="3">
        <f t="shared" si="23"/>
        <v>8.8043393900319167</v>
      </c>
      <c r="G130" s="3">
        <f t="shared" si="24"/>
        <v>3.130372068783835</v>
      </c>
      <c r="H130" s="3">
        <f t="shared" si="25"/>
        <v>2.8125536506759228</v>
      </c>
      <c r="I130" s="3">
        <f t="shared" si="26"/>
        <v>73.770860907814068</v>
      </c>
    </row>
    <row r="131" spans="1:9" ht="15.75" customHeight="1" thickBot="1">
      <c r="A131" s="16">
        <v>34881</v>
      </c>
      <c r="B131" s="14">
        <v>562.05999999999995</v>
      </c>
      <c r="C131" s="3">
        <f t="shared" si="27"/>
        <v>17.309999999999945</v>
      </c>
      <c r="D131" s="3">
        <f t="shared" si="21"/>
        <v>17.309999999999945</v>
      </c>
      <c r="E131" s="3">
        <f t="shared" si="22"/>
        <v>0</v>
      </c>
      <c r="F131" s="3">
        <f t="shared" si="23"/>
        <v>9.4118865764582029</v>
      </c>
      <c r="G131" s="3">
        <f t="shared" si="24"/>
        <v>2.9067740638707038</v>
      </c>
      <c r="H131" s="3">
        <f t="shared" si="25"/>
        <v>3.2379147362850742</v>
      </c>
      <c r="I131" s="3">
        <f t="shared" si="26"/>
        <v>76.403489399208794</v>
      </c>
    </row>
    <row r="132" spans="1:9" ht="15.75" customHeight="1" thickBot="1">
      <c r="A132" s="16">
        <v>34912</v>
      </c>
      <c r="B132" s="14">
        <v>561.88</v>
      </c>
      <c r="C132" s="3">
        <f t="shared" si="27"/>
        <v>-0.17999999999994998</v>
      </c>
      <c r="D132" s="3">
        <f t="shared" si="21"/>
        <v>0</v>
      </c>
      <c r="E132" s="3">
        <f t="shared" si="22"/>
        <v>0.17999999999994998</v>
      </c>
      <c r="F132" s="3">
        <f t="shared" si="23"/>
        <v>8.739608963854046</v>
      </c>
      <c r="G132" s="3">
        <f t="shared" si="24"/>
        <v>2.7120044878799354</v>
      </c>
      <c r="H132" s="3">
        <f t="shared" si="25"/>
        <v>3.2225643441637852</v>
      </c>
      <c r="I132" s="3">
        <f t="shared" si="26"/>
        <v>76.317708423267732</v>
      </c>
    </row>
    <row r="133" spans="1:9" ht="15.75" customHeight="1" thickBot="1">
      <c r="A133" s="16">
        <v>34943</v>
      </c>
      <c r="B133" s="14">
        <v>584.41</v>
      </c>
      <c r="C133" s="3">
        <f t="shared" si="27"/>
        <v>22.529999999999973</v>
      </c>
      <c r="D133" s="3">
        <f t="shared" si="21"/>
        <v>22.529999999999973</v>
      </c>
      <c r="E133" s="3">
        <f t="shared" si="22"/>
        <v>0</v>
      </c>
      <c r="F133" s="3">
        <f t="shared" si="23"/>
        <v>9.7246368950073254</v>
      </c>
      <c r="G133" s="3">
        <f t="shared" si="24"/>
        <v>2.5182898816027972</v>
      </c>
      <c r="H133" s="3">
        <f t="shared" si="25"/>
        <v>3.8616034500436296</v>
      </c>
      <c r="I133" s="3">
        <f t="shared" si="26"/>
        <v>79.430654715554283</v>
      </c>
    </row>
    <row r="134" spans="1:9" ht="15.75" customHeight="1" thickBot="1">
      <c r="A134" s="16">
        <v>34973</v>
      </c>
      <c r="B134" s="14">
        <v>581.5</v>
      </c>
      <c r="C134" s="3">
        <f t="shared" si="27"/>
        <v>-2.9099999999999682</v>
      </c>
      <c r="D134" s="3">
        <f t="shared" si="21"/>
        <v>0</v>
      </c>
      <c r="E134" s="3">
        <f t="shared" si="22"/>
        <v>2.9099999999999682</v>
      </c>
      <c r="F134" s="3">
        <f t="shared" si="23"/>
        <v>9.0300199739353726</v>
      </c>
      <c r="G134" s="3">
        <f t="shared" si="24"/>
        <v>2.5462691757740239</v>
      </c>
      <c r="H134" s="3">
        <f t="shared" si="25"/>
        <v>3.5463728893432469</v>
      </c>
      <c r="I134" s="3">
        <f t="shared" si="26"/>
        <v>78.00444388659777</v>
      </c>
    </row>
    <row r="135" spans="1:9" ht="15.75" customHeight="1" thickBot="1">
      <c r="A135" s="16">
        <v>35004</v>
      </c>
      <c r="B135" s="14">
        <v>605.37</v>
      </c>
      <c r="C135" s="3">
        <f t="shared" si="27"/>
        <v>23.870000000000005</v>
      </c>
      <c r="D135" s="3">
        <f t="shared" si="21"/>
        <v>23.870000000000005</v>
      </c>
      <c r="E135" s="3">
        <f t="shared" si="22"/>
        <v>0</v>
      </c>
      <c r="F135" s="3">
        <f t="shared" si="23"/>
        <v>10.090018547225705</v>
      </c>
      <c r="G135" s="3">
        <f t="shared" si="24"/>
        <v>2.3643928060758794</v>
      </c>
      <c r="H135" s="3">
        <f t="shared" si="25"/>
        <v>4.2674882622282393</v>
      </c>
      <c r="I135" s="3">
        <f t="shared" si="26"/>
        <v>81.015619775164282</v>
      </c>
    </row>
    <row r="136" spans="1:9" ht="15.75" customHeight="1" thickBot="1">
      <c r="A136" s="16">
        <v>35034</v>
      </c>
      <c r="B136" s="14">
        <v>615.92999999999995</v>
      </c>
      <c r="C136" s="3">
        <f t="shared" si="27"/>
        <v>10.559999999999945</v>
      </c>
      <c r="D136" s="3">
        <f t="shared" si="21"/>
        <v>10.559999999999945</v>
      </c>
      <c r="E136" s="3">
        <f t="shared" si="22"/>
        <v>0</v>
      </c>
      <c r="F136" s="3">
        <f t="shared" si="23"/>
        <v>10.123588650995293</v>
      </c>
      <c r="G136" s="3">
        <f t="shared" si="24"/>
        <v>2.1955076056418883</v>
      </c>
      <c r="H136" s="3">
        <f t="shared" si="25"/>
        <v>4.6110469510468928</v>
      </c>
      <c r="I136" s="3">
        <f t="shared" si="26"/>
        <v>82.178014036873762</v>
      </c>
    </row>
    <row r="137" spans="1:9" ht="15.75" customHeight="1" thickBot="1">
      <c r="A137" s="16">
        <v>35065</v>
      </c>
      <c r="B137" s="14">
        <v>636.02</v>
      </c>
      <c r="C137" s="3">
        <f t="shared" si="27"/>
        <v>20.090000000000032</v>
      </c>
      <c r="D137" s="3">
        <f t="shared" si="21"/>
        <v>20.090000000000032</v>
      </c>
      <c r="E137" s="3">
        <f t="shared" si="22"/>
        <v>0</v>
      </c>
      <c r="F137" s="3">
        <f t="shared" si="23"/>
        <v>10.835475175924202</v>
      </c>
      <c r="G137" s="3">
        <f t="shared" si="24"/>
        <v>2.0386856338103247</v>
      </c>
      <c r="H137" s="3">
        <f t="shared" si="25"/>
        <v>5.3149318346215964</v>
      </c>
      <c r="I137" s="3">
        <f t="shared" si="26"/>
        <v>84.164516321181765</v>
      </c>
    </row>
    <row r="138" spans="1:9" ht="15.75" customHeight="1" thickBot="1">
      <c r="A138" s="16">
        <v>35096</v>
      </c>
      <c r="B138" s="14">
        <v>640.42999999999995</v>
      </c>
      <c r="C138" s="3">
        <f t="shared" si="27"/>
        <v>4.4099999999999682</v>
      </c>
      <c r="D138" s="3">
        <f t="shared" si="21"/>
        <v>4.4099999999999682</v>
      </c>
      <c r="E138" s="3">
        <f t="shared" si="22"/>
        <v>0</v>
      </c>
      <c r="F138" s="3">
        <f t="shared" si="23"/>
        <v>10.376512663358186</v>
      </c>
      <c r="G138" s="3">
        <f t="shared" si="24"/>
        <v>1.8930652313953016</v>
      </c>
      <c r="H138" s="3">
        <f t="shared" si="25"/>
        <v>5.48132863636721</v>
      </c>
      <c r="I138" s="3">
        <f t="shared" si="26"/>
        <v>84.571064729090779</v>
      </c>
    </row>
    <row r="139" spans="1:9" ht="15.75" customHeight="1" thickBot="1">
      <c r="A139" s="16">
        <v>35125</v>
      </c>
      <c r="B139" s="14">
        <v>645.5</v>
      </c>
      <c r="C139" s="3">
        <f t="shared" si="27"/>
        <v>5.07000000000005</v>
      </c>
      <c r="D139" s="3">
        <f t="shared" si="21"/>
        <v>5.07000000000005</v>
      </c>
      <c r="E139" s="3">
        <f t="shared" si="22"/>
        <v>0</v>
      </c>
      <c r="F139" s="3">
        <f t="shared" si="23"/>
        <v>9.9974760445468895</v>
      </c>
      <c r="G139" s="3">
        <f t="shared" si="24"/>
        <v>1.7578462862956372</v>
      </c>
      <c r="H139" s="3">
        <f t="shared" si="25"/>
        <v>5.6873437242427345</v>
      </c>
      <c r="I139" s="3">
        <f t="shared" si="26"/>
        <v>85.046379530712116</v>
      </c>
    </row>
    <row r="140" spans="1:9" ht="15.75" customHeight="1" thickBot="1">
      <c r="A140" s="16">
        <v>35156</v>
      </c>
      <c r="B140" s="14">
        <v>654.16999999999996</v>
      </c>
      <c r="C140" s="3">
        <f t="shared" si="27"/>
        <v>8.6699999999999591</v>
      </c>
      <c r="D140" s="3">
        <f t="shared" si="21"/>
        <v>8.6699999999999591</v>
      </c>
      <c r="E140" s="3">
        <f t="shared" si="22"/>
        <v>0</v>
      </c>
      <c r="F140" s="3">
        <f t="shared" si="23"/>
        <v>9.9026563270792529</v>
      </c>
      <c r="G140" s="3">
        <f t="shared" si="24"/>
        <v>1.6322858372745201</v>
      </c>
      <c r="H140" s="3">
        <f t="shared" si="25"/>
        <v>6.0667415601755357</v>
      </c>
      <c r="I140" s="3">
        <f t="shared" si="26"/>
        <v>85.84920657583578</v>
      </c>
    </row>
    <row r="141" spans="1:9" ht="15.75" customHeight="1" thickBot="1">
      <c r="A141" s="16">
        <v>35186</v>
      </c>
      <c r="B141" s="14">
        <v>669.12</v>
      </c>
      <c r="C141" s="3">
        <f t="shared" si="27"/>
        <v>14.950000000000045</v>
      </c>
      <c r="D141" s="3">
        <f t="shared" si="21"/>
        <v>14.950000000000045</v>
      </c>
      <c r="E141" s="3">
        <f t="shared" si="22"/>
        <v>0</v>
      </c>
      <c r="F141" s="3">
        <f t="shared" si="23"/>
        <v>10.263180875145023</v>
      </c>
      <c r="G141" s="3">
        <f t="shared" si="24"/>
        <v>1.5156939917549115</v>
      </c>
      <c r="H141" s="3">
        <f t="shared" si="25"/>
        <v>6.7712750271326438</v>
      </c>
      <c r="I141" s="3">
        <f t="shared" si="26"/>
        <v>87.132098703126601</v>
      </c>
    </row>
    <row r="142" spans="1:9" ht="15.75" customHeight="1" thickBot="1">
      <c r="A142" s="16">
        <v>35217</v>
      </c>
      <c r="B142" s="14">
        <v>670.63</v>
      </c>
      <c r="C142" s="3">
        <f t="shared" si="27"/>
        <v>1.5099999999999909</v>
      </c>
      <c r="D142" s="3">
        <f t="shared" si="21"/>
        <v>1.5099999999999909</v>
      </c>
      <c r="E142" s="3">
        <f t="shared" si="22"/>
        <v>0</v>
      </c>
      <c r="F142" s="3">
        <f t="shared" si="23"/>
        <v>9.6379536697775201</v>
      </c>
      <c r="G142" s="3">
        <f t="shared" si="24"/>
        <v>1.4074301352009893</v>
      </c>
      <c r="H142" s="3">
        <f t="shared" si="25"/>
        <v>6.8479091279377533</v>
      </c>
      <c r="I142" s="3">
        <f t="shared" si="26"/>
        <v>87.257752559339622</v>
      </c>
    </row>
    <row r="143" spans="1:9" ht="15.75" customHeight="1" thickBot="1">
      <c r="A143" s="16">
        <v>35247</v>
      </c>
      <c r="B143" s="14">
        <v>639.95000000000005</v>
      </c>
      <c r="C143" s="3">
        <f t="shared" si="27"/>
        <v>-30.67999999999995</v>
      </c>
      <c r="D143" s="3">
        <f t="shared" si="21"/>
        <v>0</v>
      </c>
      <c r="E143" s="3">
        <f t="shared" si="22"/>
        <v>30.67999999999995</v>
      </c>
      <c r="F143" s="3">
        <f t="shared" si="23"/>
        <v>8.9495284076505541</v>
      </c>
      <c r="G143" s="3">
        <f t="shared" si="24"/>
        <v>3.4983279826866291</v>
      </c>
      <c r="H143" s="3">
        <f t="shared" si="25"/>
        <v>2.5582302322544206</v>
      </c>
      <c r="I143" s="3">
        <f t="shared" si="26"/>
        <v>71.896141207073583</v>
      </c>
    </row>
    <row r="144" spans="1:9" ht="15.75" customHeight="1" thickBot="1">
      <c r="A144" s="16">
        <v>35278</v>
      </c>
      <c r="B144" s="14">
        <v>651.99</v>
      </c>
      <c r="C144" s="3">
        <f t="shared" si="27"/>
        <v>12.039999999999964</v>
      </c>
      <c r="D144" s="3">
        <f t="shared" si="21"/>
        <v>12.039999999999964</v>
      </c>
      <c r="E144" s="3">
        <f t="shared" si="22"/>
        <v>0</v>
      </c>
      <c r="F144" s="3">
        <f t="shared" si="23"/>
        <v>9.1702763785326535</v>
      </c>
      <c r="G144" s="3">
        <f t="shared" si="24"/>
        <v>3.2484474124947269</v>
      </c>
      <c r="H144" s="3">
        <f t="shared" si="25"/>
        <v>2.8229720891464605</v>
      </c>
      <c r="I144" s="3">
        <f t="shared" si="26"/>
        <v>73.842341071779416</v>
      </c>
    </row>
    <row r="145" spans="1:9" ht="15.75" customHeight="1" thickBot="1">
      <c r="A145" s="16">
        <v>35309</v>
      </c>
      <c r="B145" s="14">
        <v>687.33</v>
      </c>
      <c r="C145" s="3">
        <f t="shared" si="27"/>
        <v>35.340000000000032</v>
      </c>
      <c r="D145" s="3">
        <f t="shared" si="21"/>
        <v>35.340000000000032</v>
      </c>
      <c r="E145" s="3">
        <f t="shared" si="22"/>
        <v>0</v>
      </c>
      <c r="F145" s="3">
        <f t="shared" si="23"/>
        <v>11.039542351494608</v>
      </c>
      <c r="G145" s="3">
        <f t="shared" si="24"/>
        <v>3.0164154544593891</v>
      </c>
      <c r="H145" s="3">
        <f t="shared" si="25"/>
        <v>3.6598215723812317</v>
      </c>
      <c r="I145" s="3">
        <f t="shared" si="26"/>
        <v>78.539950844319847</v>
      </c>
    </row>
    <row r="146" spans="1:9" ht="15.75" customHeight="1" thickBot="1">
      <c r="A146" s="16">
        <v>35339</v>
      </c>
      <c r="B146" s="14">
        <v>705.27</v>
      </c>
      <c r="C146" s="3">
        <f t="shared" si="27"/>
        <v>17.939999999999941</v>
      </c>
      <c r="D146" s="3">
        <f t="shared" si="21"/>
        <v>17.939999999999941</v>
      </c>
      <c r="E146" s="3">
        <f t="shared" si="22"/>
        <v>0</v>
      </c>
      <c r="F146" s="3">
        <f t="shared" si="23"/>
        <v>11.532432183530704</v>
      </c>
      <c r="G146" s="3">
        <f t="shared" si="24"/>
        <v>2.80095720771229</v>
      </c>
      <c r="H146" s="3">
        <f t="shared" si="25"/>
        <v>4.1173182338440411</v>
      </c>
      <c r="I146" s="3">
        <f t="shared" si="26"/>
        <v>80.458514512809245</v>
      </c>
    </row>
    <row r="147" spans="1:9" ht="15.75" customHeight="1" thickBot="1">
      <c r="A147" s="16">
        <v>35370</v>
      </c>
      <c r="B147" s="14">
        <v>757.02</v>
      </c>
      <c r="C147" s="3">
        <f t="shared" si="27"/>
        <v>51.75</v>
      </c>
      <c r="D147" s="3">
        <f t="shared" si="21"/>
        <v>51.75</v>
      </c>
      <c r="E147" s="3">
        <f t="shared" si="22"/>
        <v>0</v>
      </c>
      <c r="F147" s="3">
        <f t="shared" si="23"/>
        <v>14.405115598992795</v>
      </c>
      <c r="G147" s="3">
        <f t="shared" si="24"/>
        <v>2.600888835732841</v>
      </c>
      <c r="H147" s="3">
        <f t="shared" si="25"/>
        <v>5.5385356732995197</v>
      </c>
      <c r="I147" s="3">
        <f t="shared" si="26"/>
        <v>84.706055759800222</v>
      </c>
    </row>
    <row r="148" spans="1:9" ht="15.75" customHeight="1" thickBot="1">
      <c r="A148" s="16">
        <v>35400</v>
      </c>
      <c r="B148" s="14">
        <v>740.74</v>
      </c>
      <c r="C148" s="3">
        <f t="shared" si="27"/>
        <v>-16.279999999999973</v>
      </c>
      <c r="D148" s="3">
        <f t="shared" si="21"/>
        <v>0</v>
      </c>
      <c r="E148" s="3">
        <f t="shared" si="22"/>
        <v>16.279999999999973</v>
      </c>
      <c r="F148" s="3">
        <f t="shared" si="23"/>
        <v>13.37617877049331</v>
      </c>
      <c r="G148" s="3">
        <f t="shared" si="24"/>
        <v>3.5779682046090646</v>
      </c>
      <c r="H148" s="3">
        <f t="shared" si="25"/>
        <v>3.7384845268502924</v>
      </c>
      <c r="I148" s="3">
        <f t="shared" si="26"/>
        <v>78.896206280012734</v>
      </c>
    </row>
    <row r="149" spans="1:9" ht="15.75" customHeight="1" thickBot="1">
      <c r="A149" s="16">
        <v>35431</v>
      </c>
      <c r="B149" s="14">
        <v>786.16</v>
      </c>
      <c r="C149" s="3">
        <f t="shared" si="27"/>
        <v>45.419999999999959</v>
      </c>
      <c r="D149" s="3">
        <f t="shared" si="21"/>
        <v>45.419999999999959</v>
      </c>
      <c r="E149" s="3">
        <f t="shared" si="22"/>
        <v>0</v>
      </c>
      <c r="F149" s="3">
        <f t="shared" si="23"/>
        <v>15.665023144029499</v>
      </c>
      <c r="G149" s="3">
        <f t="shared" si="24"/>
        <v>3.3223990471369889</v>
      </c>
      <c r="H149" s="3">
        <f t="shared" si="25"/>
        <v>4.7149734037904087</v>
      </c>
      <c r="I149" s="3">
        <f t="shared" si="26"/>
        <v>82.502105795684741</v>
      </c>
    </row>
    <row r="150" spans="1:9" ht="15.75" customHeight="1" thickBot="1">
      <c r="A150" s="16">
        <v>35462</v>
      </c>
      <c r="B150" s="14">
        <v>790.82</v>
      </c>
      <c r="C150" s="3">
        <f t="shared" si="27"/>
        <v>4.6600000000000819</v>
      </c>
      <c r="D150" s="3">
        <f t="shared" si="21"/>
        <v>4.6600000000000819</v>
      </c>
      <c r="E150" s="3">
        <f t="shared" si="22"/>
        <v>0</v>
      </c>
      <c r="F150" s="3">
        <f t="shared" si="23"/>
        <v>14.878950062313113</v>
      </c>
      <c r="G150" s="3">
        <f t="shared" si="24"/>
        <v>3.0850848294843471</v>
      </c>
      <c r="H150" s="3">
        <f t="shared" si="25"/>
        <v>4.8228657831752511</v>
      </c>
      <c r="I150" s="3">
        <f t="shared" si="26"/>
        <v>82.826325777773761</v>
      </c>
    </row>
    <row r="151" spans="1:9" ht="15.75" customHeight="1" thickBot="1">
      <c r="A151" s="16">
        <v>35490</v>
      </c>
      <c r="B151" s="14">
        <v>757.12</v>
      </c>
      <c r="C151" s="3">
        <f t="shared" si="27"/>
        <v>-33.700000000000045</v>
      </c>
      <c r="D151" s="3">
        <f t="shared" si="21"/>
        <v>0</v>
      </c>
      <c r="E151" s="3">
        <f t="shared" si="22"/>
        <v>33.700000000000045</v>
      </c>
      <c r="F151" s="3">
        <f t="shared" si="23"/>
        <v>13.816167915005034</v>
      </c>
      <c r="G151" s="3">
        <f t="shared" si="24"/>
        <v>5.2718644845211822</v>
      </c>
      <c r="H151" s="3">
        <f t="shared" si="25"/>
        <v>2.6207365450251876</v>
      </c>
      <c r="I151" s="3">
        <f t="shared" si="26"/>
        <v>72.381310057646203</v>
      </c>
    </row>
    <row r="152" spans="1:9" ht="15.75" customHeight="1" thickBot="1">
      <c r="A152" s="16">
        <v>35521</v>
      </c>
      <c r="B152" s="14">
        <v>801.34</v>
      </c>
      <c r="C152" s="3">
        <f t="shared" si="27"/>
        <v>44.220000000000027</v>
      </c>
      <c r="D152" s="3">
        <f t="shared" si="21"/>
        <v>44.220000000000027</v>
      </c>
      <c r="E152" s="3">
        <f t="shared" si="22"/>
        <v>0</v>
      </c>
      <c r="F152" s="3">
        <f t="shared" si="23"/>
        <v>15.98787020679039</v>
      </c>
      <c r="G152" s="3">
        <f t="shared" si="24"/>
        <v>4.895302735626812</v>
      </c>
      <c r="H152" s="3">
        <f t="shared" si="25"/>
        <v>3.2659614880270009</v>
      </c>
      <c r="I152" s="3">
        <f t="shared" si="26"/>
        <v>76.55862569770882</v>
      </c>
    </row>
    <row r="153" spans="1:9" ht="15.75" customHeight="1" thickBot="1">
      <c r="A153" s="16">
        <v>35551</v>
      </c>
      <c r="B153" s="14">
        <v>848.28</v>
      </c>
      <c r="C153" s="3">
        <f t="shared" si="27"/>
        <v>46.939999999999941</v>
      </c>
      <c r="D153" s="3">
        <f t="shared" si="21"/>
        <v>46.939999999999941</v>
      </c>
      <c r="E153" s="3">
        <f t="shared" si="22"/>
        <v>0</v>
      </c>
      <c r="F153" s="3">
        <f t="shared" si="23"/>
        <v>18.19873662059107</v>
      </c>
      <c r="G153" s="3">
        <f t="shared" si="24"/>
        <v>4.5456382545106111</v>
      </c>
      <c r="H153" s="3">
        <f t="shared" si="25"/>
        <v>4.0035602486697144</v>
      </c>
      <c r="I153" s="3">
        <f t="shared" si="26"/>
        <v>80.014230861597639</v>
      </c>
    </row>
    <row r="154" spans="1:9" ht="15.75" customHeight="1" thickBot="1">
      <c r="A154" s="16">
        <v>35582</v>
      </c>
      <c r="B154" s="14">
        <v>885.14</v>
      </c>
      <c r="C154" s="3">
        <f t="shared" si="27"/>
        <v>36.860000000000014</v>
      </c>
      <c r="D154" s="3">
        <f t="shared" si="21"/>
        <v>36.860000000000014</v>
      </c>
      <c r="E154" s="3">
        <f t="shared" si="22"/>
        <v>0</v>
      </c>
      <c r="F154" s="3">
        <f t="shared" si="23"/>
        <v>19.531684004834567</v>
      </c>
      <c r="G154" s="3">
        <f t="shared" si="24"/>
        <v>4.2209498077598528</v>
      </c>
      <c r="H154" s="3">
        <f t="shared" si="25"/>
        <v>4.6273196541989785</v>
      </c>
      <c r="I154" s="3">
        <f t="shared" si="26"/>
        <v>82.229550452961689</v>
      </c>
    </row>
    <row r="155" spans="1:9" ht="15.75" customHeight="1" thickBot="1">
      <c r="A155" s="16">
        <v>35612</v>
      </c>
      <c r="B155" s="14">
        <v>954.31</v>
      </c>
      <c r="C155" s="3">
        <f t="shared" si="27"/>
        <v>69.169999999999959</v>
      </c>
      <c r="D155" s="3">
        <f t="shared" si="21"/>
        <v>69.169999999999959</v>
      </c>
      <c r="E155" s="3">
        <f t="shared" si="22"/>
        <v>0</v>
      </c>
      <c r="F155" s="3">
        <f t="shared" si="23"/>
        <v>23.077278004489237</v>
      </c>
      <c r="G155" s="3">
        <f t="shared" si="24"/>
        <v>3.9194533929198632</v>
      </c>
      <c r="H155" s="3">
        <f t="shared" si="25"/>
        <v>5.8878817250834636</v>
      </c>
      <c r="I155" s="3">
        <f t="shared" si="26"/>
        <v>85.481748381968885</v>
      </c>
    </row>
    <row r="156" spans="1:9" ht="15.75" customHeight="1" thickBot="1">
      <c r="A156" s="16">
        <v>35643</v>
      </c>
      <c r="B156" s="14">
        <v>899.47</v>
      </c>
      <c r="C156" s="3">
        <f t="shared" si="27"/>
        <v>-54.839999999999918</v>
      </c>
      <c r="D156" s="3">
        <f t="shared" si="21"/>
        <v>0</v>
      </c>
      <c r="E156" s="3">
        <f t="shared" si="22"/>
        <v>54.839999999999918</v>
      </c>
      <c r="F156" s="3">
        <f t="shared" si="23"/>
        <v>21.428901004168576</v>
      </c>
      <c r="G156" s="3">
        <f t="shared" si="24"/>
        <v>7.5566352934255816</v>
      </c>
      <c r="H156" s="3">
        <f t="shared" si="25"/>
        <v>2.8357728237608786</v>
      </c>
      <c r="I156" s="3">
        <f t="shared" si="26"/>
        <v>73.92963436714885</v>
      </c>
    </row>
    <row r="157" spans="1:9" ht="15.75" customHeight="1" thickBot="1">
      <c r="A157" s="16">
        <v>35674</v>
      </c>
      <c r="B157" s="14">
        <v>947.28</v>
      </c>
      <c r="C157" s="3">
        <f t="shared" si="27"/>
        <v>47.809999999999945</v>
      </c>
      <c r="D157" s="3">
        <f t="shared" si="21"/>
        <v>47.809999999999945</v>
      </c>
      <c r="E157" s="3">
        <f t="shared" si="22"/>
        <v>0</v>
      </c>
      <c r="F157" s="3">
        <f t="shared" si="23"/>
        <v>23.313265218156534</v>
      </c>
      <c r="G157" s="3">
        <f t="shared" si="24"/>
        <v>7.0168756296094683</v>
      </c>
      <c r="H157" s="3">
        <f t="shared" si="25"/>
        <v>3.3224566671497437</v>
      </c>
      <c r="I157" s="3">
        <f t="shared" si="26"/>
        <v>76.865008095976904</v>
      </c>
    </row>
    <row r="158" spans="1:9" ht="15.75" customHeight="1" thickBot="1">
      <c r="A158" s="16">
        <v>35704</v>
      </c>
      <c r="B158" s="14">
        <v>914.62</v>
      </c>
      <c r="C158" s="3">
        <f t="shared" si="27"/>
        <v>-32.659999999999968</v>
      </c>
      <c r="D158" s="3">
        <f t="shared" si="21"/>
        <v>0</v>
      </c>
      <c r="E158" s="3">
        <f t="shared" si="22"/>
        <v>32.659999999999968</v>
      </c>
      <c r="F158" s="3">
        <f t="shared" si="23"/>
        <v>21.64803198828821</v>
      </c>
      <c r="G158" s="3">
        <f t="shared" si="24"/>
        <v>8.8485273703516469</v>
      </c>
      <c r="H158" s="3">
        <f t="shared" si="25"/>
        <v>2.4465124062138606</v>
      </c>
      <c r="I158" s="3">
        <f t="shared" si="26"/>
        <v>70.985161747943849</v>
      </c>
    </row>
    <row r="159" spans="1:9" ht="15.75" customHeight="1" thickBot="1">
      <c r="A159" s="16">
        <v>35735</v>
      </c>
      <c r="B159" s="14">
        <v>955.4</v>
      </c>
      <c r="C159" s="3">
        <f t="shared" si="27"/>
        <v>40.779999999999973</v>
      </c>
      <c r="D159" s="3">
        <f t="shared" si="21"/>
        <v>40.779999999999973</v>
      </c>
      <c r="E159" s="3">
        <f t="shared" si="22"/>
        <v>0</v>
      </c>
      <c r="F159" s="3">
        <f t="shared" si="23"/>
        <v>23.014601131981909</v>
      </c>
      <c r="G159" s="3">
        <f t="shared" si="24"/>
        <v>8.2164897010408158</v>
      </c>
      <c r="H159" s="3">
        <f t="shared" si="25"/>
        <v>2.8010259818212342</v>
      </c>
      <c r="I159" s="3">
        <f t="shared" si="26"/>
        <v>73.691313745746697</v>
      </c>
    </row>
    <row r="160" spans="1:9" ht="15.75" customHeight="1" thickBot="1">
      <c r="A160" s="16">
        <v>35765</v>
      </c>
      <c r="B160" s="14">
        <v>970.43</v>
      </c>
      <c r="C160" s="3">
        <f t="shared" si="27"/>
        <v>15.029999999999973</v>
      </c>
      <c r="D160" s="3">
        <f t="shared" si="21"/>
        <v>15.029999999999973</v>
      </c>
      <c r="E160" s="3">
        <f t="shared" si="22"/>
        <v>0</v>
      </c>
      <c r="F160" s="3">
        <f t="shared" si="23"/>
        <v>22.444272479697485</v>
      </c>
      <c r="G160" s="3">
        <f t="shared" si="24"/>
        <v>7.6295975795379007</v>
      </c>
      <c r="H160" s="3">
        <f t="shared" si="25"/>
        <v>2.9417373912212104</v>
      </c>
      <c r="I160" s="3">
        <f t="shared" si="26"/>
        <v>74.6304763420532</v>
      </c>
    </row>
    <row r="161" spans="1:9" ht="15.75" customHeight="1" thickBot="1">
      <c r="A161" s="16">
        <v>35796</v>
      </c>
      <c r="B161" s="14">
        <v>980.28</v>
      </c>
      <c r="C161" s="3">
        <f t="shared" si="27"/>
        <v>9.8500000000000227</v>
      </c>
      <c r="D161" s="3">
        <f t="shared" si="21"/>
        <v>9.8500000000000227</v>
      </c>
      <c r="E161" s="3">
        <f t="shared" si="22"/>
        <v>0</v>
      </c>
      <c r="F161" s="3">
        <f t="shared" si="23"/>
        <v>21.544681588290523</v>
      </c>
      <c r="G161" s="3">
        <f t="shared" si="24"/>
        <v>7.0846263238566225</v>
      </c>
      <c r="H161" s="3">
        <f t="shared" si="25"/>
        <v>3.0410469943547218</v>
      </c>
      <c r="I161" s="3">
        <f t="shared" si="26"/>
        <v>75.253937868156839</v>
      </c>
    </row>
    <row r="162" spans="1:9" ht="15.75" customHeight="1" thickBot="1">
      <c r="A162" s="16">
        <v>35827</v>
      </c>
      <c r="B162" s="15">
        <v>1049.3399999999999</v>
      </c>
      <c r="C162" s="3">
        <f t="shared" si="27"/>
        <v>69.059999999999945</v>
      </c>
      <c r="D162" s="3">
        <f t="shared" si="21"/>
        <v>69.059999999999945</v>
      </c>
      <c r="E162" s="3">
        <f t="shared" si="22"/>
        <v>0</v>
      </c>
      <c r="F162" s="3">
        <f t="shared" si="23"/>
        <v>24.938632903412621</v>
      </c>
      <c r="G162" s="3">
        <f t="shared" si="24"/>
        <v>6.5785815864382924</v>
      </c>
      <c r="H162" s="3">
        <f t="shared" si="25"/>
        <v>3.7908829700954789</v>
      </c>
      <c r="I162" s="3">
        <f t="shared" si="26"/>
        <v>79.127020921989441</v>
      </c>
    </row>
    <row r="163" spans="1:9" ht="15.75" customHeight="1" thickBot="1">
      <c r="A163" s="16">
        <v>35855</v>
      </c>
      <c r="B163" s="15">
        <v>1101.75</v>
      </c>
      <c r="C163" s="3">
        <f t="shared" si="27"/>
        <v>52.410000000000082</v>
      </c>
      <c r="D163" s="3">
        <f t="shared" si="21"/>
        <v>52.410000000000082</v>
      </c>
      <c r="E163" s="3">
        <f t="shared" si="22"/>
        <v>0</v>
      </c>
      <c r="F163" s="3">
        <f t="shared" si="23"/>
        <v>26.900873410311725</v>
      </c>
      <c r="G163" s="3">
        <f t="shared" si="24"/>
        <v>6.1086829016927</v>
      </c>
      <c r="H163" s="3">
        <f t="shared" si="25"/>
        <v>4.4037108887838263</v>
      </c>
      <c r="I163" s="3">
        <f t="shared" si="26"/>
        <v>81.494198698238222</v>
      </c>
    </row>
    <row r="164" spans="1:9" ht="15.75" customHeight="1" thickBot="1">
      <c r="A164" s="16">
        <v>35886</v>
      </c>
      <c r="B164" s="15">
        <v>1111.75</v>
      </c>
      <c r="C164" s="3">
        <f t="shared" si="27"/>
        <v>10</v>
      </c>
      <c r="D164" s="3">
        <f t="shared" si="21"/>
        <v>10</v>
      </c>
      <c r="E164" s="3">
        <f t="shared" si="22"/>
        <v>0</v>
      </c>
      <c r="F164" s="3">
        <f t="shared" si="23"/>
        <v>25.69366816671803</v>
      </c>
      <c r="G164" s="3">
        <f t="shared" si="24"/>
        <v>5.6723484087146501</v>
      </c>
      <c r="H164" s="3">
        <f t="shared" si="25"/>
        <v>4.5296350497871121</v>
      </c>
      <c r="I164" s="3">
        <f t="shared" si="26"/>
        <v>81.915623888442695</v>
      </c>
    </row>
    <row r="165" spans="1:9" ht="15.75" customHeight="1" thickBot="1">
      <c r="A165" s="16">
        <v>35916</v>
      </c>
      <c r="B165" s="15">
        <v>1090.82</v>
      </c>
      <c r="C165" s="3">
        <f t="shared" si="27"/>
        <v>-20.930000000000064</v>
      </c>
      <c r="D165" s="3">
        <f t="shared" si="21"/>
        <v>0</v>
      </c>
      <c r="E165" s="3">
        <f t="shared" si="22"/>
        <v>20.930000000000064</v>
      </c>
      <c r="F165" s="3">
        <f t="shared" si="23"/>
        <v>23.858406154809597</v>
      </c>
      <c r="G165" s="3">
        <f t="shared" si="24"/>
        <v>6.7621806652350367</v>
      </c>
      <c r="H165" s="3">
        <f t="shared" si="25"/>
        <v>3.5282118795594672</v>
      </c>
      <c r="I165" s="3">
        <f t="shared" si="26"/>
        <v>77.916227716418462</v>
      </c>
    </row>
    <row r="166" spans="1:9" ht="15.75" customHeight="1" thickBot="1">
      <c r="A166" s="16">
        <v>35947</v>
      </c>
      <c r="B166" s="15">
        <v>1133.8399999999999</v>
      </c>
      <c r="C166" s="3">
        <f t="shared" si="27"/>
        <v>43.019999999999982</v>
      </c>
      <c r="D166" s="3">
        <f t="shared" ref="D166:D229" si="28">IF(C166&gt;0,C166,0)</f>
        <v>43.019999999999982</v>
      </c>
      <c r="E166" s="3">
        <f t="shared" ref="E166:E229" si="29">IF(C166&lt;0,-C166,0)</f>
        <v>0</v>
      </c>
      <c r="F166" s="3">
        <f t="shared" ref="F166:G229" si="30">((F165*13)+D166)/14</f>
        <v>25.22709142946605</v>
      </c>
      <c r="G166" s="3">
        <f t="shared" si="30"/>
        <v>6.2791677605753913</v>
      </c>
      <c r="H166" s="3">
        <f t="shared" ref="H166:H229" si="31">F166/G166</f>
        <v>4.0175851946268697</v>
      </c>
      <c r="I166" s="3">
        <f t="shared" ref="I166:I229" si="32">IF(G166=0,100,100-(100/(1+H166)))</f>
        <v>80.070094254286715</v>
      </c>
    </row>
    <row r="167" spans="1:9" ht="15.75" customHeight="1" thickBot="1">
      <c r="A167" s="16">
        <v>35977</v>
      </c>
      <c r="B167" s="15">
        <v>1120.67</v>
      </c>
      <c r="C167" s="3">
        <f t="shared" si="27"/>
        <v>-13.169999999999845</v>
      </c>
      <c r="D167" s="3">
        <f t="shared" si="28"/>
        <v>0</v>
      </c>
      <c r="E167" s="3">
        <f t="shared" si="29"/>
        <v>13.169999999999845</v>
      </c>
      <c r="F167" s="3">
        <f t="shared" si="30"/>
        <v>23.425156327361332</v>
      </c>
      <c r="G167" s="3">
        <f t="shared" si="30"/>
        <v>6.7713700633914238</v>
      </c>
      <c r="H167" s="3">
        <f t="shared" si="31"/>
        <v>3.4594411630234991</v>
      </c>
      <c r="I167" s="3">
        <f t="shared" si="32"/>
        <v>77.575665572365111</v>
      </c>
    </row>
    <row r="168" spans="1:9" ht="15.75" customHeight="1" thickBot="1">
      <c r="A168" s="16">
        <v>36008</v>
      </c>
      <c r="B168" s="14">
        <v>957.28</v>
      </c>
      <c r="C168" s="3">
        <f t="shared" si="27"/>
        <v>-163.3900000000001</v>
      </c>
      <c r="D168" s="3">
        <f t="shared" si="28"/>
        <v>0</v>
      </c>
      <c r="E168" s="3">
        <f t="shared" si="29"/>
        <v>163.3900000000001</v>
      </c>
      <c r="F168" s="3">
        <f t="shared" si="30"/>
        <v>21.751930875406948</v>
      </c>
      <c r="G168" s="3">
        <f t="shared" si="30"/>
        <v>17.958415058863473</v>
      </c>
      <c r="H168" s="3">
        <f t="shared" si="31"/>
        <v>1.2112388985391651</v>
      </c>
      <c r="I168" s="3">
        <f t="shared" si="32"/>
        <v>54.776482963435527</v>
      </c>
    </row>
    <row r="169" spans="1:9" ht="15.75" customHeight="1" thickBot="1">
      <c r="A169" s="16">
        <v>36039</v>
      </c>
      <c r="B169" s="15">
        <v>1017.01</v>
      </c>
      <c r="C169" s="3">
        <f t="shared" si="27"/>
        <v>59.730000000000018</v>
      </c>
      <c r="D169" s="3">
        <f t="shared" si="28"/>
        <v>59.730000000000018</v>
      </c>
      <c r="E169" s="3">
        <f t="shared" si="29"/>
        <v>0</v>
      </c>
      <c r="F169" s="3">
        <f t="shared" si="30"/>
        <v>24.464650098592166</v>
      </c>
      <c r="G169" s="3">
        <f t="shared" si="30"/>
        <v>16.675671126087511</v>
      </c>
      <c r="H169" s="3">
        <f t="shared" si="31"/>
        <v>1.4670863867253614</v>
      </c>
      <c r="I169" s="3">
        <f t="shared" si="32"/>
        <v>59.466356533735713</v>
      </c>
    </row>
    <row r="170" spans="1:9" ht="15.75" customHeight="1" thickBot="1">
      <c r="A170" s="16">
        <v>36069</v>
      </c>
      <c r="B170" s="15">
        <v>1098.67</v>
      </c>
      <c r="C170" s="3">
        <f t="shared" si="27"/>
        <v>81.660000000000082</v>
      </c>
      <c r="D170" s="3">
        <f t="shared" si="28"/>
        <v>81.660000000000082</v>
      </c>
      <c r="E170" s="3">
        <f t="shared" si="29"/>
        <v>0</v>
      </c>
      <c r="F170" s="3">
        <f t="shared" si="30"/>
        <v>28.550032234407016</v>
      </c>
      <c r="G170" s="3">
        <f t="shared" si="30"/>
        <v>15.484551759938403</v>
      </c>
      <c r="H170" s="3">
        <f t="shared" si="31"/>
        <v>1.8437751816795622</v>
      </c>
      <c r="I170" s="3">
        <f t="shared" si="32"/>
        <v>64.835476220402555</v>
      </c>
    </row>
    <row r="171" spans="1:9" ht="15.75" customHeight="1" thickBot="1">
      <c r="A171" s="16">
        <v>36100</v>
      </c>
      <c r="B171" s="15">
        <v>1163.6300000000001</v>
      </c>
      <c r="C171" s="3">
        <f t="shared" ref="C171:C234" si="33">B171-B170</f>
        <v>64.960000000000036</v>
      </c>
      <c r="D171" s="3">
        <f t="shared" si="28"/>
        <v>64.960000000000036</v>
      </c>
      <c r="E171" s="3">
        <f t="shared" si="29"/>
        <v>0</v>
      </c>
      <c r="F171" s="3">
        <f t="shared" si="30"/>
        <v>31.150744217663661</v>
      </c>
      <c r="G171" s="3">
        <f t="shared" si="30"/>
        <v>14.378512348514231</v>
      </c>
      <c r="H171" s="3">
        <f t="shared" si="31"/>
        <v>2.1664789418136534</v>
      </c>
      <c r="I171" s="3">
        <f t="shared" si="32"/>
        <v>68.419180472198775</v>
      </c>
    </row>
    <row r="172" spans="1:9" ht="15.75" customHeight="1" thickBot="1">
      <c r="A172" s="16">
        <v>36130</v>
      </c>
      <c r="B172" s="15">
        <v>1229.23</v>
      </c>
      <c r="C172" s="3">
        <f t="shared" si="33"/>
        <v>65.599999999999909</v>
      </c>
      <c r="D172" s="3">
        <f t="shared" si="28"/>
        <v>65.599999999999909</v>
      </c>
      <c r="E172" s="3">
        <f t="shared" si="29"/>
        <v>0</v>
      </c>
      <c r="F172" s="3">
        <f t="shared" si="30"/>
        <v>33.611405344973392</v>
      </c>
      <c r="G172" s="3">
        <f t="shared" si="30"/>
        <v>13.351475752191787</v>
      </c>
      <c r="H172" s="3">
        <f t="shared" si="31"/>
        <v>2.5174299806862717</v>
      </c>
      <c r="I172" s="3">
        <f t="shared" si="32"/>
        <v>71.570151915152152</v>
      </c>
    </row>
    <row r="173" spans="1:9" ht="15.75" customHeight="1" thickBot="1">
      <c r="A173" s="16">
        <v>36161</v>
      </c>
      <c r="B173" s="15">
        <v>1279.6400000000001</v>
      </c>
      <c r="C173" s="3">
        <f t="shared" si="33"/>
        <v>50.410000000000082</v>
      </c>
      <c r="D173" s="3">
        <f t="shared" si="28"/>
        <v>50.410000000000082</v>
      </c>
      <c r="E173" s="3">
        <f t="shared" si="29"/>
        <v>0</v>
      </c>
      <c r="F173" s="3">
        <f t="shared" si="30"/>
        <v>34.811304963189585</v>
      </c>
      <c r="G173" s="3">
        <f t="shared" si="30"/>
        <v>12.397798912749517</v>
      </c>
      <c r="H173" s="3">
        <f t="shared" si="31"/>
        <v>2.8078617186951389</v>
      </c>
      <c r="I173" s="3">
        <f t="shared" si="32"/>
        <v>73.738542156339761</v>
      </c>
    </row>
    <row r="174" spans="1:9" ht="15.75" customHeight="1" thickBot="1">
      <c r="A174" s="16">
        <v>36192</v>
      </c>
      <c r="B174" s="15">
        <v>1238.33</v>
      </c>
      <c r="C174" s="3">
        <f t="shared" si="33"/>
        <v>-41.310000000000173</v>
      </c>
      <c r="D174" s="3">
        <f t="shared" si="28"/>
        <v>0</v>
      </c>
      <c r="E174" s="3">
        <f t="shared" si="29"/>
        <v>41.310000000000173</v>
      </c>
      <c r="F174" s="3">
        <f t="shared" si="30"/>
        <v>32.32478318010461</v>
      </c>
      <c r="G174" s="3">
        <f t="shared" si="30"/>
        <v>14.462956133267422</v>
      </c>
      <c r="H174" s="3">
        <f t="shared" si="31"/>
        <v>2.2350052701709955</v>
      </c>
      <c r="I174" s="3">
        <f t="shared" si="32"/>
        <v>69.088149276889979</v>
      </c>
    </row>
    <row r="175" spans="1:9" ht="15.75" customHeight="1" thickBot="1">
      <c r="A175" s="16">
        <v>36220</v>
      </c>
      <c r="B175" s="15">
        <v>1286.3699999999999</v>
      </c>
      <c r="C175" s="3">
        <f t="shared" si="33"/>
        <v>48.039999999999964</v>
      </c>
      <c r="D175" s="3">
        <f t="shared" si="28"/>
        <v>48.039999999999964</v>
      </c>
      <c r="E175" s="3">
        <f t="shared" si="29"/>
        <v>0</v>
      </c>
      <c r="F175" s="3">
        <f t="shared" si="30"/>
        <v>33.447298667239991</v>
      </c>
      <c r="G175" s="3">
        <f t="shared" si="30"/>
        <v>13.429887838034034</v>
      </c>
      <c r="H175" s="3">
        <f t="shared" si="31"/>
        <v>2.4905121376007151</v>
      </c>
      <c r="I175" s="3">
        <f t="shared" si="32"/>
        <v>71.350908961818618</v>
      </c>
    </row>
    <row r="176" spans="1:9" ht="15.75" customHeight="1" thickBot="1">
      <c r="A176" s="16">
        <v>36251</v>
      </c>
      <c r="B176" s="15">
        <v>1335.18</v>
      </c>
      <c r="C176" s="3">
        <f t="shared" si="33"/>
        <v>48.810000000000173</v>
      </c>
      <c r="D176" s="3">
        <f t="shared" si="28"/>
        <v>48.810000000000173</v>
      </c>
      <c r="E176" s="3">
        <f t="shared" si="29"/>
        <v>0</v>
      </c>
      <c r="F176" s="3">
        <f t="shared" si="30"/>
        <v>34.544634476722862</v>
      </c>
      <c r="G176" s="3">
        <f t="shared" si="30"/>
        <v>12.470610135317317</v>
      </c>
      <c r="H176" s="3">
        <f t="shared" si="31"/>
        <v>2.7700837490613979</v>
      </c>
      <c r="I176" s="3">
        <f t="shared" si="32"/>
        <v>73.475390294739185</v>
      </c>
    </row>
    <row r="177" spans="1:9" ht="15.75" customHeight="1" thickBot="1">
      <c r="A177" s="16">
        <v>36281</v>
      </c>
      <c r="B177" s="15">
        <v>1301.8399999999999</v>
      </c>
      <c r="C177" s="3">
        <f t="shared" si="33"/>
        <v>-33.340000000000146</v>
      </c>
      <c r="D177" s="3">
        <f t="shared" si="28"/>
        <v>0</v>
      </c>
      <c r="E177" s="3">
        <f t="shared" si="29"/>
        <v>33.340000000000146</v>
      </c>
      <c r="F177" s="3">
        <f t="shared" si="30"/>
        <v>32.077160585528375</v>
      </c>
      <c r="G177" s="3">
        <f t="shared" si="30"/>
        <v>13.961280839937519</v>
      </c>
      <c r="H177" s="3">
        <f t="shared" si="31"/>
        <v>2.2975800682820395</v>
      </c>
      <c r="I177" s="3">
        <f t="shared" si="32"/>
        <v>69.674731794428396</v>
      </c>
    </row>
    <row r="178" spans="1:9" ht="15.75" customHeight="1" thickBot="1">
      <c r="A178" s="16">
        <v>36312</v>
      </c>
      <c r="B178" s="15">
        <v>1372.71</v>
      </c>
      <c r="C178" s="3">
        <f t="shared" si="33"/>
        <v>70.870000000000118</v>
      </c>
      <c r="D178" s="3">
        <f t="shared" si="28"/>
        <v>70.870000000000118</v>
      </c>
      <c r="E178" s="3">
        <f t="shared" si="29"/>
        <v>0</v>
      </c>
      <c r="F178" s="3">
        <f t="shared" si="30"/>
        <v>34.848077686562071</v>
      </c>
      <c r="G178" s="3">
        <f t="shared" si="30"/>
        <v>12.964046494227697</v>
      </c>
      <c r="H178" s="3">
        <f t="shared" si="31"/>
        <v>2.6880555929877561</v>
      </c>
      <c r="I178" s="3">
        <f t="shared" si="32"/>
        <v>72.885441263376322</v>
      </c>
    </row>
    <row r="179" spans="1:9" ht="15.75" customHeight="1" thickBot="1">
      <c r="A179" s="16">
        <v>36342</v>
      </c>
      <c r="B179" s="15">
        <v>1328.72</v>
      </c>
      <c r="C179" s="3">
        <f t="shared" si="33"/>
        <v>-43.990000000000009</v>
      </c>
      <c r="D179" s="3">
        <f t="shared" si="28"/>
        <v>0</v>
      </c>
      <c r="E179" s="3">
        <f t="shared" si="29"/>
        <v>43.990000000000009</v>
      </c>
      <c r="F179" s="3">
        <f t="shared" si="30"/>
        <v>32.358929280379066</v>
      </c>
      <c r="G179" s="3">
        <f t="shared" si="30"/>
        <v>15.180186030354291</v>
      </c>
      <c r="H179" s="3">
        <f t="shared" si="31"/>
        <v>2.1316556474126318</v>
      </c>
      <c r="I179" s="3">
        <f t="shared" si="32"/>
        <v>68.06800898348456</v>
      </c>
    </row>
    <row r="180" spans="1:9" ht="15.75" customHeight="1" thickBot="1">
      <c r="A180" s="16">
        <v>36373</v>
      </c>
      <c r="B180" s="15">
        <v>1320.41</v>
      </c>
      <c r="C180" s="3">
        <f t="shared" si="33"/>
        <v>-8.3099999999999454</v>
      </c>
      <c r="D180" s="3">
        <f t="shared" si="28"/>
        <v>0</v>
      </c>
      <c r="E180" s="3">
        <f t="shared" si="29"/>
        <v>8.3099999999999454</v>
      </c>
      <c r="F180" s="3">
        <f t="shared" si="30"/>
        <v>30.047577188923416</v>
      </c>
      <c r="G180" s="3">
        <f t="shared" si="30"/>
        <v>14.689458456757551</v>
      </c>
      <c r="H180" s="3">
        <f t="shared" si="31"/>
        <v>2.0455197363045547</v>
      </c>
      <c r="I180" s="3">
        <f t="shared" si="32"/>
        <v>67.16488197139698</v>
      </c>
    </row>
    <row r="181" spans="1:9" ht="15.75" customHeight="1" thickBot="1">
      <c r="A181" s="16">
        <v>36404</v>
      </c>
      <c r="B181" s="15">
        <v>1282.71</v>
      </c>
      <c r="C181" s="3">
        <f t="shared" si="33"/>
        <v>-37.700000000000045</v>
      </c>
      <c r="D181" s="3">
        <f t="shared" si="28"/>
        <v>0</v>
      </c>
      <c r="E181" s="3">
        <f t="shared" si="29"/>
        <v>37.700000000000045</v>
      </c>
      <c r="F181" s="3">
        <f t="shared" si="30"/>
        <v>27.901321675428886</v>
      </c>
      <c r="G181" s="3">
        <f t="shared" si="30"/>
        <v>16.333068566989159</v>
      </c>
      <c r="H181" s="3">
        <f t="shared" si="31"/>
        <v>1.7082718756119335</v>
      </c>
      <c r="I181" s="3">
        <f t="shared" si="32"/>
        <v>63.076085196429915</v>
      </c>
    </row>
    <row r="182" spans="1:9" ht="15.75" customHeight="1" thickBot="1">
      <c r="A182" s="16">
        <v>36434</v>
      </c>
      <c r="B182" s="15">
        <v>1362.93</v>
      </c>
      <c r="C182" s="3">
        <f t="shared" si="33"/>
        <v>80.220000000000027</v>
      </c>
      <c r="D182" s="3">
        <f t="shared" si="28"/>
        <v>80.220000000000027</v>
      </c>
      <c r="E182" s="3">
        <f t="shared" si="29"/>
        <v>0</v>
      </c>
      <c r="F182" s="3">
        <f t="shared" si="30"/>
        <v>31.638370127183968</v>
      </c>
      <c r="G182" s="3">
        <f t="shared" si="30"/>
        <v>15.166420812204219</v>
      </c>
      <c r="H182" s="3">
        <f t="shared" si="31"/>
        <v>2.0860801977566776</v>
      </c>
      <c r="I182" s="3">
        <f t="shared" si="32"/>
        <v>67.596435091773813</v>
      </c>
    </row>
    <row r="183" spans="1:9" ht="15.75" customHeight="1" thickBot="1">
      <c r="A183" s="16">
        <v>36465</v>
      </c>
      <c r="B183" s="15">
        <v>1388.91</v>
      </c>
      <c r="C183" s="3">
        <f t="shared" si="33"/>
        <v>25.980000000000018</v>
      </c>
      <c r="D183" s="3">
        <f t="shared" si="28"/>
        <v>25.980000000000018</v>
      </c>
      <c r="E183" s="3">
        <f t="shared" si="29"/>
        <v>0</v>
      </c>
      <c r="F183" s="3">
        <f t="shared" si="30"/>
        <v>31.234200832385113</v>
      </c>
      <c r="G183" s="3">
        <f t="shared" si="30"/>
        <v>14.083105039903916</v>
      </c>
      <c r="H183" s="3">
        <f t="shared" si="31"/>
        <v>2.2178490285973336</v>
      </c>
      <c r="I183" s="3">
        <f t="shared" si="32"/>
        <v>68.923340059993365</v>
      </c>
    </row>
    <row r="184" spans="1:9" ht="15.75" customHeight="1" thickBot="1">
      <c r="A184" s="16">
        <v>36495</v>
      </c>
      <c r="B184" s="15">
        <v>1469.25</v>
      </c>
      <c r="C184" s="3">
        <f t="shared" si="33"/>
        <v>80.339999999999918</v>
      </c>
      <c r="D184" s="3">
        <f t="shared" si="28"/>
        <v>80.339999999999918</v>
      </c>
      <c r="E184" s="3">
        <f t="shared" si="29"/>
        <v>0</v>
      </c>
      <c r="F184" s="3">
        <f t="shared" si="30"/>
        <v>34.741757915786174</v>
      </c>
      <c r="G184" s="3">
        <f t="shared" si="30"/>
        <v>13.077168965625065</v>
      </c>
      <c r="H184" s="3">
        <f t="shared" si="31"/>
        <v>2.6566727100574385</v>
      </c>
      <c r="I184" s="3">
        <f t="shared" si="32"/>
        <v>72.652734349192215</v>
      </c>
    </row>
    <row r="185" spans="1:9" ht="15.75" customHeight="1" thickBot="1">
      <c r="A185" s="16">
        <v>36526</v>
      </c>
      <c r="B185" s="15">
        <v>1394.46</v>
      </c>
      <c r="C185" s="3">
        <f t="shared" si="33"/>
        <v>-74.789999999999964</v>
      </c>
      <c r="D185" s="3">
        <f t="shared" si="28"/>
        <v>0</v>
      </c>
      <c r="E185" s="3">
        <f t="shared" si="29"/>
        <v>74.789999999999964</v>
      </c>
      <c r="F185" s="3">
        <f t="shared" si="30"/>
        <v>32.260203778944302</v>
      </c>
      <c r="G185" s="3">
        <f t="shared" si="30"/>
        <v>17.485228325223272</v>
      </c>
      <c r="H185" s="3">
        <f t="shared" si="31"/>
        <v>1.8449975704582267</v>
      </c>
      <c r="I185" s="3">
        <f t="shared" si="32"/>
        <v>64.850585097725201</v>
      </c>
    </row>
    <row r="186" spans="1:9" ht="15.75" customHeight="1" thickBot="1">
      <c r="A186" s="16">
        <v>36557</v>
      </c>
      <c r="B186" s="15">
        <v>1366.42</v>
      </c>
      <c r="C186" s="3">
        <f t="shared" si="33"/>
        <v>-28.039999999999964</v>
      </c>
      <c r="D186" s="3">
        <f t="shared" si="28"/>
        <v>0</v>
      </c>
      <c r="E186" s="3">
        <f t="shared" si="29"/>
        <v>28.039999999999964</v>
      </c>
      <c r="F186" s="3">
        <f t="shared" si="30"/>
        <v>29.955903509019709</v>
      </c>
      <c r="G186" s="3">
        <f t="shared" si="30"/>
        <v>18.239140587707322</v>
      </c>
      <c r="H186" s="3">
        <f t="shared" si="31"/>
        <v>1.6423966559701373</v>
      </c>
      <c r="I186" s="3">
        <f t="shared" si="32"/>
        <v>62.155568213400684</v>
      </c>
    </row>
    <row r="187" spans="1:9" ht="15.75" customHeight="1" thickBot="1">
      <c r="A187" s="16">
        <v>36586</v>
      </c>
      <c r="B187" s="15">
        <v>1498.58</v>
      </c>
      <c r="C187" s="3">
        <f t="shared" si="33"/>
        <v>132.15999999999985</v>
      </c>
      <c r="D187" s="3">
        <f t="shared" si="28"/>
        <v>132.15999999999985</v>
      </c>
      <c r="E187" s="3">
        <f t="shared" si="29"/>
        <v>0</v>
      </c>
      <c r="F187" s="3">
        <f t="shared" si="30"/>
        <v>37.2561961155183</v>
      </c>
      <c r="G187" s="3">
        <f t="shared" si="30"/>
        <v>16.936344831442515</v>
      </c>
      <c r="H187" s="3">
        <f t="shared" si="31"/>
        <v>2.1997778438209261</v>
      </c>
      <c r="I187" s="3">
        <f t="shared" si="32"/>
        <v>68.747830355438751</v>
      </c>
    </row>
    <row r="188" spans="1:9" ht="15.75" customHeight="1" thickBot="1">
      <c r="A188" s="16">
        <v>36617</v>
      </c>
      <c r="B188" s="15">
        <v>1452.43</v>
      </c>
      <c r="C188" s="3">
        <f t="shared" si="33"/>
        <v>-46.149999999999864</v>
      </c>
      <c r="D188" s="3">
        <f t="shared" si="28"/>
        <v>0</v>
      </c>
      <c r="E188" s="3">
        <f t="shared" si="29"/>
        <v>46.149999999999864</v>
      </c>
      <c r="F188" s="3">
        <f t="shared" si="30"/>
        <v>34.595039250124138</v>
      </c>
      <c r="G188" s="3">
        <f t="shared" si="30"/>
        <v>19.023034486339469</v>
      </c>
      <c r="H188" s="3">
        <f t="shared" si="31"/>
        <v>1.8185867914483884</v>
      </c>
      <c r="I188" s="3">
        <f t="shared" si="32"/>
        <v>64.521227338678841</v>
      </c>
    </row>
    <row r="189" spans="1:9" ht="15.75" customHeight="1" thickBot="1">
      <c r="A189" s="16">
        <v>36647</v>
      </c>
      <c r="B189" s="15">
        <v>1420.6</v>
      </c>
      <c r="C189" s="3">
        <f t="shared" si="33"/>
        <v>-31.830000000000155</v>
      </c>
      <c r="D189" s="3">
        <f t="shared" si="28"/>
        <v>0</v>
      </c>
      <c r="E189" s="3">
        <f t="shared" si="29"/>
        <v>31.830000000000155</v>
      </c>
      <c r="F189" s="3">
        <f t="shared" si="30"/>
        <v>32.123965017972417</v>
      </c>
      <c r="G189" s="3">
        <f t="shared" si="30"/>
        <v>19.937817737315235</v>
      </c>
      <c r="H189" s="3">
        <f t="shared" si="31"/>
        <v>1.6112076778518154</v>
      </c>
      <c r="I189" s="3">
        <f t="shared" si="32"/>
        <v>61.703543977678613</v>
      </c>
    </row>
    <row r="190" spans="1:9" ht="15.75" customHeight="1" thickBot="1">
      <c r="A190" s="16">
        <v>36678</v>
      </c>
      <c r="B190" s="15">
        <v>1454.6</v>
      </c>
      <c r="C190" s="3">
        <f t="shared" si="33"/>
        <v>34</v>
      </c>
      <c r="D190" s="3">
        <f t="shared" si="28"/>
        <v>34</v>
      </c>
      <c r="E190" s="3">
        <f t="shared" si="29"/>
        <v>0</v>
      </c>
      <c r="F190" s="3">
        <f t="shared" si="30"/>
        <v>32.257967516688673</v>
      </c>
      <c r="G190" s="3">
        <f t="shared" si="30"/>
        <v>18.513687898935576</v>
      </c>
      <c r="H190" s="3">
        <f t="shared" si="31"/>
        <v>1.7423847529882639</v>
      </c>
      <c r="I190" s="3">
        <f t="shared" si="32"/>
        <v>63.535386531363223</v>
      </c>
    </row>
    <row r="191" spans="1:9" ht="15.75" customHeight="1" thickBot="1">
      <c r="A191" s="16">
        <v>36708</v>
      </c>
      <c r="B191" s="15">
        <v>1430.83</v>
      </c>
      <c r="C191" s="3">
        <f t="shared" si="33"/>
        <v>-23.769999999999982</v>
      </c>
      <c r="D191" s="3">
        <f t="shared" si="28"/>
        <v>0</v>
      </c>
      <c r="E191" s="3">
        <f t="shared" si="29"/>
        <v>23.769999999999982</v>
      </c>
      <c r="F191" s="3">
        <f t="shared" si="30"/>
        <v>29.953826979782342</v>
      </c>
      <c r="G191" s="3">
        <f t="shared" si="30"/>
        <v>18.889138763297321</v>
      </c>
      <c r="H191" s="3">
        <f t="shared" si="31"/>
        <v>1.5857698625193195</v>
      </c>
      <c r="I191" s="3">
        <f t="shared" si="32"/>
        <v>61.326798084586748</v>
      </c>
    </row>
    <row r="192" spans="1:9" ht="15.75" customHeight="1" thickBot="1">
      <c r="A192" s="16">
        <v>36739</v>
      </c>
      <c r="B192" s="15">
        <v>1517.68</v>
      </c>
      <c r="C192" s="3">
        <f t="shared" si="33"/>
        <v>86.850000000000136</v>
      </c>
      <c r="D192" s="3">
        <f t="shared" si="28"/>
        <v>86.850000000000136</v>
      </c>
      <c r="E192" s="3">
        <f t="shared" si="29"/>
        <v>0</v>
      </c>
      <c r="F192" s="3">
        <f t="shared" si="30"/>
        <v>34.017839338369328</v>
      </c>
      <c r="G192" s="3">
        <f t="shared" si="30"/>
        <v>17.539914565918941</v>
      </c>
      <c r="H192" s="3">
        <f t="shared" si="31"/>
        <v>1.9394529665764699</v>
      </c>
      <c r="I192" s="3">
        <f t="shared" si="32"/>
        <v>65.980064611658577</v>
      </c>
    </row>
    <row r="193" spans="1:9" ht="15.75" customHeight="1" thickBot="1">
      <c r="A193" s="16">
        <v>36770</v>
      </c>
      <c r="B193" s="15">
        <v>1436.51</v>
      </c>
      <c r="C193" s="3">
        <f t="shared" si="33"/>
        <v>-81.170000000000073</v>
      </c>
      <c r="D193" s="3">
        <f t="shared" si="28"/>
        <v>0</v>
      </c>
      <c r="E193" s="3">
        <f t="shared" si="29"/>
        <v>81.170000000000073</v>
      </c>
      <c r="F193" s="3">
        <f t="shared" si="30"/>
        <v>31.587993671342947</v>
      </c>
      <c r="G193" s="3">
        <f t="shared" si="30"/>
        <v>22.084920668353309</v>
      </c>
      <c r="H193" s="3">
        <f t="shared" si="31"/>
        <v>1.4302969046480258</v>
      </c>
      <c r="I193" s="3">
        <f t="shared" si="32"/>
        <v>58.852764117525489</v>
      </c>
    </row>
    <row r="194" spans="1:9" ht="15.75" customHeight="1" thickBot="1">
      <c r="A194" s="16">
        <v>36800</v>
      </c>
      <c r="B194" s="15">
        <v>1429.4</v>
      </c>
      <c r="C194" s="3">
        <f t="shared" si="33"/>
        <v>-7.1099999999999</v>
      </c>
      <c r="D194" s="3">
        <f t="shared" si="28"/>
        <v>0</v>
      </c>
      <c r="E194" s="3">
        <f t="shared" si="29"/>
        <v>7.1099999999999</v>
      </c>
      <c r="F194" s="3">
        <f t="shared" si="30"/>
        <v>29.331708409104163</v>
      </c>
      <c r="G194" s="3">
        <f t="shared" si="30"/>
        <v>21.015283477756636</v>
      </c>
      <c r="H194" s="3">
        <f t="shared" si="31"/>
        <v>1.3957322269837542</v>
      </c>
      <c r="I194" s="3">
        <f t="shared" si="32"/>
        <v>58.259108061546264</v>
      </c>
    </row>
    <row r="195" spans="1:9" ht="15.75" customHeight="1" thickBot="1">
      <c r="A195" s="16">
        <v>36831</v>
      </c>
      <c r="B195" s="15">
        <v>1314.95</v>
      </c>
      <c r="C195" s="3">
        <f t="shared" si="33"/>
        <v>-114.45000000000005</v>
      </c>
      <c r="D195" s="3">
        <f t="shared" si="28"/>
        <v>0</v>
      </c>
      <c r="E195" s="3">
        <f t="shared" si="29"/>
        <v>114.45000000000005</v>
      </c>
      <c r="F195" s="3">
        <f t="shared" si="30"/>
        <v>27.236586379882436</v>
      </c>
      <c r="G195" s="3">
        <f t="shared" si="30"/>
        <v>27.689191800774022</v>
      </c>
      <c r="H195" s="3">
        <f t="shared" si="31"/>
        <v>0.98365407614104017</v>
      </c>
      <c r="I195" s="3">
        <f t="shared" si="32"/>
        <v>49.58798451666636</v>
      </c>
    </row>
    <row r="196" spans="1:9" ht="15.75" customHeight="1" thickBot="1">
      <c r="A196" s="16">
        <v>36861</v>
      </c>
      <c r="B196" s="15">
        <v>1320.28</v>
      </c>
      <c r="C196" s="3">
        <f t="shared" si="33"/>
        <v>5.3299999999999272</v>
      </c>
      <c r="D196" s="3">
        <f t="shared" si="28"/>
        <v>5.3299999999999272</v>
      </c>
      <c r="E196" s="3">
        <f t="shared" si="29"/>
        <v>0</v>
      </c>
      <c r="F196" s="3">
        <f t="shared" si="30"/>
        <v>25.671830209890828</v>
      </c>
      <c r="G196" s="3">
        <f t="shared" si="30"/>
        <v>25.711392386433022</v>
      </c>
      <c r="H196" s="3">
        <f t="shared" si="31"/>
        <v>0.99846129778008175</v>
      </c>
      <c r="I196" s="3">
        <f t="shared" si="32"/>
        <v>49.961502826659</v>
      </c>
    </row>
    <row r="197" spans="1:9" ht="15.75" customHeight="1" thickBot="1">
      <c r="A197" s="16">
        <v>36892</v>
      </c>
      <c r="B197" s="15">
        <v>1366.01</v>
      </c>
      <c r="C197" s="3">
        <f t="shared" si="33"/>
        <v>45.730000000000018</v>
      </c>
      <c r="D197" s="3">
        <f t="shared" si="28"/>
        <v>45.730000000000018</v>
      </c>
      <c r="E197" s="3">
        <f t="shared" si="29"/>
        <v>0</v>
      </c>
      <c r="F197" s="3">
        <f t="shared" si="30"/>
        <v>27.104556623470053</v>
      </c>
      <c r="G197" s="3">
        <f t="shared" si="30"/>
        <v>23.874864358830667</v>
      </c>
      <c r="H197" s="3">
        <f t="shared" si="31"/>
        <v>1.1352758372193561</v>
      </c>
      <c r="I197" s="3">
        <f t="shared" si="32"/>
        <v>53.167643141494963</v>
      </c>
    </row>
    <row r="198" spans="1:9" ht="15.75" customHeight="1" thickBot="1">
      <c r="A198" s="16">
        <v>36923</v>
      </c>
      <c r="B198" s="15">
        <v>1239.94</v>
      </c>
      <c r="C198" s="3">
        <f t="shared" si="33"/>
        <v>-126.06999999999994</v>
      </c>
      <c r="D198" s="3">
        <f t="shared" si="28"/>
        <v>0</v>
      </c>
      <c r="E198" s="3">
        <f t="shared" si="29"/>
        <v>126.06999999999994</v>
      </c>
      <c r="F198" s="3">
        <f t="shared" si="30"/>
        <v>25.168516864650766</v>
      </c>
      <c r="G198" s="3">
        <f t="shared" si="30"/>
        <v>31.174516904628472</v>
      </c>
      <c r="H198" s="3">
        <f t="shared" si="31"/>
        <v>0.80734264276326295</v>
      </c>
      <c r="I198" s="3">
        <f t="shared" si="32"/>
        <v>44.670148518651075</v>
      </c>
    </row>
    <row r="199" spans="1:9" ht="15.75" customHeight="1" thickBot="1">
      <c r="A199" s="16">
        <v>36951</v>
      </c>
      <c r="B199" s="15">
        <v>1160.33</v>
      </c>
      <c r="C199" s="3">
        <f t="shared" si="33"/>
        <v>-79.610000000000127</v>
      </c>
      <c r="D199" s="3">
        <f t="shared" si="28"/>
        <v>0</v>
      </c>
      <c r="E199" s="3">
        <f t="shared" si="29"/>
        <v>79.610000000000127</v>
      </c>
      <c r="F199" s="3">
        <f t="shared" si="30"/>
        <v>23.370765660032852</v>
      </c>
      <c r="G199" s="3">
        <f t="shared" si="30"/>
        <v>34.634194268583592</v>
      </c>
      <c r="H199" s="3">
        <f t="shared" si="31"/>
        <v>0.67478877893897737</v>
      </c>
      <c r="I199" s="3">
        <f t="shared" si="32"/>
        <v>40.2909780280755</v>
      </c>
    </row>
    <row r="200" spans="1:9" ht="15.75" customHeight="1" thickBot="1">
      <c r="A200" s="16">
        <v>36982</v>
      </c>
      <c r="B200" s="15">
        <v>1249.46</v>
      </c>
      <c r="C200" s="3">
        <f t="shared" si="33"/>
        <v>89.130000000000109</v>
      </c>
      <c r="D200" s="3">
        <f t="shared" si="28"/>
        <v>89.130000000000109</v>
      </c>
      <c r="E200" s="3">
        <f t="shared" si="29"/>
        <v>0</v>
      </c>
      <c r="F200" s="3">
        <f t="shared" si="30"/>
        <v>28.067853827173369</v>
      </c>
      <c r="G200" s="3">
        <f t="shared" si="30"/>
        <v>32.160323249399049</v>
      </c>
      <c r="H200" s="3">
        <f t="shared" si="31"/>
        <v>0.8727478766152591</v>
      </c>
      <c r="I200" s="3">
        <f t="shared" si="32"/>
        <v>46.602529230610259</v>
      </c>
    </row>
    <row r="201" spans="1:9" ht="15.75" customHeight="1" thickBot="1">
      <c r="A201" s="16">
        <v>37012</v>
      </c>
      <c r="B201" s="15">
        <v>1255.82</v>
      </c>
      <c r="C201" s="3">
        <f t="shared" si="33"/>
        <v>6.3599999999999</v>
      </c>
      <c r="D201" s="3">
        <f t="shared" si="28"/>
        <v>6.3599999999999</v>
      </c>
      <c r="E201" s="3">
        <f t="shared" si="29"/>
        <v>0</v>
      </c>
      <c r="F201" s="3">
        <f t="shared" si="30"/>
        <v>26.51729283951812</v>
      </c>
      <c r="G201" s="3">
        <f t="shared" si="30"/>
        <v>29.863157303013402</v>
      </c>
      <c r="H201" s="3">
        <f t="shared" si="31"/>
        <v>0.88796012325335538</v>
      </c>
      <c r="I201" s="3">
        <f t="shared" si="32"/>
        <v>47.032779576043794</v>
      </c>
    </row>
    <row r="202" spans="1:9" ht="15.75" customHeight="1" thickBot="1">
      <c r="A202" s="16">
        <v>37043</v>
      </c>
      <c r="B202" s="15">
        <v>1224.3800000000001</v>
      </c>
      <c r="C202" s="3">
        <f t="shared" si="33"/>
        <v>-31.439999999999827</v>
      </c>
      <c r="D202" s="3">
        <f t="shared" si="28"/>
        <v>0</v>
      </c>
      <c r="E202" s="3">
        <f t="shared" si="29"/>
        <v>31.439999999999827</v>
      </c>
      <c r="F202" s="3">
        <f t="shared" si="30"/>
        <v>24.623200493838254</v>
      </c>
      <c r="G202" s="3">
        <f t="shared" si="30"/>
        <v>29.97578892422672</v>
      </c>
      <c r="H202" s="3">
        <f t="shared" si="31"/>
        <v>0.8214362783271919</v>
      </c>
      <c r="I202" s="3">
        <f t="shared" si="32"/>
        <v>45.09827151799125</v>
      </c>
    </row>
    <row r="203" spans="1:9" ht="15.75" customHeight="1" thickBot="1">
      <c r="A203" s="16">
        <v>37073</v>
      </c>
      <c r="B203" s="15">
        <v>1211.23</v>
      </c>
      <c r="C203" s="3">
        <f t="shared" si="33"/>
        <v>-13.150000000000091</v>
      </c>
      <c r="D203" s="3">
        <f t="shared" si="28"/>
        <v>0</v>
      </c>
      <c r="E203" s="3">
        <f t="shared" si="29"/>
        <v>13.150000000000091</v>
      </c>
      <c r="F203" s="3">
        <f t="shared" si="30"/>
        <v>22.864400458564091</v>
      </c>
      <c r="G203" s="3">
        <f t="shared" si="30"/>
        <v>28.773946858210532</v>
      </c>
      <c r="H203" s="3">
        <f t="shared" si="31"/>
        <v>0.79462162668309178</v>
      </c>
      <c r="I203" s="3">
        <f t="shared" si="32"/>
        <v>44.277947778426736</v>
      </c>
    </row>
    <row r="204" spans="1:9" ht="15.75" customHeight="1" thickBot="1">
      <c r="A204" s="16">
        <v>37104</v>
      </c>
      <c r="B204" s="15">
        <v>1133.58</v>
      </c>
      <c r="C204" s="3">
        <f t="shared" si="33"/>
        <v>-77.650000000000091</v>
      </c>
      <c r="D204" s="3">
        <f t="shared" si="28"/>
        <v>0</v>
      </c>
      <c r="E204" s="3">
        <f t="shared" si="29"/>
        <v>77.650000000000091</v>
      </c>
      <c r="F204" s="3">
        <f t="shared" si="30"/>
        <v>21.231228997238084</v>
      </c>
      <c r="G204" s="3">
        <f t="shared" si="30"/>
        <v>32.265093511195502</v>
      </c>
      <c r="H204" s="3">
        <f t="shared" si="31"/>
        <v>0.65802471608740776</v>
      </c>
      <c r="I204" s="3">
        <f t="shared" si="32"/>
        <v>39.687268211550474</v>
      </c>
    </row>
    <row r="205" spans="1:9" ht="15.75" customHeight="1" thickBot="1">
      <c r="A205" s="16">
        <v>37135</v>
      </c>
      <c r="B205" s="15">
        <v>1040.94</v>
      </c>
      <c r="C205" s="3">
        <f t="shared" si="33"/>
        <v>-92.639999999999873</v>
      </c>
      <c r="D205" s="3">
        <f t="shared" si="28"/>
        <v>0</v>
      </c>
      <c r="E205" s="3">
        <f t="shared" si="29"/>
        <v>92.639999999999873</v>
      </c>
      <c r="F205" s="3">
        <f t="shared" si="30"/>
        <v>19.714712640292507</v>
      </c>
      <c r="G205" s="3">
        <f t="shared" si="30"/>
        <v>36.577586831824384</v>
      </c>
      <c r="H205" s="3">
        <f t="shared" si="31"/>
        <v>0.53898341437712594</v>
      </c>
      <c r="I205" s="3">
        <f t="shared" si="32"/>
        <v>35.022041780435245</v>
      </c>
    </row>
    <row r="206" spans="1:9" ht="15.75" customHeight="1" thickBot="1">
      <c r="A206" s="16">
        <v>37165</v>
      </c>
      <c r="B206" s="15">
        <v>1059.78</v>
      </c>
      <c r="C206" s="3">
        <f t="shared" si="33"/>
        <v>18.839999999999918</v>
      </c>
      <c r="D206" s="3">
        <f t="shared" si="28"/>
        <v>18.839999999999918</v>
      </c>
      <c r="E206" s="3">
        <f t="shared" si="29"/>
        <v>0</v>
      </c>
      <c r="F206" s="3">
        <f t="shared" si="30"/>
        <v>19.652233165985894</v>
      </c>
      <c r="G206" s="3">
        <f t="shared" si="30"/>
        <v>33.96490205812264</v>
      </c>
      <c r="H206" s="3">
        <f t="shared" si="31"/>
        <v>0.57860414649086556</v>
      </c>
      <c r="I206" s="3">
        <f t="shared" si="32"/>
        <v>36.652896660449358</v>
      </c>
    </row>
    <row r="207" spans="1:9" ht="15.75" customHeight="1" thickBot="1">
      <c r="A207" s="16">
        <v>37196</v>
      </c>
      <c r="B207" s="15">
        <v>1139.45</v>
      </c>
      <c r="C207" s="3">
        <f t="shared" si="33"/>
        <v>79.670000000000073</v>
      </c>
      <c r="D207" s="3">
        <f t="shared" si="28"/>
        <v>79.670000000000073</v>
      </c>
      <c r="E207" s="3">
        <f t="shared" si="29"/>
        <v>0</v>
      </c>
      <c r="F207" s="3">
        <f t="shared" si="30"/>
        <v>23.939216511272623</v>
      </c>
      <c r="G207" s="3">
        <f t="shared" si="30"/>
        <v>31.538837625399594</v>
      </c>
      <c r="H207" s="3">
        <f t="shared" si="31"/>
        <v>0.75903927708462315</v>
      </c>
      <c r="I207" s="3">
        <f t="shared" si="32"/>
        <v>43.150786169063331</v>
      </c>
    </row>
    <row r="208" spans="1:9" ht="15.75" customHeight="1" thickBot="1">
      <c r="A208" s="16">
        <v>37226</v>
      </c>
      <c r="B208" s="15">
        <v>1148.08</v>
      </c>
      <c r="C208" s="3">
        <f t="shared" si="33"/>
        <v>8.6299999999998818</v>
      </c>
      <c r="D208" s="3">
        <f t="shared" si="28"/>
        <v>8.6299999999998818</v>
      </c>
      <c r="E208" s="3">
        <f t="shared" si="29"/>
        <v>0</v>
      </c>
      <c r="F208" s="3">
        <f t="shared" si="30"/>
        <v>22.845701046181713</v>
      </c>
      <c r="G208" s="3">
        <f t="shared" si="30"/>
        <v>29.286063509299623</v>
      </c>
      <c r="H208" s="3">
        <f t="shared" si="31"/>
        <v>0.78008780657486421</v>
      </c>
      <c r="I208" s="3">
        <f t="shared" si="32"/>
        <v>43.822995904671764</v>
      </c>
    </row>
    <row r="209" spans="1:9" ht="15.75" customHeight="1" thickBot="1">
      <c r="A209" s="16">
        <v>37257</v>
      </c>
      <c r="B209" s="15">
        <v>1130.2</v>
      </c>
      <c r="C209" s="3">
        <f t="shared" si="33"/>
        <v>-17.879999999999882</v>
      </c>
      <c r="D209" s="3">
        <f t="shared" si="28"/>
        <v>0</v>
      </c>
      <c r="E209" s="3">
        <f t="shared" si="29"/>
        <v>17.879999999999882</v>
      </c>
      <c r="F209" s="3">
        <f t="shared" si="30"/>
        <v>21.213865257168731</v>
      </c>
      <c r="G209" s="3">
        <f t="shared" si="30"/>
        <v>28.471344687206788</v>
      </c>
      <c r="H209" s="3">
        <f t="shared" si="31"/>
        <v>0.74509530512975364</v>
      </c>
      <c r="I209" s="3">
        <f t="shared" si="32"/>
        <v>42.696539434810596</v>
      </c>
    </row>
    <row r="210" spans="1:9" ht="15.75" customHeight="1" thickBot="1">
      <c r="A210" s="16">
        <v>37288</v>
      </c>
      <c r="B210" s="15">
        <v>1106.73</v>
      </c>
      <c r="C210" s="3">
        <f t="shared" si="33"/>
        <v>-23.470000000000027</v>
      </c>
      <c r="D210" s="3">
        <f t="shared" si="28"/>
        <v>0</v>
      </c>
      <c r="E210" s="3">
        <f t="shared" si="29"/>
        <v>23.470000000000027</v>
      </c>
      <c r="F210" s="3">
        <f t="shared" si="30"/>
        <v>19.698589167370962</v>
      </c>
      <c r="G210" s="3">
        <f t="shared" si="30"/>
        <v>28.114105780977731</v>
      </c>
      <c r="H210" s="3">
        <f t="shared" si="31"/>
        <v>0.70066568436614518</v>
      </c>
      <c r="I210" s="3">
        <f t="shared" si="32"/>
        <v>41.199495633222597</v>
      </c>
    </row>
    <row r="211" spans="1:9" ht="15.75" customHeight="1" thickBot="1">
      <c r="A211" s="16">
        <v>37316</v>
      </c>
      <c r="B211" s="15">
        <v>1147.3900000000001</v>
      </c>
      <c r="C211" s="3">
        <f t="shared" si="33"/>
        <v>40.660000000000082</v>
      </c>
      <c r="D211" s="3">
        <f t="shared" si="28"/>
        <v>40.660000000000082</v>
      </c>
      <c r="E211" s="3">
        <f t="shared" si="29"/>
        <v>0</v>
      </c>
      <c r="F211" s="3">
        <f t="shared" si="30"/>
        <v>21.195832798273042</v>
      </c>
      <c r="G211" s="3">
        <f t="shared" si="30"/>
        <v>26.105955368050751</v>
      </c>
      <c r="H211" s="3">
        <f t="shared" si="31"/>
        <v>0.81191561463454953</v>
      </c>
      <c r="I211" s="3">
        <f t="shared" si="32"/>
        <v>44.80979180690526</v>
      </c>
    </row>
    <row r="212" spans="1:9" ht="15.75" customHeight="1" thickBot="1">
      <c r="A212" s="16">
        <v>37347</v>
      </c>
      <c r="B212" s="15">
        <v>1076.92</v>
      </c>
      <c r="C212" s="3">
        <f t="shared" si="33"/>
        <v>-70.470000000000027</v>
      </c>
      <c r="D212" s="3">
        <f t="shared" si="28"/>
        <v>0</v>
      </c>
      <c r="E212" s="3">
        <f t="shared" si="29"/>
        <v>70.470000000000027</v>
      </c>
      <c r="F212" s="3">
        <f t="shared" si="30"/>
        <v>19.681844741253538</v>
      </c>
      <c r="G212" s="3">
        <f t="shared" si="30"/>
        <v>29.27481569890427</v>
      </c>
      <c r="H212" s="3">
        <f t="shared" si="31"/>
        <v>0.67231319041199677</v>
      </c>
      <c r="I212" s="3">
        <f t="shared" si="32"/>
        <v>40.202588502358424</v>
      </c>
    </row>
    <row r="213" spans="1:9" ht="15.75" customHeight="1" thickBot="1">
      <c r="A213" s="16">
        <v>37377</v>
      </c>
      <c r="B213" s="15">
        <v>1067.1400000000001</v>
      </c>
      <c r="C213" s="3">
        <f t="shared" si="33"/>
        <v>-9.7799999999999727</v>
      </c>
      <c r="D213" s="3">
        <f t="shared" si="28"/>
        <v>0</v>
      </c>
      <c r="E213" s="3">
        <f t="shared" si="29"/>
        <v>9.7799999999999727</v>
      </c>
      <c r="F213" s="3">
        <f t="shared" si="30"/>
        <v>18.275998688306856</v>
      </c>
      <c r="G213" s="3">
        <f t="shared" si="30"/>
        <v>27.882328863268249</v>
      </c>
      <c r="H213" s="3">
        <f t="shared" si="31"/>
        <v>0.65546887341908433</v>
      </c>
      <c r="I213" s="3">
        <f t="shared" si="32"/>
        <v>39.594152686503058</v>
      </c>
    </row>
    <row r="214" spans="1:9" ht="15.75" customHeight="1" thickBot="1">
      <c r="A214" s="16">
        <v>37408</v>
      </c>
      <c r="B214" s="14">
        <v>989.82</v>
      </c>
      <c r="C214" s="3">
        <f t="shared" si="33"/>
        <v>-77.32000000000005</v>
      </c>
      <c r="D214" s="3">
        <f t="shared" si="28"/>
        <v>0</v>
      </c>
      <c r="E214" s="3">
        <f t="shared" si="29"/>
        <v>77.32000000000005</v>
      </c>
      <c r="F214" s="3">
        <f t="shared" si="30"/>
        <v>16.970570210570653</v>
      </c>
      <c r="G214" s="3">
        <f t="shared" si="30"/>
        <v>31.413591087320523</v>
      </c>
      <c r="H214" s="3">
        <f t="shared" si="31"/>
        <v>0.5402301877361767</v>
      </c>
      <c r="I214" s="3">
        <f t="shared" si="32"/>
        <v>35.074639624496939</v>
      </c>
    </row>
    <row r="215" spans="1:9" ht="15.75" customHeight="1" thickBot="1">
      <c r="A215" s="16">
        <v>37438</v>
      </c>
      <c r="B215" s="14">
        <v>911.62</v>
      </c>
      <c r="C215" s="3">
        <f t="shared" si="33"/>
        <v>-78.200000000000045</v>
      </c>
      <c r="D215" s="3">
        <f t="shared" si="28"/>
        <v>0</v>
      </c>
      <c r="E215" s="3">
        <f t="shared" si="29"/>
        <v>78.200000000000045</v>
      </c>
      <c r="F215" s="3">
        <f t="shared" si="30"/>
        <v>15.75838662410132</v>
      </c>
      <c r="G215" s="3">
        <f t="shared" si="30"/>
        <v>34.755477438226201</v>
      </c>
      <c r="H215" s="3">
        <f t="shared" si="31"/>
        <v>0.45340728384784845</v>
      </c>
      <c r="I215" s="3">
        <f t="shared" si="32"/>
        <v>31.196161522423878</v>
      </c>
    </row>
    <row r="216" spans="1:9" ht="15.75" customHeight="1" thickBot="1">
      <c r="A216" s="16">
        <v>37469</v>
      </c>
      <c r="B216" s="14">
        <v>916.07</v>
      </c>
      <c r="C216" s="3">
        <f t="shared" si="33"/>
        <v>4.4500000000000455</v>
      </c>
      <c r="D216" s="3">
        <f t="shared" si="28"/>
        <v>4.4500000000000455</v>
      </c>
      <c r="E216" s="3">
        <f t="shared" si="29"/>
        <v>0</v>
      </c>
      <c r="F216" s="3">
        <f t="shared" si="30"/>
        <v>14.950644722379801</v>
      </c>
      <c r="G216" s="3">
        <f t="shared" si="30"/>
        <v>32.272943335495761</v>
      </c>
      <c r="H216" s="3">
        <f t="shared" si="31"/>
        <v>0.46325631247696475</v>
      </c>
      <c r="I216" s="3">
        <f t="shared" si="32"/>
        <v>31.659273124390324</v>
      </c>
    </row>
    <row r="217" spans="1:9" ht="15.75" customHeight="1" thickBot="1">
      <c r="A217" s="16">
        <v>37500</v>
      </c>
      <c r="B217" s="14">
        <v>815.28</v>
      </c>
      <c r="C217" s="3">
        <f t="shared" si="33"/>
        <v>-100.79000000000008</v>
      </c>
      <c r="D217" s="3">
        <f t="shared" si="28"/>
        <v>0</v>
      </c>
      <c r="E217" s="3">
        <f t="shared" si="29"/>
        <v>100.79000000000008</v>
      </c>
      <c r="F217" s="3">
        <f t="shared" si="30"/>
        <v>13.8827415279241</v>
      </c>
      <c r="G217" s="3">
        <f t="shared" si="30"/>
        <v>37.167018811531776</v>
      </c>
      <c r="H217" s="3">
        <f t="shared" si="31"/>
        <v>0.37352313884310556</v>
      </c>
      <c r="I217" s="3">
        <f t="shared" si="32"/>
        <v>27.194528310438045</v>
      </c>
    </row>
    <row r="218" spans="1:9" ht="15.75" customHeight="1" thickBot="1">
      <c r="A218" s="16">
        <v>37530</v>
      </c>
      <c r="B218" s="14">
        <v>885.76</v>
      </c>
      <c r="C218" s="3">
        <f t="shared" si="33"/>
        <v>70.480000000000018</v>
      </c>
      <c r="D218" s="3">
        <f t="shared" si="28"/>
        <v>70.480000000000018</v>
      </c>
      <c r="E218" s="3">
        <f t="shared" si="29"/>
        <v>0</v>
      </c>
      <c r="F218" s="3">
        <f t="shared" si="30"/>
        <v>17.925402847358093</v>
      </c>
      <c r="G218" s="3">
        <f t="shared" si="30"/>
        <v>34.512231753565217</v>
      </c>
      <c r="H218" s="3">
        <f t="shared" si="31"/>
        <v>0.51939274676162739</v>
      </c>
      <c r="I218" s="3">
        <f t="shared" si="32"/>
        <v>34.184232343391159</v>
      </c>
    </row>
    <row r="219" spans="1:9" ht="15.75" customHeight="1" thickBot="1">
      <c r="A219" s="16">
        <v>37561</v>
      </c>
      <c r="B219" s="14">
        <v>936.31</v>
      </c>
      <c r="C219" s="3">
        <f t="shared" si="33"/>
        <v>50.549999999999955</v>
      </c>
      <c r="D219" s="3">
        <f t="shared" si="28"/>
        <v>50.549999999999955</v>
      </c>
      <c r="E219" s="3">
        <f t="shared" si="29"/>
        <v>0</v>
      </c>
      <c r="F219" s="3">
        <f t="shared" si="30"/>
        <v>20.255731215403937</v>
      </c>
      <c r="G219" s="3">
        <f t="shared" si="30"/>
        <v>32.047072342596273</v>
      </c>
      <c r="H219" s="3">
        <f t="shared" si="31"/>
        <v>0.63206183076138467</v>
      </c>
      <c r="I219" s="3">
        <f t="shared" si="32"/>
        <v>38.727811584596466</v>
      </c>
    </row>
    <row r="220" spans="1:9" ht="15.75" customHeight="1" thickBot="1">
      <c r="A220" s="16">
        <v>37591</v>
      </c>
      <c r="B220" s="14">
        <v>879.82</v>
      </c>
      <c r="C220" s="3">
        <f t="shared" si="33"/>
        <v>-56.489999999999895</v>
      </c>
      <c r="D220" s="3">
        <f t="shared" si="28"/>
        <v>0</v>
      </c>
      <c r="E220" s="3">
        <f t="shared" si="29"/>
        <v>56.489999999999895</v>
      </c>
      <c r="F220" s="3">
        <f t="shared" si="30"/>
        <v>18.808893271446514</v>
      </c>
      <c r="G220" s="3">
        <f t="shared" si="30"/>
        <v>33.792995746696533</v>
      </c>
      <c r="H220" s="3">
        <f t="shared" si="31"/>
        <v>0.55659147275468157</v>
      </c>
      <c r="I220" s="3">
        <f t="shared" si="32"/>
        <v>35.757068087343967</v>
      </c>
    </row>
    <row r="221" spans="1:9" ht="15.75" customHeight="1" thickBot="1">
      <c r="A221" s="16">
        <v>37622</v>
      </c>
      <c r="B221" s="14">
        <v>855.7</v>
      </c>
      <c r="C221" s="3">
        <f t="shared" si="33"/>
        <v>-24.120000000000005</v>
      </c>
      <c r="D221" s="3">
        <f t="shared" si="28"/>
        <v>0</v>
      </c>
      <c r="E221" s="3">
        <f t="shared" si="29"/>
        <v>24.120000000000005</v>
      </c>
      <c r="F221" s="3">
        <f t="shared" si="30"/>
        <v>17.46540089491462</v>
      </c>
      <c r="G221" s="3">
        <f t="shared" si="30"/>
        <v>33.102067479075352</v>
      </c>
      <c r="H221" s="3">
        <f t="shared" si="31"/>
        <v>0.5276226600031837</v>
      </c>
      <c r="I221" s="3">
        <f t="shared" si="32"/>
        <v>34.538808163665507</v>
      </c>
    </row>
    <row r="222" spans="1:9" ht="15.75" customHeight="1" thickBot="1">
      <c r="A222" s="16">
        <v>37653</v>
      </c>
      <c r="B222" s="14">
        <v>841.15</v>
      </c>
      <c r="C222" s="3">
        <f t="shared" si="33"/>
        <v>-14.550000000000068</v>
      </c>
      <c r="D222" s="3">
        <f t="shared" si="28"/>
        <v>0</v>
      </c>
      <c r="E222" s="3">
        <f t="shared" si="29"/>
        <v>14.550000000000068</v>
      </c>
      <c r="F222" s="3">
        <f t="shared" si="30"/>
        <v>16.217872259563574</v>
      </c>
      <c r="G222" s="3">
        <f t="shared" si="30"/>
        <v>31.776919801998549</v>
      </c>
      <c r="H222" s="3">
        <f t="shared" si="31"/>
        <v>0.51036640305658521</v>
      </c>
      <c r="I222" s="3">
        <f t="shared" si="32"/>
        <v>33.790900143418028</v>
      </c>
    </row>
    <row r="223" spans="1:9" ht="15.75" customHeight="1" thickBot="1">
      <c r="A223" s="16">
        <v>37681</v>
      </c>
      <c r="B223" s="14">
        <v>848.18</v>
      </c>
      <c r="C223" s="3">
        <f t="shared" si="33"/>
        <v>7.0299999999999727</v>
      </c>
      <c r="D223" s="3">
        <f t="shared" si="28"/>
        <v>7.0299999999999727</v>
      </c>
      <c r="E223" s="3">
        <f t="shared" si="29"/>
        <v>0</v>
      </c>
      <c r="F223" s="3">
        <f t="shared" si="30"/>
        <v>15.561595669594746</v>
      </c>
      <c r="G223" s="3">
        <f t="shared" si="30"/>
        <v>29.50713981614151</v>
      </c>
      <c r="H223" s="3">
        <f t="shared" si="31"/>
        <v>0.52738407607646098</v>
      </c>
      <c r="I223" s="3">
        <f t="shared" si="32"/>
        <v>34.528582845462381</v>
      </c>
    </row>
    <row r="224" spans="1:9" ht="15.75" customHeight="1" thickBot="1">
      <c r="A224" s="16">
        <v>37712</v>
      </c>
      <c r="B224" s="14">
        <v>916.92</v>
      </c>
      <c r="C224" s="3">
        <f t="shared" si="33"/>
        <v>68.740000000000009</v>
      </c>
      <c r="D224" s="3">
        <f t="shared" si="28"/>
        <v>68.740000000000009</v>
      </c>
      <c r="E224" s="3">
        <f t="shared" si="29"/>
        <v>0</v>
      </c>
      <c r="F224" s="3">
        <f t="shared" si="30"/>
        <v>19.360053121766551</v>
      </c>
      <c r="G224" s="3">
        <f t="shared" si="30"/>
        <v>27.399486972131402</v>
      </c>
      <c r="H224" s="3">
        <f t="shared" si="31"/>
        <v>0.7065845116537427</v>
      </c>
      <c r="I224" s="3">
        <f t="shared" si="32"/>
        <v>41.403429295689349</v>
      </c>
    </row>
    <row r="225" spans="1:9" ht="15.75" customHeight="1" thickBot="1">
      <c r="A225" s="16">
        <v>37742</v>
      </c>
      <c r="B225" s="14">
        <v>963.59</v>
      </c>
      <c r="C225" s="3">
        <f t="shared" si="33"/>
        <v>46.670000000000073</v>
      </c>
      <c r="D225" s="3">
        <f t="shared" si="28"/>
        <v>46.670000000000073</v>
      </c>
      <c r="E225" s="3">
        <f t="shared" si="29"/>
        <v>0</v>
      </c>
      <c r="F225" s="3">
        <f t="shared" si="30"/>
        <v>21.310763613068946</v>
      </c>
      <c r="G225" s="3">
        <f t="shared" si="30"/>
        <v>25.442380759836304</v>
      </c>
      <c r="H225" s="3">
        <f t="shared" si="31"/>
        <v>0.83760886271737645</v>
      </c>
      <c r="I225" s="3">
        <f t="shared" si="32"/>
        <v>45.581455320081382</v>
      </c>
    </row>
    <row r="226" spans="1:9" ht="15.75" customHeight="1" thickBot="1">
      <c r="A226" s="16">
        <v>37773</v>
      </c>
      <c r="B226" s="14">
        <v>974.5</v>
      </c>
      <c r="C226" s="3">
        <f t="shared" si="33"/>
        <v>10.909999999999968</v>
      </c>
      <c r="D226" s="3">
        <f t="shared" si="28"/>
        <v>10.909999999999968</v>
      </c>
      <c r="E226" s="3">
        <f t="shared" si="29"/>
        <v>0</v>
      </c>
      <c r="F226" s="3">
        <f t="shared" si="30"/>
        <v>20.567851926421163</v>
      </c>
      <c r="G226" s="3">
        <f t="shared" si="30"/>
        <v>23.625067848419427</v>
      </c>
      <c r="H226" s="3">
        <f t="shared" si="31"/>
        <v>0.87059440668642152</v>
      </c>
      <c r="I226" s="3">
        <f t="shared" si="32"/>
        <v>46.541056873392236</v>
      </c>
    </row>
    <row r="227" spans="1:9" ht="15.75" customHeight="1" thickBot="1">
      <c r="A227" s="16">
        <v>37803</v>
      </c>
      <c r="B227" s="14">
        <v>990.31</v>
      </c>
      <c r="C227" s="3">
        <f t="shared" si="33"/>
        <v>15.809999999999945</v>
      </c>
      <c r="D227" s="3">
        <f t="shared" si="28"/>
        <v>15.809999999999945</v>
      </c>
      <c r="E227" s="3">
        <f t="shared" si="29"/>
        <v>0</v>
      </c>
      <c r="F227" s="3">
        <f t="shared" si="30"/>
        <v>20.228005360248222</v>
      </c>
      <c r="G227" s="3">
        <f t="shared" si="30"/>
        <v>21.937563002103754</v>
      </c>
      <c r="H227" s="3">
        <f t="shared" si="31"/>
        <v>0.92207167032675463</v>
      </c>
      <c r="I227" s="3">
        <f t="shared" si="32"/>
        <v>47.972803749300425</v>
      </c>
    </row>
    <row r="228" spans="1:9" ht="15.75" customHeight="1" thickBot="1">
      <c r="A228" s="16">
        <v>37834</v>
      </c>
      <c r="B228" s="15">
        <v>1008.01</v>
      </c>
      <c r="C228" s="3">
        <f t="shared" si="33"/>
        <v>17.700000000000045</v>
      </c>
      <c r="D228" s="3">
        <f t="shared" si="28"/>
        <v>17.700000000000045</v>
      </c>
      <c r="E228" s="3">
        <f t="shared" si="29"/>
        <v>0</v>
      </c>
      <c r="F228" s="3">
        <f t="shared" si="30"/>
        <v>20.047433548801926</v>
      </c>
      <c r="G228" s="3">
        <f t="shared" si="30"/>
        <v>20.370594216239201</v>
      </c>
      <c r="H228" s="3">
        <f t="shared" si="31"/>
        <v>0.98413592338019995</v>
      </c>
      <c r="I228" s="3">
        <f t="shared" si="32"/>
        <v>49.600227070311448</v>
      </c>
    </row>
    <row r="229" spans="1:9" ht="15.75" customHeight="1" thickBot="1">
      <c r="A229" s="16">
        <v>37865</v>
      </c>
      <c r="B229" s="14">
        <v>995.97</v>
      </c>
      <c r="C229" s="3">
        <f t="shared" si="33"/>
        <v>-12.039999999999964</v>
      </c>
      <c r="D229" s="3">
        <f t="shared" si="28"/>
        <v>0</v>
      </c>
      <c r="E229" s="3">
        <f t="shared" si="29"/>
        <v>12.039999999999964</v>
      </c>
      <c r="F229" s="3">
        <f t="shared" si="30"/>
        <v>18.61547400960179</v>
      </c>
      <c r="G229" s="3">
        <f t="shared" si="30"/>
        <v>19.775551772222112</v>
      </c>
      <c r="H229" s="3">
        <f t="shared" si="31"/>
        <v>0.94133778030659887</v>
      </c>
      <c r="I229" s="3">
        <f t="shared" si="32"/>
        <v>48.489128983928374</v>
      </c>
    </row>
    <row r="230" spans="1:9" ht="15.75" customHeight="1" thickBot="1">
      <c r="A230" s="16">
        <v>37895</v>
      </c>
      <c r="B230" s="15">
        <v>1050.71</v>
      </c>
      <c r="C230" s="3">
        <f t="shared" si="33"/>
        <v>54.740000000000009</v>
      </c>
      <c r="D230" s="3">
        <f t="shared" ref="D230:D293" si="34">IF(C230&gt;0,C230,0)</f>
        <v>54.740000000000009</v>
      </c>
      <c r="E230" s="3">
        <f t="shared" ref="E230:E293" si="35">IF(C230&lt;0,-C230,0)</f>
        <v>0</v>
      </c>
      <c r="F230" s="3">
        <f t="shared" ref="F230:G293" si="36">((F229*13)+D230)/14</f>
        <v>21.195797294630236</v>
      </c>
      <c r="G230" s="3">
        <f t="shared" si="36"/>
        <v>18.363012359920532</v>
      </c>
      <c r="H230" s="3">
        <f t="shared" ref="H230:H293" si="37">F230/G230</f>
        <v>1.1542658077654293</v>
      </c>
      <c r="I230" s="3">
        <f t="shared" ref="I230:I293" si="38">IF(G230=0,100,100-(100/(1+H230)))</f>
        <v>53.580472920503844</v>
      </c>
    </row>
    <row r="231" spans="1:9" ht="15.75" customHeight="1" thickBot="1">
      <c r="A231" s="16">
        <v>37926</v>
      </c>
      <c r="B231" s="15">
        <v>1058.2</v>
      </c>
      <c r="C231" s="3">
        <f t="shared" si="33"/>
        <v>7.4900000000000091</v>
      </c>
      <c r="D231" s="3">
        <f t="shared" si="34"/>
        <v>7.4900000000000091</v>
      </c>
      <c r="E231" s="3">
        <f t="shared" si="35"/>
        <v>0</v>
      </c>
      <c r="F231" s="3">
        <f t="shared" si="36"/>
        <v>20.216811773585221</v>
      </c>
      <c r="G231" s="3">
        <f t="shared" si="36"/>
        <v>17.051368619926208</v>
      </c>
      <c r="H231" s="3">
        <f t="shared" si="37"/>
        <v>1.185641588321531</v>
      </c>
      <c r="I231" s="3">
        <f t="shared" si="38"/>
        <v>54.246844251899851</v>
      </c>
    </row>
    <row r="232" spans="1:9" ht="15.75" customHeight="1" thickBot="1">
      <c r="A232" s="16">
        <v>37956</v>
      </c>
      <c r="B232" s="15">
        <v>1111.92</v>
      </c>
      <c r="C232" s="3">
        <f t="shared" si="33"/>
        <v>53.720000000000027</v>
      </c>
      <c r="D232" s="3">
        <f t="shared" si="34"/>
        <v>53.720000000000027</v>
      </c>
      <c r="E232" s="3">
        <f t="shared" si="35"/>
        <v>0</v>
      </c>
      <c r="F232" s="3">
        <f t="shared" si="36"/>
        <v>22.609896646900562</v>
      </c>
      <c r="G232" s="3">
        <f t="shared" si="36"/>
        <v>15.833413718502909</v>
      </c>
      <c r="H232" s="3">
        <f t="shared" si="37"/>
        <v>1.4279862226096363</v>
      </c>
      <c r="I232" s="3">
        <f t="shared" si="38"/>
        <v>58.813604843062706</v>
      </c>
    </row>
    <row r="233" spans="1:9" ht="15.75" customHeight="1" thickBot="1">
      <c r="A233" s="16">
        <v>37987</v>
      </c>
      <c r="B233" s="15">
        <v>1131.1300000000001</v>
      </c>
      <c r="C233" s="3">
        <f t="shared" si="33"/>
        <v>19.210000000000036</v>
      </c>
      <c r="D233" s="3">
        <f t="shared" si="34"/>
        <v>19.210000000000036</v>
      </c>
      <c r="E233" s="3">
        <f t="shared" si="35"/>
        <v>0</v>
      </c>
      <c r="F233" s="3">
        <f t="shared" si="36"/>
        <v>22.367046886407667</v>
      </c>
      <c r="G233" s="3">
        <f t="shared" si="36"/>
        <v>14.702455595752701</v>
      </c>
      <c r="H233" s="3">
        <f t="shared" si="37"/>
        <v>1.5213136840126993</v>
      </c>
      <c r="I233" s="3">
        <f t="shared" si="38"/>
        <v>60.338136173183784</v>
      </c>
    </row>
    <row r="234" spans="1:9" ht="15.75" customHeight="1" thickBot="1">
      <c r="A234" s="16">
        <v>38018</v>
      </c>
      <c r="B234" s="15">
        <v>1144.94</v>
      </c>
      <c r="C234" s="3">
        <f t="shared" si="33"/>
        <v>13.809999999999945</v>
      </c>
      <c r="D234" s="3">
        <f t="shared" si="34"/>
        <v>13.809999999999945</v>
      </c>
      <c r="E234" s="3">
        <f t="shared" si="35"/>
        <v>0</v>
      </c>
      <c r="F234" s="3">
        <f t="shared" si="36"/>
        <v>21.75582925166426</v>
      </c>
      <c r="G234" s="3">
        <f t="shared" si="36"/>
        <v>13.652280196056079</v>
      </c>
      <c r="H234" s="3">
        <f t="shared" si="37"/>
        <v>1.5935674436237519</v>
      </c>
      <c r="I234" s="3">
        <f t="shared" si="38"/>
        <v>61.443069373095135</v>
      </c>
    </row>
    <row r="235" spans="1:9" ht="15.75" customHeight="1" thickBot="1">
      <c r="A235" s="16">
        <v>38047</v>
      </c>
      <c r="B235" s="15">
        <v>1126.21</v>
      </c>
      <c r="C235" s="3">
        <f t="shared" ref="C235:C298" si="39">B235-B234</f>
        <v>-18.730000000000018</v>
      </c>
      <c r="D235" s="3">
        <f t="shared" si="34"/>
        <v>0</v>
      </c>
      <c r="E235" s="3">
        <f t="shared" si="35"/>
        <v>18.730000000000018</v>
      </c>
      <c r="F235" s="3">
        <f t="shared" si="36"/>
        <v>20.201841447973955</v>
      </c>
      <c r="G235" s="3">
        <f t="shared" si="36"/>
        <v>14.014974467766361</v>
      </c>
      <c r="H235" s="3">
        <f t="shared" si="37"/>
        <v>1.4414468962777658</v>
      </c>
      <c r="I235" s="3">
        <f t="shared" si="38"/>
        <v>59.040681920028582</v>
      </c>
    </row>
    <row r="236" spans="1:9" ht="15.75" customHeight="1" thickBot="1">
      <c r="A236" s="16">
        <v>38078</v>
      </c>
      <c r="B236" s="15">
        <v>1107.3</v>
      </c>
      <c r="C236" s="3">
        <f t="shared" si="39"/>
        <v>-18.910000000000082</v>
      </c>
      <c r="D236" s="3">
        <f t="shared" si="34"/>
        <v>0</v>
      </c>
      <c r="E236" s="3">
        <f t="shared" si="35"/>
        <v>18.910000000000082</v>
      </c>
      <c r="F236" s="3">
        <f t="shared" si="36"/>
        <v>18.758852773118672</v>
      </c>
      <c r="G236" s="3">
        <f t="shared" si="36"/>
        <v>14.364619148640198</v>
      </c>
      <c r="H236" s="3">
        <f t="shared" si="37"/>
        <v>1.3059067267296429</v>
      </c>
      <c r="I236" s="3">
        <f t="shared" si="38"/>
        <v>56.6331114607462</v>
      </c>
    </row>
    <row r="237" spans="1:9" ht="15.75" customHeight="1" thickBot="1">
      <c r="A237" s="16">
        <v>38108</v>
      </c>
      <c r="B237" s="15">
        <v>1120.68</v>
      </c>
      <c r="C237" s="3">
        <f t="shared" si="39"/>
        <v>13.380000000000109</v>
      </c>
      <c r="D237" s="3">
        <f t="shared" si="34"/>
        <v>13.380000000000109</v>
      </c>
      <c r="E237" s="3">
        <f t="shared" si="35"/>
        <v>0</v>
      </c>
      <c r="F237" s="3">
        <f t="shared" si="36"/>
        <v>18.374649003610205</v>
      </c>
      <c r="G237" s="3">
        <f t="shared" si="36"/>
        <v>13.338574923737326</v>
      </c>
      <c r="H237" s="3">
        <f t="shared" si="37"/>
        <v>1.3775571310028543</v>
      </c>
      <c r="I237" s="3">
        <f t="shared" si="38"/>
        <v>57.940022262337827</v>
      </c>
    </row>
    <row r="238" spans="1:9" ht="15.75" customHeight="1" thickBot="1">
      <c r="A238" s="16">
        <v>38139</v>
      </c>
      <c r="B238" s="15">
        <v>1140.8399999999999</v>
      </c>
      <c r="C238" s="3">
        <f t="shared" si="39"/>
        <v>20.159999999999854</v>
      </c>
      <c r="D238" s="3">
        <f t="shared" si="34"/>
        <v>20.159999999999854</v>
      </c>
      <c r="E238" s="3">
        <f t="shared" si="35"/>
        <v>0</v>
      </c>
      <c r="F238" s="3">
        <f t="shared" si="36"/>
        <v>18.502174074780896</v>
      </c>
      <c r="G238" s="3">
        <f t="shared" si="36"/>
        <v>12.385819572041802</v>
      </c>
      <c r="H238" s="3">
        <f t="shared" si="37"/>
        <v>1.493819118481702</v>
      </c>
      <c r="I238" s="3">
        <f t="shared" si="38"/>
        <v>59.900860788619489</v>
      </c>
    </row>
    <row r="239" spans="1:9" ht="15.75" customHeight="1" thickBot="1">
      <c r="A239" s="16">
        <v>38169</v>
      </c>
      <c r="B239" s="15">
        <v>1101.72</v>
      </c>
      <c r="C239" s="3">
        <f t="shared" si="39"/>
        <v>-39.119999999999891</v>
      </c>
      <c r="D239" s="3">
        <f t="shared" si="34"/>
        <v>0</v>
      </c>
      <c r="E239" s="3">
        <f t="shared" si="35"/>
        <v>39.119999999999891</v>
      </c>
      <c r="F239" s="3">
        <f t="shared" si="36"/>
        <v>17.180590212296547</v>
      </c>
      <c r="G239" s="3">
        <f t="shared" si="36"/>
        <v>14.295403888324524</v>
      </c>
      <c r="H239" s="3">
        <f t="shared" si="37"/>
        <v>1.2018261496150129</v>
      </c>
      <c r="I239" s="3">
        <f t="shared" si="38"/>
        <v>54.583153616608243</v>
      </c>
    </row>
    <row r="240" spans="1:9" ht="15.75" customHeight="1" thickBot="1">
      <c r="A240" s="16">
        <v>38200</v>
      </c>
      <c r="B240" s="15">
        <v>1104.24</v>
      </c>
      <c r="C240" s="3">
        <f t="shared" si="39"/>
        <v>2.5199999999999818</v>
      </c>
      <c r="D240" s="3">
        <f t="shared" si="34"/>
        <v>2.5199999999999818</v>
      </c>
      <c r="E240" s="3">
        <f t="shared" si="35"/>
        <v>0</v>
      </c>
      <c r="F240" s="3">
        <f t="shared" si="36"/>
        <v>16.133405197132507</v>
      </c>
      <c r="G240" s="3">
        <f t="shared" si="36"/>
        <v>13.274303610587058</v>
      </c>
      <c r="H240" s="3">
        <f t="shared" si="37"/>
        <v>1.2153861829908081</v>
      </c>
      <c r="I240" s="3">
        <f t="shared" si="38"/>
        <v>54.86114305136708</v>
      </c>
    </row>
    <row r="241" spans="1:9" ht="15.75" customHeight="1" thickBot="1">
      <c r="A241" s="16">
        <v>38231</v>
      </c>
      <c r="B241" s="15">
        <v>1114.58</v>
      </c>
      <c r="C241" s="3">
        <f t="shared" si="39"/>
        <v>10.339999999999918</v>
      </c>
      <c r="D241" s="3">
        <f t="shared" si="34"/>
        <v>10.339999999999918</v>
      </c>
      <c r="E241" s="3">
        <f t="shared" si="35"/>
        <v>0</v>
      </c>
      <c r="F241" s="3">
        <f t="shared" si="36"/>
        <v>15.719590540194465</v>
      </c>
      <c r="G241" s="3">
        <f t="shared" si="36"/>
        <v>12.326139066973697</v>
      </c>
      <c r="H241" s="3">
        <f t="shared" si="37"/>
        <v>1.2753053048308602</v>
      </c>
      <c r="I241" s="3">
        <f t="shared" si="38"/>
        <v>56.049854150261517</v>
      </c>
    </row>
    <row r="242" spans="1:9" ht="15.75" customHeight="1" thickBot="1">
      <c r="A242" s="16">
        <v>38261</v>
      </c>
      <c r="B242" s="15">
        <v>1130.2</v>
      </c>
      <c r="C242" s="3">
        <f t="shared" si="39"/>
        <v>15.620000000000118</v>
      </c>
      <c r="D242" s="3">
        <f t="shared" si="34"/>
        <v>15.620000000000118</v>
      </c>
      <c r="E242" s="3">
        <f t="shared" si="35"/>
        <v>0</v>
      </c>
      <c r="F242" s="3">
        <f t="shared" si="36"/>
        <v>15.712476930180584</v>
      </c>
      <c r="G242" s="3">
        <f t="shared" si="36"/>
        <v>11.445700562189861</v>
      </c>
      <c r="H242" s="3">
        <f t="shared" si="37"/>
        <v>1.3727842035362821</v>
      </c>
      <c r="I242" s="3">
        <f t="shared" si="38"/>
        <v>57.855417340116787</v>
      </c>
    </row>
    <row r="243" spans="1:9" ht="15.75" customHeight="1" thickBot="1">
      <c r="A243" s="16">
        <v>38292</v>
      </c>
      <c r="B243" s="15">
        <v>1173.82</v>
      </c>
      <c r="C243" s="3">
        <f t="shared" si="39"/>
        <v>43.619999999999891</v>
      </c>
      <c r="D243" s="3">
        <f t="shared" si="34"/>
        <v>43.619999999999891</v>
      </c>
      <c r="E243" s="3">
        <f t="shared" si="35"/>
        <v>0</v>
      </c>
      <c r="F243" s="3">
        <f t="shared" si="36"/>
        <v>17.705871435167676</v>
      </c>
      <c r="G243" s="3">
        <f t="shared" si="36"/>
        <v>10.628150522033442</v>
      </c>
      <c r="H243" s="3">
        <f t="shared" si="37"/>
        <v>1.6659409742514713</v>
      </c>
      <c r="I243" s="3">
        <f t="shared" si="38"/>
        <v>62.489792172507698</v>
      </c>
    </row>
    <row r="244" spans="1:9" ht="15.75" customHeight="1" thickBot="1">
      <c r="A244" s="16">
        <v>38322</v>
      </c>
      <c r="B244" s="15">
        <v>1211.92</v>
      </c>
      <c r="C244" s="3">
        <f t="shared" si="39"/>
        <v>38.100000000000136</v>
      </c>
      <c r="D244" s="3">
        <f t="shared" si="34"/>
        <v>38.100000000000136</v>
      </c>
      <c r="E244" s="3">
        <f t="shared" si="35"/>
        <v>0</v>
      </c>
      <c r="F244" s="3">
        <f t="shared" si="36"/>
        <v>19.16259490408428</v>
      </c>
      <c r="G244" s="3">
        <f t="shared" si="36"/>
        <v>9.8689969133167672</v>
      </c>
      <c r="H244" s="3">
        <f t="shared" si="37"/>
        <v>1.9416963114282833</v>
      </c>
      <c r="I244" s="3">
        <f t="shared" si="38"/>
        <v>66.006008298168979</v>
      </c>
    </row>
    <row r="245" spans="1:9" ht="15.75" customHeight="1" thickBot="1">
      <c r="A245" s="16">
        <v>38353</v>
      </c>
      <c r="B245" s="15">
        <v>1181.27</v>
      </c>
      <c r="C245" s="3">
        <f t="shared" si="39"/>
        <v>-30.650000000000091</v>
      </c>
      <c r="D245" s="3">
        <f t="shared" si="34"/>
        <v>0</v>
      </c>
      <c r="E245" s="3">
        <f t="shared" si="35"/>
        <v>30.650000000000091</v>
      </c>
      <c r="F245" s="3">
        <f t="shared" si="36"/>
        <v>17.793838125221118</v>
      </c>
      <c r="G245" s="3">
        <f t="shared" si="36"/>
        <v>11.35335427665129</v>
      </c>
      <c r="H245" s="3">
        <f t="shared" si="37"/>
        <v>1.567275863293986</v>
      </c>
      <c r="I245" s="3">
        <f t="shared" si="38"/>
        <v>61.048206221323902</v>
      </c>
    </row>
    <row r="246" spans="1:9" ht="15.75" customHeight="1" thickBot="1">
      <c r="A246" s="16">
        <v>38384</v>
      </c>
      <c r="B246" s="15">
        <v>1203.5999999999999</v>
      </c>
      <c r="C246" s="3">
        <f t="shared" si="39"/>
        <v>22.329999999999927</v>
      </c>
      <c r="D246" s="3">
        <f t="shared" si="34"/>
        <v>22.329999999999927</v>
      </c>
      <c r="E246" s="3">
        <f t="shared" si="35"/>
        <v>0</v>
      </c>
      <c r="F246" s="3">
        <f t="shared" si="36"/>
        <v>18.11784968770532</v>
      </c>
      <c r="G246" s="3">
        <f t="shared" si="36"/>
        <v>10.542400399747626</v>
      </c>
      <c r="H246" s="3">
        <f t="shared" si="37"/>
        <v>1.718569680595611</v>
      </c>
      <c r="I246" s="3">
        <f t="shared" si="38"/>
        <v>63.215951125412751</v>
      </c>
    </row>
    <row r="247" spans="1:9" ht="15.75" customHeight="1" thickBot="1">
      <c r="A247" s="16">
        <v>38412</v>
      </c>
      <c r="B247" s="15">
        <v>1180.5899999999999</v>
      </c>
      <c r="C247" s="3">
        <f t="shared" si="39"/>
        <v>-23.009999999999991</v>
      </c>
      <c r="D247" s="3">
        <f t="shared" si="34"/>
        <v>0</v>
      </c>
      <c r="E247" s="3">
        <f t="shared" si="35"/>
        <v>23.009999999999991</v>
      </c>
      <c r="F247" s="3">
        <f t="shared" si="36"/>
        <v>16.82371756715494</v>
      </c>
      <c r="G247" s="3">
        <f t="shared" si="36"/>
        <v>11.432943228337081</v>
      </c>
      <c r="H247" s="3">
        <f t="shared" si="37"/>
        <v>1.4715123858444932</v>
      </c>
      <c r="I247" s="3">
        <f t="shared" si="38"/>
        <v>59.53894442417252</v>
      </c>
    </row>
    <row r="248" spans="1:9" ht="15.75" customHeight="1" thickBot="1">
      <c r="A248" s="16">
        <v>38443</v>
      </c>
      <c r="B248" s="15">
        <v>1156.8499999999999</v>
      </c>
      <c r="C248" s="3">
        <f t="shared" si="39"/>
        <v>-23.740000000000009</v>
      </c>
      <c r="D248" s="3">
        <f t="shared" si="34"/>
        <v>0</v>
      </c>
      <c r="E248" s="3">
        <f t="shared" si="35"/>
        <v>23.740000000000009</v>
      </c>
      <c r="F248" s="3">
        <f t="shared" si="36"/>
        <v>15.622023455215301</v>
      </c>
      <c r="G248" s="3">
        <f t="shared" si="36"/>
        <v>12.312018712027291</v>
      </c>
      <c r="H248" s="3">
        <f t="shared" si="37"/>
        <v>1.2688433814638824</v>
      </c>
      <c r="I248" s="3">
        <f t="shared" si="38"/>
        <v>55.924679148421909</v>
      </c>
    </row>
    <row r="249" spans="1:9" ht="15.75" customHeight="1" thickBot="1">
      <c r="A249" s="16">
        <v>38473</v>
      </c>
      <c r="B249" s="15">
        <v>1191.5</v>
      </c>
      <c r="C249" s="3">
        <f t="shared" si="39"/>
        <v>34.650000000000091</v>
      </c>
      <c r="D249" s="3">
        <f t="shared" si="34"/>
        <v>34.650000000000091</v>
      </c>
      <c r="E249" s="3">
        <f t="shared" si="35"/>
        <v>0</v>
      </c>
      <c r="F249" s="3">
        <f t="shared" si="36"/>
        <v>16.981164636985643</v>
      </c>
      <c r="G249" s="3">
        <f t="shared" si="36"/>
        <v>11.432588804025341</v>
      </c>
      <c r="H249" s="3">
        <f t="shared" si="37"/>
        <v>1.4853297820880851</v>
      </c>
      <c r="I249" s="3">
        <f t="shared" si="38"/>
        <v>59.763891005247771</v>
      </c>
    </row>
    <row r="250" spans="1:9" ht="15.75" customHeight="1" thickBot="1">
      <c r="A250" s="16">
        <v>38504</v>
      </c>
      <c r="B250" s="15">
        <v>1191.33</v>
      </c>
      <c r="C250" s="3">
        <f t="shared" si="39"/>
        <v>-0.17000000000007276</v>
      </c>
      <c r="D250" s="3">
        <f t="shared" si="34"/>
        <v>0</v>
      </c>
      <c r="E250" s="3">
        <f t="shared" si="35"/>
        <v>0.17000000000007276</v>
      </c>
      <c r="F250" s="3">
        <f t="shared" si="36"/>
        <v>15.768224305772382</v>
      </c>
      <c r="G250" s="3">
        <f t="shared" si="36"/>
        <v>10.628118175166394</v>
      </c>
      <c r="H250" s="3">
        <f t="shared" si="37"/>
        <v>1.4836327603711006</v>
      </c>
      <c r="I250" s="3">
        <f t="shared" si="38"/>
        <v>59.736398393674691</v>
      </c>
    </row>
    <row r="251" spans="1:9" ht="15.75" customHeight="1" thickBot="1">
      <c r="A251" s="16">
        <v>38534</v>
      </c>
      <c r="B251" s="15">
        <v>1234.18</v>
      </c>
      <c r="C251" s="3">
        <f t="shared" si="39"/>
        <v>42.850000000000136</v>
      </c>
      <c r="D251" s="3">
        <f t="shared" si="34"/>
        <v>42.850000000000136</v>
      </c>
      <c r="E251" s="3">
        <f t="shared" si="35"/>
        <v>0</v>
      </c>
      <c r="F251" s="3">
        <f t="shared" si="36"/>
        <v>17.70263685536008</v>
      </c>
      <c r="G251" s="3">
        <f t="shared" si="36"/>
        <v>9.8689668769402221</v>
      </c>
      <c r="H251" s="3">
        <f t="shared" si="37"/>
        <v>1.7937679876830848</v>
      </c>
      <c r="I251" s="3">
        <f t="shared" si="38"/>
        <v>64.206047015761115</v>
      </c>
    </row>
    <row r="252" spans="1:9" ht="15.75" customHeight="1" thickBot="1">
      <c r="A252" s="16">
        <v>38565</v>
      </c>
      <c r="B252" s="15">
        <v>1220.33</v>
      </c>
      <c r="C252" s="3">
        <f t="shared" si="39"/>
        <v>-13.850000000000136</v>
      </c>
      <c r="D252" s="3">
        <f t="shared" si="34"/>
        <v>0</v>
      </c>
      <c r="E252" s="3">
        <f t="shared" si="35"/>
        <v>13.850000000000136</v>
      </c>
      <c r="F252" s="3">
        <f t="shared" si="36"/>
        <v>16.438162794262929</v>
      </c>
      <c r="G252" s="3">
        <f t="shared" si="36"/>
        <v>10.153326385730216</v>
      </c>
      <c r="H252" s="3">
        <f t="shared" si="37"/>
        <v>1.6189928472471453</v>
      </c>
      <c r="I252" s="3">
        <f t="shared" si="38"/>
        <v>61.817383310110529</v>
      </c>
    </row>
    <row r="253" spans="1:9" ht="15.75" customHeight="1" thickBot="1">
      <c r="A253" s="16">
        <v>38596</v>
      </c>
      <c r="B253" s="15">
        <v>1228.81</v>
      </c>
      <c r="C253" s="3">
        <f t="shared" si="39"/>
        <v>8.4800000000000182</v>
      </c>
      <c r="D253" s="3">
        <f t="shared" si="34"/>
        <v>8.4800000000000182</v>
      </c>
      <c r="E253" s="3">
        <f t="shared" si="35"/>
        <v>0</v>
      </c>
      <c r="F253" s="3">
        <f t="shared" si="36"/>
        <v>15.869722594672721</v>
      </c>
      <c r="G253" s="3">
        <f t="shared" si="36"/>
        <v>9.4280887867494858</v>
      </c>
      <c r="H253" s="3">
        <f t="shared" si="37"/>
        <v>1.6832385601816242</v>
      </c>
      <c r="I253" s="3">
        <f t="shared" si="38"/>
        <v>62.731602965175348</v>
      </c>
    </row>
    <row r="254" spans="1:9" ht="15.75" customHeight="1" thickBot="1">
      <c r="A254" s="16">
        <v>38626</v>
      </c>
      <c r="B254" s="15">
        <v>1207.01</v>
      </c>
      <c r="C254" s="3">
        <f t="shared" si="39"/>
        <v>-21.799999999999955</v>
      </c>
      <c r="D254" s="3">
        <f t="shared" si="34"/>
        <v>0</v>
      </c>
      <c r="E254" s="3">
        <f t="shared" si="35"/>
        <v>21.799999999999955</v>
      </c>
      <c r="F254" s="3">
        <f t="shared" si="36"/>
        <v>14.736170980767527</v>
      </c>
      <c r="G254" s="3">
        <f t="shared" si="36"/>
        <v>10.311796730553093</v>
      </c>
      <c r="H254" s="3">
        <f t="shared" si="37"/>
        <v>1.4290594903898115</v>
      </c>
      <c r="I254" s="3">
        <f t="shared" si="38"/>
        <v>58.831802845655226</v>
      </c>
    </row>
    <row r="255" spans="1:9" ht="15.75" customHeight="1" thickBot="1">
      <c r="A255" s="16">
        <v>38657</v>
      </c>
      <c r="B255" s="15">
        <v>1249.48</v>
      </c>
      <c r="C255" s="3">
        <f t="shared" si="39"/>
        <v>42.470000000000027</v>
      </c>
      <c r="D255" s="3">
        <f t="shared" si="34"/>
        <v>42.470000000000027</v>
      </c>
      <c r="E255" s="3">
        <f t="shared" si="35"/>
        <v>0</v>
      </c>
      <c r="F255" s="3">
        <f t="shared" si="36"/>
        <v>16.717158767855562</v>
      </c>
      <c r="G255" s="3">
        <f t="shared" si="36"/>
        <v>9.5752398212278713</v>
      </c>
      <c r="H255" s="3">
        <f t="shared" si="37"/>
        <v>1.7458736365844729</v>
      </c>
      <c r="I255" s="3">
        <f t="shared" si="38"/>
        <v>63.581718157872828</v>
      </c>
    </row>
    <row r="256" spans="1:9" ht="15.75" customHeight="1" thickBot="1">
      <c r="A256" s="16">
        <v>38687</v>
      </c>
      <c r="B256" s="15">
        <v>1248.29</v>
      </c>
      <c r="C256" s="3">
        <f t="shared" si="39"/>
        <v>-1.1900000000000546</v>
      </c>
      <c r="D256" s="3">
        <f t="shared" si="34"/>
        <v>0</v>
      </c>
      <c r="E256" s="3">
        <f t="shared" si="35"/>
        <v>1.1900000000000546</v>
      </c>
      <c r="F256" s="3">
        <f t="shared" si="36"/>
        <v>15.523075998723021</v>
      </c>
      <c r="G256" s="3">
        <f t="shared" si="36"/>
        <v>8.9762941197115982</v>
      </c>
      <c r="H256" s="3">
        <f t="shared" si="37"/>
        <v>1.7293412840199767</v>
      </c>
      <c r="I256" s="3">
        <f t="shared" si="38"/>
        <v>63.361122852063204</v>
      </c>
    </row>
    <row r="257" spans="1:9" ht="15.75" customHeight="1" thickBot="1">
      <c r="A257" s="16">
        <v>38718</v>
      </c>
      <c r="B257" s="15">
        <v>1280.08</v>
      </c>
      <c r="C257" s="3">
        <f t="shared" si="39"/>
        <v>31.789999999999964</v>
      </c>
      <c r="D257" s="3">
        <f t="shared" si="34"/>
        <v>31.789999999999964</v>
      </c>
      <c r="E257" s="3">
        <f t="shared" si="35"/>
        <v>0</v>
      </c>
      <c r="F257" s="3">
        <f t="shared" si="36"/>
        <v>16.684999141671373</v>
      </c>
      <c r="G257" s="3">
        <f t="shared" si="36"/>
        <v>8.3351302540179137</v>
      </c>
      <c r="H257" s="3">
        <f t="shared" si="37"/>
        <v>2.0017682547466418</v>
      </c>
      <c r="I257" s="3">
        <f t="shared" si="38"/>
        <v>66.686302367988674</v>
      </c>
    </row>
    <row r="258" spans="1:9" ht="15.75" customHeight="1" thickBot="1">
      <c r="A258" s="16">
        <v>38749</v>
      </c>
      <c r="B258" s="15">
        <v>1280.6600000000001</v>
      </c>
      <c r="C258" s="3">
        <f t="shared" si="39"/>
        <v>0.58000000000015461</v>
      </c>
      <c r="D258" s="3">
        <f t="shared" si="34"/>
        <v>0.58000000000015461</v>
      </c>
      <c r="E258" s="3">
        <f t="shared" si="35"/>
        <v>0</v>
      </c>
      <c r="F258" s="3">
        <f t="shared" si="36"/>
        <v>15.53464206012343</v>
      </c>
      <c r="G258" s="3">
        <f t="shared" si="36"/>
        <v>7.7397638073023485</v>
      </c>
      <c r="H258" s="3">
        <f t="shared" si="37"/>
        <v>2.0071209466969435</v>
      </c>
      <c r="I258" s="3">
        <f t="shared" si="38"/>
        <v>66.745600934395014</v>
      </c>
    </row>
    <row r="259" spans="1:9" ht="15.75" customHeight="1" thickBot="1">
      <c r="A259" s="16">
        <v>38777</v>
      </c>
      <c r="B259" s="15">
        <v>1294.8699999999999</v>
      </c>
      <c r="C259" s="3">
        <f t="shared" si="39"/>
        <v>14.209999999999809</v>
      </c>
      <c r="D259" s="3">
        <f t="shared" si="34"/>
        <v>14.209999999999809</v>
      </c>
      <c r="E259" s="3">
        <f t="shared" si="35"/>
        <v>0</v>
      </c>
      <c r="F259" s="3">
        <f t="shared" si="36"/>
        <v>15.440024770114601</v>
      </c>
      <c r="G259" s="3">
        <f t="shared" si="36"/>
        <v>7.1869235353521805</v>
      </c>
      <c r="H259" s="3">
        <f t="shared" si="37"/>
        <v>2.1483496650779372</v>
      </c>
      <c r="I259" s="3">
        <f t="shared" si="38"/>
        <v>68.237327286350038</v>
      </c>
    </row>
    <row r="260" spans="1:9" ht="15.75" customHeight="1" thickBot="1">
      <c r="A260" s="16">
        <v>38808</v>
      </c>
      <c r="B260" s="15">
        <v>1310.6099999999999</v>
      </c>
      <c r="C260" s="3">
        <f t="shared" si="39"/>
        <v>15.740000000000009</v>
      </c>
      <c r="D260" s="3">
        <f t="shared" si="34"/>
        <v>15.740000000000009</v>
      </c>
      <c r="E260" s="3">
        <f t="shared" si="35"/>
        <v>0</v>
      </c>
      <c r="F260" s="3">
        <f t="shared" si="36"/>
        <v>15.461451572249272</v>
      </c>
      <c r="G260" s="3">
        <f t="shared" si="36"/>
        <v>6.6735718542555968</v>
      </c>
      <c r="H260" s="3">
        <f t="shared" si="37"/>
        <v>2.3168180263751603</v>
      </c>
      <c r="I260" s="3">
        <f t="shared" si="38"/>
        <v>69.850622130968503</v>
      </c>
    </row>
    <row r="261" spans="1:9" ht="15.75" customHeight="1" thickBot="1">
      <c r="A261" s="16">
        <v>38838</v>
      </c>
      <c r="B261" s="15">
        <v>1270.0899999999999</v>
      </c>
      <c r="C261" s="3">
        <f t="shared" si="39"/>
        <v>-40.519999999999982</v>
      </c>
      <c r="D261" s="3">
        <f t="shared" si="34"/>
        <v>0</v>
      </c>
      <c r="E261" s="3">
        <f t="shared" si="35"/>
        <v>40.519999999999982</v>
      </c>
      <c r="F261" s="3">
        <f t="shared" si="36"/>
        <v>14.357062174231467</v>
      </c>
      <c r="G261" s="3">
        <f t="shared" si="36"/>
        <v>9.0911738646659099</v>
      </c>
      <c r="H261" s="3">
        <f t="shared" si="37"/>
        <v>1.5792308438882852</v>
      </c>
      <c r="I261" s="3">
        <f t="shared" si="38"/>
        <v>61.228751495059541</v>
      </c>
    </row>
    <row r="262" spans="1:9" ht="15.75" customHeight="1" thickBot="1">
      <c r="A262" s="16">
        <v>38869</v>
      </c>
      <c r="B262" s="15">
        <v>1270.2</v>
      </c>
      <c r="C262" s="3">
        <f t="shared" si="39"/>
        <v>0.11000000000012733</v>
      </c>
      <c r="D262" s="3">
        <f t="shared" si="34"/>
        <v>0.11000000000012733</v>
      </c>
      <c r="E262" s="3">
        <f t="shared" si="35"/>
        <v>0</v>
      </c>
      <c r="F262" s="3">
        <f t="shared" si="36"/>
        <v>13.339414876072086</v>
      </c>
      <c r="G262" s="3">
        <f t="shared" si="36"/>
        <v>8.4418043029040586</v>
      </c>
      <c r="H262" s="3">
        <f t="shared" si="37"/>
        <v>1.5801615860110858</v>
      </c>
      <c r="I262" s="3">
        <f t="shared" si="38"/>
        <v>61.242737454052481</v>
      </c>
    </row>
    <row r="263" spans="1:9" ht="15.75" customHeight="1" thickBot="1">
      <c r="A263" s="16">
        <v>38899</v>
      </c>
      <c r="B263" s="15">
        <v>1276.6600000000001</v>
      </c>
      <c r="C263" s="3">
        <f t="shared" si="39"/>
        <v>6.4600000000000364</v>
      </c>
      <c r="D263" s="3">
        <f t="shared" si="34"/>
        <v>6.4600000000000364</v>
      </c>
      <c r="E263" s="3">
        <f t="shared" si="35"/>
        <v>0</v>
      </c>
      <c r="F263" s="3">
        <f t="shared" si="36"/>
        <v>12.848028099209797</v>
      </c>
      <c r="G263" s="3">
        <f t="shared" si="36"/>
        <v>7.838818281268054</v>
      </c>
      <c r="H263" s="3">
        <f t="shared" si="37"/>
        <v>1.6390261437635245</v>
      </c>
      <c r="I263" s="3">
        <f t="shared" si="38"/>
        <v>62.107234050591991</v>
      </c>
    </row>
    <row r="264" spans="1:9" ht="15.75" customHeight="1" thickBot="1">
      <c r="A264" s="16">
        <v>38930</v>
      </c>
      <c r="B264" s="15">
        <v>1303.82</v>
      </c>
      <c r="C264" s="3">
        <f t="shared" si="39"/>
        <v>27.159999999999854</v>
      </c>
      <c r="D264" s="3">
        <f t="shared" si="34"/>
        <v>27.159999999999854</v>
      </c>
      <c r="E264" s="3">
        <f t="shared" si="35"/>
        <v>0</v>
      </c>
      <c r="F264" s="3">
        <f t="shared" si="36"/>
        <v>13.870311806409088</v>
      </c>
      <c r="G264" s="3">
        <f t="shared" si="36"/>
        <v>7.2789026897489082</v>
      </c>
      <c r="H264" s="3">
        <f t="shared" si="37"/>
        <v>1.9055498332108567</v>
      </c>
      <c r="I264" s="3">
        <f t="shared" si="38"/>
        <v>65.583106213844459</v>
      </c>
    </row>
    <row r="265" spans="1:9" ht="15.75" customHeight="1" thickBot="1">
      <c r="A265" s="16">
        <v>38961</v>
      </c>
      <c r="B265" s="15">
        <v>1335.85</v>
      </c>
      <c r="C265" s="3">
        <f t="shared" si="39"/>
        <v>32.029999999999973</v>
      </c>
      <c r="D265" s="3">
        <f t="shared" si="34"/>
        <v>32.029999999999973</v>
      </c>
      <c r="E265" s="3">
        <f t="shared" si="35"/>
        <v>0</v>
      </c>
      <c r="F265" s="3">
        <f t="shared" si="36"/>
        <v>15.16743239166558</v>
      </c>
      <c r="G265" s="3">
        <f t="shared" si="36"/>
        <v>6.7589810690525578</v>
      </c>
      <c r="H265" s="3">
        <f t="shared" si="37"/>
        <v>2.2440412595787427</v>
      </c>
      <c r="I265" s="3">
        <f t="shared" si="38"/>
        <v>69.174251497348223</v>
      </c>
    </row>
    <row r="266" spans="1:9" ht="15.75" customHeight="1" thickBot="1">
      <c r="A266" s="16">
        <v>38991</v>
      </c>
      <c r="B266" s="15">
        <v>1377.94</v>
      </c>
      <c r="C266" s="3">
        <f t="shared" si="39"/>
        <v>42.090000000000146</v>
      </c>
      <c r="D266" s="3">
        <f t="shared" si="34"/>
        <v>42.090000000000146</v>
      </c>
      <c r="E266" s="3">
        <f t="shared" si="35"/>
        <v>0</v>
      </c>
      <c r="F266" s="3">
        <f t="shared" si="36"/>
        <v>17.090472935118051</v>
      </c>
      <c r="G266" s="3">
        <f t="shared" si="36"/>
        <v>6.276196706977375</v>
      </c>
      <c r="H266" s="3">
        <f t="shared" si="37"/>
        <v>2.7230620283328957</v>
      </c>
      <c r="I266" s="3">
        <f t="shared" si="38"/>
        <v>73.140388411745647</v>
      </c>
    </row>
    <row r="267" spans="1:9" ht="15.75" customHeight="1" thickBot="1">
      <c r="A267" s="16">
        <v>39022</v>
      </c>
      <c r="B267" s="15">
        <v>1400.63</v>
      </c>
      <c r="C267" s="3">
        <f t="shared" si="39"/>
        <v>22.690000000000055</v>
      </c>
      <c r="D267" s="3">
        <f t="shared" si="34"/>
        <v>22.690000000000055</v>
      </c>
      <c r="E267" s="3">
        <f t="shared" si="35"/>
        <v>0</v>
      </c>
      <c r="F267" s="3">
        <f t="shared" si="36"/>
        <v>17.490439154038192</v>
      </c>
      <c r="G267" s="3">
        <f t="shared" si="36"/>
        <v>5.8278969421932771</v>
      </c>
      <c r="H267" s="3">
        <f t="shared" si="37"/>
        <v>3.0011579352767042</v>
      </c>
      <c r="I267" s="3">
        <f t="shared" si="38"/>
        <v>75.007235001063663</v>
      </c>
    </row>
    <row r="268" spans="1:9" ht="15.75" customHeight="1" thickBot="1">
      <c r="A268" s="16">
        <v>39052</v>
      </c>
      <c r="B268" s="15">
        <v>1418.3</v>
      </c>
      <c r="C268" s="3">
        <f t="shared" si="39"/>
        <v>17.669999999999845</v>
      </c>
      <c r="D268" s="3">
        <f t="shared" si="34"/>
        <v>17.669999999999845</v>
      </c>
      <c r="E268" s="3">
        <f t="shared" si="35"/>
        <v>0</v>
      </c>
      <c r="F268" s="3">
        <f t="shared" si="36"/>
        <v>17.50326492874974</v>
      </c>
      <c r="G268" s="3">
        <f t="shared" si="36"/>
        <v>5.4116185891794713</v>
      </c>
      <c r="H268" s="3">
        <f t="shared" si="37"/>
        <v>3.2343862820908167</v>
      </c>
      <c r="I268" s="3">
        <f t="shared" si="38"/>
        <v>76.383826760693438</v>
      </c>
    </row>
    <row r="269" spans="1:9" ht="15.75" customHeight="1" thickBot="1">
      <c r="A269" s="16">
        <v>39083</v>
      </c>
      <c r="B269" s="15">
        <v>1438.24</v>
      </c>
      <c r="C269" s="3">
        <f t="shared" si="39"/>
        <v>19.940000000000055</v>
      </c>
      <c r="D269" s="3">
        <f t="shared" si="34"/>
        <v>19.940000000000055</v>
      </c>
      <c r="E269" s="3">
        <f t="shared" si="35"/>
        <v>0</v>
      </c>
      <c r="F269" s="3">
        <f t="shared" si="36"/>
        <v>17.677317433839047</v>
      </c>
      <c r="G269" s="3">
        <f t="shared" si="36"/>
        <v>5.0250744042380804</v>
      </c>
      <c r="H269" s="3">
        <f t="shared" si="37"/>
        <v>3.5178220284520036</v>
      </c>
      <c r="I269" s="3">
        <f t="shared" si="38"/>
        <v>77.865440610491646</v>
      </c>
    </row>
    <row r="270" spans="1:9" ht="15.75" customHeight="1" thickBot="1">
      <c r="A270" s="16">
        <v>39114</v>
      </c>
      <c r="B270" s="15">
        <v>1406.82</v>
      </c>
      <c r="C270" s="3">
        <f t="shared" si="39"/>
        <v>-31.420000000000073</v>
      </c>
      <c r="D270" s="3">
        <f t="shared" si="34"/>
        <v>0</v>
      </c>
      <c r="E270" s="3">
        <f t="shared" si="35"/>
        <v>31.420000000000073</v>
      </c>
      <c r="F270" s="3">
        <f t="shared" si="36"/>
        <v>16.414651902850544</v>
      </c>
      <c r="G270" s="3">
        <f t="shared" si="36"/>
        <v>6.9104262325067944</v>
      </c>
      <c r="H270" s="3">
        <f t="shared" si="37"/>
        <v>2.375345796419281</v>
      </c>
      <c r="I270" s="3">
        <f t="shared" si="38"/>
        <v>70.373405857828104</v>
      </c>
    </row>
    <row r="271" spans="1:9" ht="15.75" customHeight="1" thickBot="1">
      <c r="A271" s="16">
        <v>39142</v>
      </c>
      <c r="B271" s="15">
        <v>1420.86</v>
      </c>
      <c r="C271" s="3">
        <f t="shared" si="39"/>
        <v>14.039999999999964</v>
      </c>
      <c r="D271" s="3">
        <f t="shared" si="34"/>
        <v>14.039999999999964</v>
      </c>
      <c r="E271" s="3">
        <f t="shared" si="35"/>
        <v>0</v>
      </c>
      <c r="F271" s="3">
        <f t="shared" si="36"/>
        <v>16.24503390978979</v>
      </c>
      <c r="G271" s="3">
        <f t="shared" si="36"/>
        <v>6.4168243587563092</v>
      </c>
      <c r="H271" s="3">
        <f t="shared" si="37"/>
        <v>2.5316313805008615</v>
      </c>
      <c r="I271" s="3">
        <f t="shared" si="38"/>
        <v>71.684474050115085</v>
      </c>
    </row>
    <row r="272" spans="1:9" ht="15.75" customHeight="1" thickBot="1">
      <c r="A272" s="16">
        <v>39173</v>
      </c>
      <c r="B272" s="15">
        <v>1482.37</v>
      </c>
      <c r="C272" s="3">
        <f t="shared" si="39"/>
        <v>61.509999999999991</v>
      </c>
      <c r="D272" s="3">
        <f t="shared" si="34"/>
        <v>61.509999999999991</v>
      </c>
      <c r="E272" s="3">
        <f t="shared" si="35"/>
        <v>0</v>
      </c>
      <c r="F272" s="3">
        <f t="shared" si="36"/>
        <v>19.478245773376234</v>
      </c>
      <c r="G272" s="3">
        <f t="shared" si="36"/>
        <v>5.9584797617022867</v>
      </c>
      <c r="H272" s="3">
        <f t="shared" si="37"/>
        <v>3.268995876862971</v>
      </c>
      <c r="I272" s="3">
        <f t="shared" si="38"/>
        <v>76.575287752799611</v>
      </c>
    </row>
    <row r="273" spans="1:9" ht="15.75" customHeight="1" thickBot="1">
      <c r="A273" s="16">
        <v>39203</v>
      </c>
      <c r="B273" s="15">
        <v>1530.62</v>
      </c>
      <c r="C273" s="3">
        <f t="shared" si="39"/>
        <v>48.25</v>
      </c>
      <c r="D273" s="3">
        <f t="shared" si="34"/>
        <v>48.25</v>
      </c>
      <c r="E273" s="3">
        <f t="shared" si="35"/>
        <v>0</v>
      </c>
      <c r="F273" s="3">
        <f t="shared" si="36"/>
        <v>21.53337107527793</v>
      </c>
      <c r="G273" s="3">
        <f t="shared" si="36"/>
        <v>5.5328740644378369</v>
      </c>
      <c r="H273" s="3">
        <f t="shared" si="37"/>
        <v>3.8918961148387914</v>
      </c>
      <c r="I273" s="3">
        <f t="shared" si="38"/>
        <v>79.558028696344181</v>
      </c>
    </row>
    <row r="274" spans="1:9" ht="15.75" customHeight="1" thickBot="1">
      <c r="A274" s="16">
        <v>39234</v>
      </c>
      <c r="B274" s="15">
        <v>1503.35</v>
      </c>
      <c r="C274" s="3">
        <f t="shared" si="39"/>
        <v>-27.269999999999982</v>
      </c>
      <c r="D274" s="3">
        <f t="shared" si="34"/>
        <v>0</v>
      </c>
      <c r="E274" s="3">
        <f t="shared" si="35"/>
        <v>27.269999999999982</v>
      </c>
      <c r="F274" s="3">
        <f t="shared" si="36"/>
        <v>19.995273141329506</v>
      </c>
      <c r="G274" s="3">
        <f t="shared" si="36"/>
        <v>7.0855259169779901</v>
      </c>
      <c r="H274" s="3">
        <f t="shared" si="37"/>
        <v>2.8219885687550463</v>
      </c>
      <c r="I274" s="3">
        <f t="shared" si="38"/>
        <v>73.835609866155764</v>
      </c>
    </row>
    <row r="275" spans="1:9" ht="15.75" customHeight="1" thickBot="1">
      <c r="A275" s="16">
        <v>39264</v>
      </c>
      <c r="B275" s="15">
        <v>1455.27</v>
      </c>
      <c r="C275" s="3">
        <f t="shared" si="39"/>
        <v>-48.079999999999927</v>
      </c>
      <c r="D275" s="3">
        <f t="shared" si="34"/>
        <v>0</v>
      </c>
      <c r="E275" s="3">
        <f t="shared" si="35"/>
        <v>48.079999999999927</v>
      </c>
      <c r="F275" s="3">
        <f t="shared" si="36"/>
        <v>18.567039345520254</v>
      </c>
      <c r="G275" s="3">
        <f t="shared" si="36"/>
        <v>10.013702637193843</v>
      </c>
      <c r="H275" s="3">
        <f t="shared" si="37"/>
        <v>1.8541632419317902</v>
      </c>
      <c r="I275" s="3">
        <f t="shared" si="38"/>
        <v>64.963461609043506</v>
      </c>
    </row>
    <row r="276" spans="1:9" ht="15.75" customHeight="1" thickBot="1">
      <c r="A276" s="16">
        <v>39295</v>
      </c>
      <c r="B276" s="15">
        <v>1473.99</v>
      </c>
      <c r="C276" s="3">
        <f t="shared" si="39"/>
        <v>18.720000000000027</v>
      </c>
      <c r="D276" s="3">
        <f t="shared" si="34"/>
        <v>18.720000000000027</v>
      </c>
      <c r="E276" s="3">
        <f t="shared" si="35"/>
        <v>0</v>
      </c>
      <c r="F276" s="3">
        <f t="shared" si="36"/>
        <v>18.577965106554522</v>
      </c>
      <c r="G276" s="3">
        <f t="shared" si="36"/>
        <v>9.2984381631085693</v>
      </c>
      <c r="H276" s="3">
        <f t="shared" si="37"/>
        <v>1.9979661939638802</v>
      </c>
      <c r="I276" s="3">
        <f t="shared" si="38"/>
        <v>66.64405349155021</v>
      </c>
    </row>
    <row r="277" spans="1:9" ht="15.75" customHeight="1" thickBot="1">
      <c r="A277" s="16">
        <v>39326</v>
      </c>
      <c r="B277" s="15">
        <v>1526.75</v>
      </c>
      <c r="C277" s="3">
        <f t="shared" si="39"/>
        <v>52.759999999999991</v>
      </c>
      <c r="D277" s="3">
        <f t="shared" si="34"/>
        <v>52.759999999999991</v>
      </c>
      <c r="E277" s="3">
        <f t="shared" si="35"/>
        <v>0</v>
      </c>
      <c r="F277" s="3">
        <f t="shared" si="36"/>
        <v>21.019539027514913</v>
      </c>
      <c r="G277" s="3">
        <f t="shared" si="36"/>
        <v>8.6342640086008142</v>
      </c>
      <c r="H277" s="3">
        <f t="shared" si="37"/>
        <v>2.4344332078074986</v>
      </c>
      <c r="I277" s="3">
        <f t="shared" si="38"/>
        <v>70.883114054257931</v>
      </c>
    </row>
    <row r="278" spans="1:9" ht="15.75" customHeight="1" thickBot="1">
      <c r="A278" s="16">
        <v>39356</v>
      </c>
      <c r="B278" s="15">
        <v>1549.38</v>
      </c>
      <c r="C278" s="3">
        <f t="shared" si="39"/>
        <v>22.630000000000109</v>
      </c>
      <c r="D278" s="3">
        <f t="shared" si="34"/>
        <v>22.630000000000109</v>
      </c>
      <c r="E278" s="3">
        <f t="shared" si="35"/>
        <v>0</v>
      </c>
      <c r="F278" s="3">
        <f t="shared" si="36"/>
        <v>21.134571954120997</v>
      </c>
      <c r="G278" s="3">
        <f t="shared" si="36"/>
        <v>8.0175308651293271</v>
      </c>
      <c r="H278" s="3">
        <f t="shared" si="37"/>
        <v>2.6360449756472604</v>
      </c>
      <c r="I278" s="3">
        <f t="shared" si="38"/>
        <v>72.497589917132757</v>
      </c>
    </row>
    <row r="279" spans="1:9" ht="15.75" customHeight="1" thickBot="1">
      <c r="A279" s="16">
        <v>39387</v>
      </c>
      <c r="B279" s="15">
        <v>1481.14</v>
      </c>
      <c r="C279" s="3">
        <f t="shared" si="39"/>
        <v>-68.240000000000009</v>
      </c>
      <c r="D279" s="3">
        <f t="shared" si="34"/>
        <v>0</v>
      </c>
      <c r="E279" s="3">
        <f t="shared" si="35"/>
        <v>68.240000000000009</v>
      </c>
      <c r="F279" s="3">
        <f t="shared" si="36"/>
        <v>19.624959671683779</v>
      </c>
      <c r="G279" s="3">
        <f t="shared" si="36"/>
        <v>12.319135803334376</v>
      </c>
      <c r="H279" s="3">
        <f t="shared" si="37"/>
        <v>1.5930467838800804</v>
      </c>
      <c r="I279" s="3">
        <f t="shared" si="38"/>
        <v>61.435327499041115</v>
      </c>
    </row>
    <row r="280" spans="1:9" ht="15.75" customHeight="1" thickBot="1">
      <c r="A280" s="16">
        <v>39417</v>
      </c>
      <c r="B280" s="15">
        <v>1468.36</v>
      </c>
      <c r="C280" s="3">
        <f t="shared" si="39"/>
        <v>-12.7800000000002</v>
      </c>
      <c r="D280" s="3">
        <f t="shared" si="34"/>
        <v>0</v>
      </c>
      <c r="E280" s="3">
        <f t="shared" si="35"/>
        <v>12.7800000000002</v>
      </c>
      <c r="F280" s="3">
        <f t="shared" si="36"/>
        <v>18.223176837992082</v>
      </c>
      <c r="G280" s="3">
        <f t="shared" si="36"/>
        <v>12.352054674524792</v>
      </c>
      <c r="H280" s="3">
        <f t="shared" si="37"/>
        <v>1.4753154287420738</v>
      </c>
      <c r="I280" s="3">
        <f t="shared" si="38"/>
        <v>59.601108271353191</v>
      </c>
    </row>
    <row r="281" spans="1:9" ht="15.75" customHeight="1" thickBot="1">
      <c r="A281" s="16">
        <v>39448</v>
      </c>
      <c r="B281" s="15">
        <v>1378.55</v>
      </c>
      <c r="C281" s="3">
        <f t="shared" si="39"/>
        <v>-89.809999999999945</v>
      </c>
      <c r="D281" s="3">
        <f t="shared" si="34"/>
        <v>0</v>
      </c>
      <c r="E281" s="3">
        <f t="shared" si="35"/>
        <v>89.809999999999945</v>
      </c>
      <c r="F281" s="3">
        <f t="shared" si="36"/>
        <v>16.921521349564077</v>
      </c>
      <c r="G281" s="3">
        <f t="shared" si="36"/>
        <v>17.884765054915874</v>
      </c>
      <c r="H281" s="3">
        <f t="shared" si="37"/>
        <v>0.94614166289609514</v>
      </c>
      <c r="I281" s="3">
        <f t="shared" si="38"/>
        <v>48.616279119584824</v>
      </c>
    </row>
    <row r="282" spans="1:9" ht="15.75" customHeight="1" thickBot="1">
      <c r="A282" s="16">
        <v>39479</v>
      </c>
      <c r="B282" s="15">
        <v>1330.63</v>
      </c>
      <c r="C282" s="3">
        <f t="shared" si="39"/>
        <v>-47.919999999999845</v>
      </c>
      <c r="D282" s="3">
        <f t="shared" si="34"/>
        <v>0</v>
      </c>
      <c r="E282" s="3">
        <f t="shared" si="35"/>
        <v>47.919999999999845</v>
      </c>
      <c r="F282" s="3">
        <f t="shared" si="36"/>
        <v>15.712841253166644</v>
      </c>
      <c r="G282" s="3">
        <f t="shared" si="36"/>
        <v>20.030138979564729</v>
      </c>
      <c r="H282" s="3">
        <f t="shared" si="37"/>
        <v>0.78445992158103817</v>
      </c>
      <c r="I282" s="3">
        <f t="shared" si="38"/>
        <v>43.960635489420447</v>
      </c>
    </row>
    <row r="283" spans="1:9" ht="15.75" customHeight="1" thickBot="1">
      <c r="A283" s="16">
        <v>39508</v>
      </c>
      <c r="B283" s="15">
        <v>1322.7</v>
      </c>
      <c r="C283" s="3">
        <f t="shared" si="39"/>
        <v>-7.9300000000000637</v>
      </c>
      <c r="D283" s="3">
        <f t="shared" si="34"/>
        <v>0</v>
      </c>
      <c r="E283" s="3">
        <f t="shared" si="35"/>
        <v>7.9300000000000637</v>
      </c>
      <c r="F283" s="3">
        <f t="shared" si="36"/>
        <v>14.590495449369026</v>
      </c>
      <c r="G283" s="3">
        <f t="shared" si="36"/>
        <v>19.165843338167253</v>
      </c>
      <c r="H283" s="3">
        <f t="shared" si="37"/>
        <v>0.76127594241121732</v>
      </c>
      <c r="I283" s="3">
        <f t="shared" si="38"/>
        <v>43.222979663766793</v>
      </c>
    </row>
    <row r="284" spans="1:9" ht="15.75" customHeight="1" thickBot="1">
      <c r="A284" s="16">
        <v>39539</v>
      </c>
      <c r="B284" s="15">
        <v>1385.59</v>
      </c>
      <c r="C284" s="3">
        <f t="shared" si="39"/>
        <v>62.889999999999873</v>
      </c>
      <c r="D284" s="3">
        <f t="shared" si="34"/>
        <v>62.889999999999873</v>
      </c>
      <c r="E284" s="3">
        <f t="shared" si="35"/>
        <v>0</v>
      </c>
      <c r="F284" s="3">
        <f t="shared" si="36"/>
        <v>18.040460060128371</v>
      </c>
      <c r="G284" s="3">
        <f t="shared" si="36"/>
        <v>17.796854528298162</v>
      </c>
      <c r="H284" s="3">
        <f t="shared" si="37"/>
        <v>1.0136881228895174</v>
      </c>
      <c r="I284" s="3">
        <f t="shared" si="38"/>
        <v>50.33987693362058</v>
      </c>
    </row>
    <row r="285" spans="1:9" ht="15.75" customHeight="1" thickBot="1">
      <c r="A285" s="16">
        <v>39569</v>
      </c>
      <c r="B285" s="15">
        <v>1400.38</v>
      </c>
      <c r="C285" s="3">
        <f t="shared" si="39"/>
        <v>14.790000000000191</v>
      </c>
      <c r="D285" s="3">
        <f t="shared" si="34"/>
        <v>14.790000000000191</v>
      </c>
      <c r="E285" s="3">
        <f t="shared" si="35"/>
        <v>0</v>
      </c>
      <c r="F285" s="3">
        <f t="shared" si="36"/>
        <v>17.808284341547786</v>
      </c>
      <c r="G285" s="3">
        <f t="shared" si="36"/>
        <v>16.525650633419723</v>
      </c>
      <c r="H285" s="3">
        <f t="shared" si="37"/>
        <v>1.077614717664078</v>
      </c>
      <c r="I285" s="3">
        <f t="shared" si="38"/>
        <v>51.867880435294147</v>
      </c>
    </row>
    <row r="286" spans="1:9" ht="15.75" customHeight="1" thickBot="1">
      <c r="A286" s="16">
        <v>39600</v>
      </c>
      <c r="B286" s="15">
        <v>1280</v>
      </c>
      <c r="C286" s="3">
        <f t="shared" si="39"/>
        <v>-120.38000000000011</v>
      </c>
      <c r="D286" s="3">
        <f t="shared" si="34"/>
        <v>0</v>
      </c>
      <c r="E286" s="3">
        <f t="shared" si="35"/>
        <v>120.38000000000011</v>
      </c>
      <c r="F286" s="3">
        <f t="shared" si="36"/>
        <v>16.536264031437231</v>
      </c>
      <c r="G286" s="3">
        <f t="shared" si="36"/>
        <v>23.943818445318325</v>
      </c>
      <c r="H286" s="3">
        <f t="shared" si="37"/>
        <v>0.69062769036617566</v>
      </c>
      <c r="I286" s="3">
        <f t="shared" si="38"/>
        <v>40.850371391739806</v>
      </c>
    </row>
    <row r="287" spans="1:9" ht="15.75" customHeight="1" thickBot="1">
      <c r="A287" s="16">
        <v>39630</v>
      </c>
      <c r="B287" s="15">
        <v>1267.3800000000001</v>
      </c>
      <c r="C287" s="3">
        <f t="shared" si="39"/>
        <v>-12.619999999999891</v>
      </c>
      <c r="D287" s="3">
        <f t="shared" si="34"/>
        <v>0</v>
      </c>
      <c r="E287" s="3">
        <f t="shared" si="35"/>
        <v>12.619999999999891</v>
      </c>
      <c r="F287" s="3">
        <f t="shared" si="36"/>
        <v>15.355102314906</v>
      </c>
      <c r="G287" s="3">
        <f t="shared" si="36"/>
        <v>23.134974270652723</v>
      </c>
      <c r="H287" s="3">
        <f t="shared" si="37"/>
        <v>0.66371814964083709</v>
      </c>
      <c r="I287" s="3">
        <f t="shared" si="38"/>
        <v>39.893665269211638</v>
      </c>
    </row>
    <row r="288" spans="1:9" ht="15.75" customHeight="1" thickBot="1">
      <c r="A288" s="16">
        <v>39661</v>
      </c>
      <c r="B288" s="15">
        <v>1282.83</v>
      </c>
      <c r="C288" s="3">
        <f t="shared" si="39"/>
        <v>15.449999999999818</v>
      </c>
      <c r="D288" s="3">
        <f t="shared" si="34"/>
        <v>15.449999999999818</v>
      </c>
      <c r="E288" s="3">
        <f t="shared" si="35"/>
        <v>0</v>
      </c>
      <c r="F288" s="3">
        <f t="shared" si="36"/>
        <v>15.36188072098413</v>
      </c>
      <c r="G288" s="3">
        <f t="shared" si="36"/>
        <v>21.482476108463242</v>
      </c>
      <c r="H288" s="3">
        <f t="shared" si="37"/>
        <v>0.71508892380111433</v>
      </c>
      <c r="I288" s="3">
        <f t="shared" si="38"/>
        <v>41.693985301722918</v>
      </c>
    </row>
    <row r="289" spans="1:9" ht="15.75" customHeight="1" thickBot="1">
      <c r="A289" s="16">
        <v>39692</v>
      </c>
      <c r="B289" s="15">
        <v>1166.3599999999999</v>
      </c>
      <c r="C289" s="3">
        <f t="shared" si="39"/>
        <v>-116.47000000000003</v>
      </c>
      <c r="D289" s="3">
        <f t="shared" si="34"/>
        <v>0</v>
      </c>
      <c r="E289" s="3">
        <f t="shared" si="35"/>
        <v>116.47000000000003</v>
      </c>
      <c r="F289" s="3">
        <f t="shared" si="36"/>
        <v>14.264603526628122</v>
      </c>
      <c r="G289" s="3">
        <f t="shared" si="36"/>
        <v>28.26729924357301</v>
      </c>
      <c r="H289" s="3">
        <f t="shared" si="37"/>
        <v>0.50463269956260115</v>
      </c>
      <c r="I289" s="3">
        <f t="shared" si="38"/>
        <v>33.538597141302233</v>
      </c>
    </row>
    <row r="290" spans="1:9" ht="15.75" customHeight="1" thickBot="1">
      <c r="A290" s="16">
        <v>39722</v>
      </c>
      <c r="B290" s="14">
        <v>968.75</v>
      </c>
      <c r="C290" s="3">
        <f t="shared" si="39"/>
        <v>-197.6099999999999</v>
      </c>
      <c r="D290" s="3">
        <f t="shared" si="34"/>
        <v>0</v>
      </c>
      <c r="E290" s="3">
        <f t="shared" si="35"/>
        <v>197.6099999999999</v>
      </c>
      <c r="F290" s="3">
        <f t="shared" si="36"/>
        <v>13.245703274726113</v>
      </c>
      <c r="G290" s="3">
        <f t="shared" si="36"/>
        <v>40.363206440460644</v>
      </c>
      <c r="H290" s="3">
        <f t="shared" si="37"/>
        <v>0.32816281070892411</v>
      </c>
      <c r="I290" s="3">
        <f t="shared" si="38"/>
        <v>24.70802585819753</v>
      </c>
    </row>
    <row r="291" spans="1:9" ht="15.75" customHeight="1" thickBot="1">
      <c r="A291" s="16">
        <v>39753</v>
      </c>
      <c r="B291" s="14">
        <v>896.24</v>
      </c>
      <c r="C291" s="3">
        <f t="shared" si="39"/>
        <v>-72.509999999999991</v>
      </c>
      <c r="D291" s="3">
        <f t="shared" si="34"/>
        <v>0</v>
      </c>
      <c r="E291" s="3">
        <f t="shared" si="35"/>
        <v>72.509999999999991</v>
      </c>
      <c r="F291" s="3">
        <f t="shared" si="36"/>
        <v>12.299581612245676</v>
      </c>
      <c r="G291" s="3">
        <f t="shared" si="36"/>
        <v>42.659405980427735</v>
      </c>
      <c r="H291" s="3">
        <f t="shared" si="37"/>
        <v>0.288320508210751</v>
      </c>
      <c r="I291" s="3">
        <f t="shared" si="38"/>
        <v>22.379563654635689</v>
      </c>
    </row>
    <row r="292" spans="1:9" ht="15.75" customHeight="1" thickBot="1">
      <c r="A292" s="16">
        <v>39783</v>
      </c>
      <c r="B292" s="14">
        <v>903.25</v>
      </c>
      <c r="C292" s="3">
        <f t="shared" si="39"/>
        <v>7.0099999999999909</v>
      </c>
      <c r="D292" s="3">
        <f t="shared" si="34"/>
        <v>7.0099999999999909</v>
      </c>
      <c r="E292" s="3">
        <f t="shared" si="35"/>
        <v>0</v>
      </c>
      <c r="F292" s="3">
        <f t="shared" si="36"/>
        <v>11.921754354228128</v>
      </c>
      <c r="G292" s="3">
        <f t="shared" si="36"/>
        <v>39.612305553254323</v>
      </c>
      <c r="H292" s="3">
        <f t="shared" si="37"/>
        <v>0.30096088040623287</v>
      </c>
      <c r="I292" s="3">
        <f t="shared" si="38"/>
        <v>23.133737911646975</v>
      </c>
    </row>
    <row r="293" spans="1:9" ht="15.75" customHeight="1" thickBot="1">
      <c r="A293" s="16">
        <v>39814</v>
      </c>
      <c r="B293" s="14">
        <v>825.88</v>
      </c>
      <c r="C293" s="3">
        <f t="shared" si="39"/>
        <v>-77.37</v>
      </c>
      <c r="D293" s="3">
        <f t="shared" si="34"/>
        <v>0</v>
      </c>
      <c r="E293" s="3">
        <f t="shared" si="35"/>
        <v>77.37</v>
      </c>
      <c r="F293" s="3">
        <f t="shared" si="36"/>
        <v>11.070200471783263</v>
      </c>
      <c r="G293" s="3">
        <f t="shared" si="36"/>
        <v>42.309283728021867</v>
      </c>
      <c r="H293" s="3">
        <f t="shared" si="37"/>
        <v>0.2616494418328183</v>
      </c>
      <c r="I293" s="3">
        <f t="shared" si="38"/>
        <v>20.738680108534425</v>
      </c>
    </row>
    <row r="294" spans="1:9" ht="15.75" customHeight="1" thickBot="1">
      <c r="A294" s="16">
        <v>39845</v>
      </c>
      <c r="B294" s="14">
        <v>735.09</v>
      </c>
      <c r="C294" s="3">
        <f t="shared" si="39"/>
        <v>-90.789999999999964</v>
      </c>
      <c r="D294" s="3">
        <f t="shared" ref="D294:D357" si="40">IF(C294&gt;0,C294,0)</f>
        <v>0</v>
      </c>
      <c r="E294" s="3">
        <f t="shared" ref="E294:E357" si="41">IF(C294&lt;0,-C294,0)</f>
        <v>90.789999999999964</v>
      </c>
      <c r="F294" s="3">
        <f t="shared" ref="F294:G357" si="42">((F293*13)+D294)/14</f>
        <v>10.279471866655886</v>
      </c>
      <c r="G294" s="3">
        <f t="shared" si="42"/>
        <v>45.772192033163158</v>
      </c>
      <c r="H294" s="3">
        <f t="shared" ref="H294:H357" si="43">F294/G294</f>
        <v>0.22457897273541408</v>
      </c>
      <c r="I294" s="3">
        <f t="shared" ref="I294:I357" si="44">IF(G294=0,100,100-(100/(1+H294)))</f>
        <v>18.339280498485039</v>
      </c>
    </row>
    <row r="295" spans="1:9" ht="15.75" customHeight="1" thickBot="1">
      <c r="A295" s="16">
        <v>39873</v>
      </c>
      <c r="B295" s="14">
        <v>797.87</v>
      </c>
      <c r="C295" s="3">
        <f t="shared" si="39"/>
        <v>62.779999999999973</v>
      </c>
      <c r="D295" s="3">
        <f t="shared" si="40"/>
        <v>62.779999999999973</v>
      </c>
      <c r="E295" s="3">
        <f t="shared" si="41"/>
        <v>0</v>
      </c>
      <c r="F295" s="3">
        <f t="shared" si="42"/>
        <v>14.029509590466178</v>
      </c>
      <c r="G295" s="3">
        <f t="shared" si="42"/>
        <v>42.502749745080074</v>
      </c>
      <c r="H295" s="3">
        <f t="shared" si="43"/>
        <v>0.33008475156575418</v>
      </c>
      <c r="I295" s="3">
        <f t="shared" si="44"/>
        <v>24.816820971534611</v>
      </c>
    </row>
    <row r="296" spans="1:9" ht="15.75" customHeight="1" thickBot="1">
      <c r="A296" s="16">
        <v>39904</v>
      </c>
      <c r="B296" s="14">
        <v>872.81</v>
      </c>
      <c r="C296" s="3">
        <f t="shared" si="39"/>
        <v>74.939999999999941</v>
      </c>
      <c r="D296" s="3">
        <f t="shared" si="40"/>
        <v>74.939999999999941</v>
      </c>
      <c r="E296" s="3">
        <f t="shared" si="41"/>
        <v>0</v>
      </c>
      <c r="F296" s="3">
        <f t="shared" si="42"/>
        <v>18.380258905432875</v>
      </c>
      <c r="G296" s="3">
        <f t="shared" si="42"/>
        <v>39.466839049002928</v>
      </c>
      <c r="H296" s="3">
        <f t="shared" si="43"/>
        <v>0.46571398541979825</v>
      </c>
      <c r="I296" s="3">
        <f t="shared" si="44"/>
        <v>31.773865164178815</v>
      </c>
    </row>
    <row r="297" spans="1:9" ht="15.75" customHeight="1" thickBot="1">
      <c r="A297" s="16">
        <v>39934</v>
      </c>
      <c r="B297" s="14">
        <v>919.14</v>
      </c>
      <c r="C297" s="3">
        <f t="shared" si="39"/>
        <v>46.330000000000041</v>
      </c>
      <c r="D297" s="3">
        <f t="shared" si="40"/>
        <v>46.330000000000041</v>
      </c>
      <c r="E297" s="3">
        <f t="shared" si="41"/>
        <v>0</v>
      </c>
      <c r="F297" s="3">
        <f t="shared" si="42"/>
        <v>20.376668983616241</v>
      </c>
      <c r="G297" s="3">
        <f t="shared" si="42"/>
        <v>36.647779116931289</v>
      </c>
      <c r="H297" s="3">
        <f t="shared" si="43"/>
        <v>0.55601374693404582</v>
      </c>
      <c r="I297" s="3">
        <f t="shared" si="44"/>
        <v>35.733215598487476</v>
      </c>
    </row>
    <row r="298" spans="1:9" ht="15.75" customHeight="1" thickBot="1">
      <c r="A298" s="16">
        <v>39965</v>
      </c>
      <c r="B298" s="14">
        <v>919.32</v>
      </c>
      <c r="C298" s="3">
        <f t="shared" si="39"/>
        <v>0.18000000000006366</v>
      </c>
      <c r="D298" s="3">
        <f t="shared" si="40"/>
        <v>0.18000000000006366</v>
      </c>
      <c r="E298" s="3">
        <f t="shared" si="41"/>
        <v>0</v>
      </c>
      <c r="F298" s="3">
        <f t="shared" si="42"/>
        <v>18.934049770500799</v>
      </c>
      <c r="G298" s="3">
        <f t="shared" si="42"/>
        <v>34.030080608579055</v>
      </c>
      <c r="H298" s="3">
        <f t="shared" si="43"/>
        <v>0.55639156393086786</v>
      </c>
      <c r="I298" s="3">
        <f t="shared" si="44"/>
        <v>35.748816481993074</v>
      </c>
    </row>
    <row r="299" spans="1:9" ht="15.75" customHeight="1" thickBot="1">
      <c r="A299" s="16">
        <v>39995</v>
      </c>
      <c r="B299" s="14">
        <v>987.48</v>
      </c>
      <c r="C299" s="3">
        <f t="shared" ref="C299:C362" si="45">B299-B298</f>
        <v>68.159999999999968</v>
      </c>
      <c r="D299" s="3">
        <f t="shared" si="40"/>
        <v>68.159999999999968</v>
      </c>
      <c r="E299" s="3">
        <f t="shared" si="41"/>
        <v>0</v>
      </c>
      <c r="F299" s="3">
        <f t="shared" si="42"/>
        <v>22.450189072607884</v>
      </c>
      <c r="G299" s="3">
        <f t="shared" si="42"/>
        <v>31.599360565109123</v>
      </c>
      <c r="H299" s="3">
        <f t="shared" si="43"/>
        <v>0.71046339771180611</v>
      </c>
      <c r="I299" s="3">
        <f t="shared" si="44"/>
        <v>41.536311075831108</v>
      </c>
    </row>
    <row r="300" spans="1:9" ht="15.75" customHeight="1" thickBot="1">
      <c r="A300" s="16">
        <v>40026</v>
      </c>
      <c r="B300" s="15">
        <v>1020.62</v>
      </c>
      <c r="C300" s="3">
        <f t="shared" si="45"/>
        <v>33.139999999999986</v>
      </c>
      <c r="D300" s="3">
        <f t="shared" si="40"/>
        <v>33.139999999999986</v>
      </c>
      <c r="E300" s="3">
        <f t="shared" si="41"/>
        <v>0</v>
      </c>
      <c r="F300" s="3">
        <f t="shared" si="42"/>
        <v>23.213746995993034</v>
      </c>
      <c r="G300" s="3">
        <f t="shared" si="42"/>
        <v>29.342263381887044</v>
      </c>
      <c r="H300" s="3">
        <f t="shared" si="43"/>
        <v>0.79113688994840325</v>
      </c>
      <c r="I300" s="3">
        <f t="shared" si="44"/>
        <v>44.169538039674528</v>
      </c>
    </row>
    <row r="301" spans="1:9" ht="15.75" customHeight="1" thickBot="1">
      <c r="A301" s="16">
        <v>40057</v>
      </c>
      <c r="B301" s="15">
        <v>1057.08</v>
      </c>
      <c r="C301" s="3">
        <f t="shared" si="45"/>
        <v>36.459999999999923</v>
      </c>
      <c r="D301" s="3">
        <f t="shared" si="40"/>
        <v>36.459999999999923</v>
      </c>
      <c r="E301" s="3">
        <f t="shared" si="41"/>
        <v>0</v>
      </c>
      <c r="F301" s="3">
        <f t="shared" si="42"/>
        <v>24.159907924850668</v>
      </c>
      <c r="G301" s="3">
        <f t="shared" si="42"/>
        <v>27.246387426037966</v>
      </c>
      <c r="H301" s="3">
        <f t="shared" si="43"/>
        <v>0.886719679459681</v>
      </c>
      <c r="I301" s="3">
        <f t="shared" si="44"/>
        <v>46.997955717174683</v>
      </c>
    </row>
    <row r="302" spans="1:9" ht="15.75" customHeight="1" thickBot="1">
      <c r="A302" s="16">
        <v>40087</v>
      </c>
      <c r="B302" s="15">
        <v>1036.19</v>
      </c>
      <c r="C302" s="3">
        <f t="shared" si="45"/>
        <v>-20.889999999999873</v>
      </c>
      <c r="D302" s="3">
        <f t="shared" si="40"/>
        <v>0</v>
      </c>
      <c r="E302" s="3">
        <f t="shared" si="41"/>
        <v>20.889999999999873</v>
      </c>
      <c r="F302" s="3">
        <f t="shared" si="42"/>
        <v>22.434200215932766</v>
      </c>
      <c r="G302" s="3">
        <f t="shared" si="42"/>
        <v>26.79235975274953</v>
      </c>
      <c r="H302" s="3">
        <f t="shared" si="43"/>
        <v>0.83733573387952465</v>
      </c>
      <c r="I302" s="3">
        <f t="shared" si="44"/>
        <v>45.573365740375316</v>
      </c>
    </row>
    <row r="303" spans="1:9" ht="15.75" customHeight="1" thickBot="1">
      <c r="A303" s="16">
        <v>40118</v>
      </c>
      <c r="B303" s="15">
        <v>1095.6300000000001</v>
      </c>
      <c r="C303" s="3">
        <f t="shared" si="45"/>
        <v>59.440000000000055</v>
      </c>
      <c r="D303" s="3">
        <f t="shared" si="40"/>
        <v>59.440000000000055</v>
      </c>
      <c r="E303" s="3">
        <f t="shared" si="41"/>
        <v>0</v>
      </c>
      <c r="F303" s="3">
        <f t="shared" si="42"/>
        <v>25.077471629080431</v>
      </c>
      <c r="G303" s="3">
        <f t="shared" si="42"/>
        <v>24.878619770410275</v>
      </c>
      <c r="H303" s="3">
        <f t="shared" si="43"/>
        <v>1.0079928814582657</v>
      </c>
      <c r="I303" s="3">
        <f t="shared" si="44"/>
        <v>50.199026638293184</v>
      </c>
    </row>
    <row r="304" spans="1:9" ht="15.75" customHeight="1" thickBot="1">
      <c r="A304" s="16">
        <v>40148</v>
      </c>
      <c r="B304" s="15">
        <v>1115.0999999999999</v>
      </c>
      <c r="C304" s="3">
        <f t="shared" si="45"/>
        <v>19.4699999999998</v>
      </c>
      <c r="D304" s="3">
        <f t="shared" si="40"/>
        <v>19.4699999999998</v>
      </c>
      <c r="E304" s="3">
        <f t="shared" si="41"/>
        <v>0</v>
      </c>
      <c r="F304" s="3">
        <f t="shared" si="42"/>
        <v>24.676937941288958</v>
      </c>
      <c r="G304" s="3">
        <f t="shared" si="42"/>
        <v>23.101575501095255</v>
      </c>
      <c r="H304" s="3">
        <f t="shared" si="43"/>
        <v>1.0681928572412309</v>
      </c>
      <c r="I304" s="3">
        <f t="shared" si="44"/>
        <v>51.648609727145889</v>
      </c>
    </row>
    <row r="305" spans="1:9" ht="15.75" customHeight="1" thickBot="1">
      <c r="A305" s="16">
        <v>40179</v>
      </c>
      <c r="B305" s="15">
        <v>1073.8699999999999</v>
      </c>
      <c r="C305" s="3">
        <f t="shared" si="45"/>
        <v>-41.230000000000018</v>
      </c>
      <c r="D305" s="3">
        <f t="shared" si="40"/>
        <v>0</v>
      </c>
      <c r="E305" s="3">
        <f t="shared" si="41"/>
        <v>41.230000000000018</v>
      </c>
      <c r="F305" s="3">
        <f t="shared" si="42"/>
        <v>22.914299516911175</v>
      </c>
      <c r="G305" s="3">
        <f t="shared" si="42"/>
        <v>24.396462965302735</v>
      </c>
      <c r="H305" s="3">
        <f t="shared" si="43"/>
        <v>0.93924678956537555</v>
      </c>
      <c r="I305" s="3">
        <f t="shared" si="44"/>
        <v>48.43358744329182</v>
      </c>
    </row>
    <row r="306" spans="1:9" ht="15.75" customHeight="1" thickBot="1">
      <c r="A306" s="16">
        <v>40210</v>
      </c>
      <c r="B306" s="15">
        <v>1104.49</v>
      </c>
      <c r="C306" s="3">
        <f t="shared" si="45"/>
        <v>30.620000000000118</v>
      </c>
      <c r="D306" s="3">
        <f t="shared" si="40"/>
        <v>30.620000000000118</v>
      </c>
      <c r="E306" s="3">
        <f t="shared" si="41"/>
        <v>0</v>
      </c>
      <c r="F306" s="3">
        <f t="shared" si="42"/>
        <v>23.464706694274671</v>
      </c>
      <c r="G306" s="3">
        <f t="shared" si="42"/>
        <v>22.653858467781109</v>
      </c>
      <c r="H306" s="3">
        <f t="shared" si="43"/>
        <v>1.0357929413060813</v>
      </c>
      <c r="I306" s="3">
        <f t="shared" si="44"/>
        <v>50.879090908015378</v>
      </c>
    </row>
    <row r="307" spans="1:9" ht="15.75" customHeight="1" thickBot="1">
      <c r="A307" s="16">
        <v>40238</v>
      </c>
      <c r="B307" s="15">
        <v>1169.43</v>
      </c>
      <c r="C307" s="3">
        <f t="shared" si="45"/>
        <v>64.940000000000055</v>
      </c>
      <c r="D307" s="3">
        <f t="shared" si="40"/>
        <v>64.940000000000055</v>
      </c>
      <c r="E307" s="3">
        <f t="shared" si="41"/>
        <v>0</v>
      </c>
      <c r="F307" s="3">
        <f t="shared" si="42"/>
        <v>26.427227644683626</v>
      </c>
      <c r="G307" s="3">
        <f t="shared" si="42"/>
        <v>21.035725720082461</v>
      </c>
      <c r="H307" s="3">
        <f t="shared" si="43"/>
        <v>1.2563021593048243</v>
      </c>
      <c r="I307" s="3">
        <f t="shared" si="44"/>
        <v>55.679694943513063</v>
      </c>
    </row>
    <row r="308" spans="1:9" ht="15.75" customHeight="1" thickBot="1">
      <c r="A308" s="16">
        <v>40269</v>
      </c>
      <c r="B308" s="15">
        <v>1186.69</v>
      </c>
      <c r="C308" s="3">
        <f t="shared" si="45"/>
        <v>17.259999999999991</v>
      </c>
      <c r="D308" s="3">
        <f t="shared" si="40"/>
        <v>17.259999999999991</v>
      </c>
      <c r="E308" s="3">
        <f t="shared" si="41"/>
        <v>0</v>
      </c>
      <c r="F308" s="3">
        <f t="shared" si="42"/>
        <v>25.772425670063367</v>
      </c>
      <c r="G308" s="3">
        <f t="shared" si="42"/>
        <v>19.533173882933713</v>
      </c>
      <c r="H308" s="3">
        <f t="shared" si="43"/>
        <v>1.3194182279092359</v>
      </c>
      <c r="I308" s="3">
        <f t="shared" si="44"/>
        <v>56.885740227133709</v>
      </c>
    </row>
    <row r="309" spans="1:9" ht="15.75" customHeight="1" thickBot="1">
      <c r="A309" s="16">
        <v>40299</v>
      </c>
      <c r="B309" s="15">
        <v>1089.4100000000001</v>
      </c>
      <c r="C309" s="3">
        <f t="shared" si="45"/>
        <v>-97.279999999999973</v>
      </c>
      <c r="D309" s="3">
        <f t="shared" si="40"/>
        <v>0</v>
      </c>
      <c r="E309" s="3">
        <f t="shared" si="41"/>
        <v>97.279999999999973</v>
      </c>
      <c r="F309" s="3">
        <f t="shared" si="42"/>
        <v>23.931538122201697</v>
      </c>
      <c r="G309" s="3">
        <f t="shared" si="42"/>
        <v>25.086518605581301</v>
      </c>
      <c r="H309" s="3">
        <f t="shared" si="43"/>
        <v>0.95396011293800487</v>
      </c>
      <c r="I309" s="3">
        <f t="shared" si="44"/>
        <v>48.821882628075535</v>
      </c>
    </row>
    <row r="310" spans="1:9" ht="15.75" customHeight="1" thickBot="1">
      <c r="A310" s="16">
        <v>40330</v>
      </c>
      <c r="B310" s="15">
        <v>1030.71</v>
      </c>
      <c r="C310" s="3">
        <f t="shared" si="45"/>
        <v>-58.700000000000045</v>
      </c>
      <c r="D310" s="3">
        <f t="shared" si="40"/>
        <v>0</v>
      </c>
      <c r="E310" s="3">
        <f t="shared" si="41"/>
        <v>58.700000000000045</v>
      </c>
      <c r="F310" s="3">
        <f t="shared" si="42"/>
        <v>22.222142542044431</v>
      </c>
      <c r="G310" s="3">
        <f t="shared" si="42"/>
        <v>27.487481562325495</v>
      </c>
      <c r="H310" s="3">
        <f t="shared" si="43"/>
        <v>0.80844592807302618</v>
      </c>
      <c r="I310" s="3">
        <f t="shared" si="44"/>
        <v>44.703903806206625</v>
      </c>
    </row>
    <row r="311" spans="1:9" ht="15.75" customHeight="1" thickBot="1">
      <c r="A311" s="16">
        <v>40360</v>
      </c>
      <c r="B311" s="15">
        <v>1101.5999999999999</v>
      </c>
      <c r="C311" s="3">
        <f t="shared" si="45"/>
        <v>70.889999999999873</v>
      </c>
      <c r="D311" s="3">
        <f t="shared" si="40"/>
        <v>70.889999999999873</v>
      </c>
      <c r="E311" s="3">
        <f t="shared" si="41"/>
        <v>0</v>
      </c>
      <c r="F311" s="3">
        <f t="shared" si="42"/>
        <v>25.698418074755534</v>
      </c>
      <c r="G311" s="3">
        <f t="shared" si="42"/>
        <v>25.524090022159388</v>
      </c>
      <c r="H311" s="3">
        <f t="shared" si="43"/>
        <v>1.0068299419272067</v>
      </c>
      <c r="I311" s="3">
        <f t="shared" si="44"/>
        <v>50.170167431343181</v>
      </c>
    </row>
    <row r="312" spans="1:9" ht="15.75" customHeight="1" thickBot="1">
      <c r="A312" s="16">
        <v>40391</v>
      </c>
      <c r="B312" s="15">
        <v>1049.33</v>
      </c>
      <c r="C312" s="3">
        <f t="shared" si="45"/>
        <v>-52.269999999999982</v>
      </c>
      <c r="D312" s="3">
        <f t="shared" si="40"/>
        <v>0</v>
      </c>
      <c r="E312" s="3">
        <f t="shared" si="41"/>
        <v>52.269999999999982</v>
      </c>
      <c r="F312" s="3">
        <f t="shared" si="42"/>
        <v>23.862816783701565</v>
      </c>
      <c r="G312" s="3">
        <f t="shared" si="42"/>
        <v>27.434512163433716</v>
      </c>
      <c r="H312" s="3">
        <f t="shared" si="43"/>
        <v>0.8698101370108301</v>
      </c>
      <c r="I312" s="3">
        <f t="shared" si="44"/>
        <v>46.518634154019033</v>
      </c>
    </row>
    <row r="313" spans="1:9" ht="15.75" customHeight="1" thickBot="1">
      <c r="A313" s="16">
        <v>40422</v>
      </c>
      <c r="B313" s="15">
        <v>1141.2</v>
      </c>
      <c r="C313" s="3">
        <f t="shared" si="45"/>
        <v>91.870000000000118</v>
      </c>
      <c r="D313" s="3">
        <f t="shared" si="40"/>
        <v>91.870000000000118</v>
      </c>
      <c r="E313" s="3">
        <f t="shared" si="41"/>
        <v>0</v>
      </c>
      <c r="F313" s="3">
        <f t="shared" si="42"/>
        <v>28.720472727722889</v>
      </c>
      <c r="G313" s="3">
        <f t="shared" si="42"/>
        <v>25.47490415175988</v>
      </c>
      <c r="H313" s="3">
        <f t="shared" si="43"/>
        <v>1.1274025824249783</v>
      </c>
      <c r="I313" s="3">
        <f t="shared" si="44"/>
        <v>52.994322359986867</v>
      </c>
    </row>
    <row r="314" spans="1:9" ht="15.75" customHeight="1" thickBot="1">
      <c r="A314" s="16">
        <v>40452</v>
      </c>
      <c r="B314" s="15">
        <v>1183.26</v>
      </c>
      <c r="C314" s="3">
        <f t="shared" si="45"/>
        <v>42.059999999999945</v>
      </c>
      <c r="D314" s="3">
        <f t="shared" si="40"/>
        <v>42.059999999999945</v>
      </c>
      <c r="E314" s="3">
        <f t="shared" si="41"/>
        <v>0</v>
      </c>
      <c r="F314" s="3">
        <f t="shared" si="42"/>
        <v>29.673296104314108</v>
      </c>
      <c r="G314" s="3">
        <f t="shared" si="42"/>
        <v>23.65526814091989</v>
      </c>
      <c r="H314" s="3">
        <f t="shared" si="43"/>
        <v>1.2544054004183522</v>
      </c>
      <c r="I314" s="3">
        <f t="shared" si="44"/>
        <v>55.642405761872773</v>
      </c>
    </row>
    <row r="315" spans="1:9" ht="15.75" customHeight="1" thickBot="1">
      <c r="A315" s="16">
        <v>40483</v>
      </c>
      <c r="B315" s="15">
        <v>1180.55</v>
      </c>
      <c r="C315" s="3">
        <f t="shared" si="45"/>
        <v>-2.7100000000000364</v>
      </c>
      <c r="D315" s="3">
        <f t="shared" si="40"/>
        <v>0</v>
      </c>
      <c r="E315" s="3">
        <f t="shared" si="41"/>
        <v>2.7100000000000364</v>
      </c>
      <c r="F315" s="3">
        <f t="shared" si="42"/>
        <v>27.553774954005956</v>
      </c>
      <c r="G315" s="3">
        <f t="shared" si="42"/>
        <v>22.159177559425615</v>
      </c>
      <c r="H315" s="3">
        <f t="shared" si="43"/>
        <v>1.2434475458357297</v>
      </c>
      <c r="I315" s="3">
        <f t="shared" si="44"/>
        <v>55.425746331524785</v>
      </c>
    </row>
    <row r="316" spans="1:9" ht="15.75" customHeight="1" thickBot="1">
      <c r="A316" s="16">
        <v>40513</v>
      </c>
      <c r="B316" s="15">
        <v>1257.6400000000001</v>
      </c>
      <c r="C316" s="3">
        <f t="shared" si="45"/>
        <v>77.090000000000146</v>
      </c>
      <c r="D316" s="3">
        <f t="shared" si="40"/>
        <v>77.090000000000146</v>
      </c>
      <c r="E316" s="3">
        <f t="shared" si="41"/>
        <v>0</v>
      </c>
      <c r="F316" s="3">
        <f t="shared" si="42"/>
        <v>31.092076743005542</v>
      </c>
      <c r="G316" s="3">
        <f t="shared" si="42"/>
        <v>20.576379162323786</v>
      </c>
      <c r="H316" s="3">
        <f t="shared" si="43"/>
        <v>1.5110567557938688</v>
      </c>
      <c r="I316" s="3">
        <f t="shared" si="44"/>
        <v>60.176129126008114</v>
      </c>
    </row>
    <row r="317" spans="1:9" ht="15.75" customHeight="1" thickBot="1">
      <c r="A317" s="16">
        <v>40544</v>
      </c>
      <c r="B317" s="15">
        <v>1286.1199999999999</v>
      </c>
      <c r="C317" s="3">
        <f t="shared" si="45"/>
        <v>28.479999999999791</v>
      </c>
      <c r="D317" s="3">
        <f t="shared" si="40"/>
        <v>28.479999999999791</v>
      </c>
      <c r="E317" s="3">
        <f t="shared" si="41"/>
        <v>0</v>
      </c>
      <c r="F317" s="3">
        <f t="shared" si="42"/>
        <v>30.905499832790845</v>
      </c>
      <c r="G317" s="3">
        <f t="shared" si="42"/>
        <v>19.106637793586373</v>
      </c>
      <c r="H317" s="3">
        <f t="shared" si="43"/>
        <v>1.6175268598625478</v>
      </c>
      <c r="I317" s="3">
        <f t="shared" si="44"/>
        <v>61.795998530746225</v>
      </c>
    </row>
    <row r="318" spans="1:9" ht="15.75" customHeight="1" thickBot="1">
      <c r="A318" s="16">
        <v>40575</v>
      </c>
      <c r="B318" s="15">
        <v>1327.22</v>
      </c>
      <c r="C318" s="3">
        <f t="shared" si="45"/>
        <v>41.100000000000136</v>
      </c>
      <c r="D318" s="3">
        <f t="shared" si="40"/>
        <v>41.100000000000136</v>
      </c>
      <c r="E318" s="3">
        <f t="shared" si="41"/>
        <v>0</v>
      </c>
      <c r="F318" s="3">
        <f t="shared" si="42"/>
        <v>31.63367841616294</v>
      </c>
      <c r="G318" s="3">
        <f t="shared" si="42"/>
        <v>17.741877951187345</v>
      </c>
      <c r="H318" s="3">
        <f t="shared" si="43"/>
        <v>1.7829949289018703</v>
      </c>
      <c r="I318" s="3">
        <f t="shared" si="44"/>
        <v>64.067487525225729</v>
      </c>
    </row>
    <row r="319" spans="1:9" ht="15.75" customHeight="1" thickBot="1">
      <c r="A319" s="16">
        <v>40603</v>
      </c>
      <c r="B319" s="15">
        <v>1325.83</v>
      </c>
      <c r="C319" s="3">
        <f t="shared" si="45"/>
        <v>-1.3900000000001</v>
      </c>
      <c r="D319" s="3">
        <f t="shared" si="40"/>
        <v>0</v>
      </c>
      <c r="E319" s="3">
        <f t="shared" si="41"/>
        <v>1.3900000000001</v>
      </c>
      <c r="F319" s="3">
        <f t="shared" si="42"/>
        <v>29.374129957865588</v>
      </c>
      <c r="G319" s="3">
        <f t="shared" si="42"/>
        <v>16.573886668959684</v>
      </c>
      <c r="H319" s="3">
        <f t="shared" si="43"/>
        <v>1.7723139143263704</v>
      </c>
      <c r="I319" s="3">
        <f t="shared" si="44"/>
        <v>63.92904876924861</v>
      </c>
    </row>
    <row r="320" spans="1:9" ht="15.75" customHeight="1" thickBot="1">
      <c r="A320" s="16">
        <v>40634</v>
      </c>
      <c r="B320" s="15">
        <v>1363.61</v>
      </c>
      <c r="C320" s="3">
        <f t="shared" si="45"/>
        <v>37.779999999999973</v>
      </c>
      <c r="D320" s="3">
        <f t="shared" si="40"/>
        <v>37.779999999999973</v>
      </c>
      <c r="E320" s="3">
        <f t="shared" si="41"/>
        <v>0</v>
      </c>
      <c r="F320" s="3">
        <f t="shared" si="42"/>
        <v>29.974549246589472</v>
      </c>
      <c r="G320" s="3">
        <f t="shared" si="42"/>
        <v>15.390037621176848</v>
      </c>
      <c r="H320" s="3">
        <f t="shared" si="43"/>
        <v>1.9476592575280121</v>
      </c>
      <c r="I320" s="3">
        <f t="shared" si="44"/>
        <v>66.074776199246742</v>
      </c>
    </row>
    <row r="321" spans="1:9" ht="15.75" customHeight="1" thickBot="1">
      <c r="A321" s="16">
        <v>40664</v>
      </c>
      <c r="B321" s="15">
        <v>1345.2</v>
      </c>
      <c r="C321" s="3">
        <f t="shared" si="45"/>
        <v>-18.409999999999854</v>
      </c>
      <c r="D321" s="3">
        <f t="shared" si="40"/>
        <v>0</v>
      </c>
      <c r="E321" s="3">
        <f t="shared" si="41"/>
        <v>18.409999999999854</v>
      </c>
      <c r="F321" s="3">
        <f t="shared" si="42"/>
        <v>27.833510014690226</v>
      </c>
      <c r="G321" s="3">
        <f t="shared" si="42"/>
        <v>15.605749219664206</v>
      </c>
      <c r="H321" s="3">
        <f t="shared" si="43"/>
        <v>1.7835420538232338</v>
      </c>
      <c r="I321" s="3">
        <f t="shared" si="44"/>
        <v>64.074550315254413</v>
      </c>
    </row>
    <row r="322" spans="1:9" ht="15.75" customHeight="1" thickBot="1">
      <c r="A322" s="16">
        <v>40695</v>
      </c>
      <c r="B322" s="15">
        <v>1320.64</v>
      </c>
      <c r="C322" s="3">
        <f t="shared" si="45"/>
        <v>-24.559999999999945</v>
      </c>
      <c r="D322" s="3">
        <f t="shared" si="40"/>
        <v>0</v>
      </c>
      <c r="E322" s="3">
        <f t="shared" si="41"/>
        <v>24.559999999999945</v>
      </c>
      <c r="F322" s="3">
        <f t="shared" si="42"/>
        <v>25.845402156498068</v>
      </c>
      <c r="G322" s="3">
        <f t="shared" si="42"/>
        <v>16.24533856111676</v>
      </c>
      <c r="H322" s="3">
        <f t="shared" si="43"/>
        <v>1.5909426608294315</v>
      </c>
      <c r="I322" s="3">
        <f t="shared" si="44"/>
        <v>61.404008852906351</v>
      </c>
    </row>
    <row r="323" spans="1:9" ht="15.75" customHeight="1" thickBot="1">
      <c r="A323" s="16">
        <v>40725</v>
      </c>
      <c r="B323" s="15">
        <v>1292.28</v>
      </c>
      <c r="C323" s="3">
        <f t="shared" si="45"/>
        <v>-28.360000000000127</v>
      </c>
      <c r="D323" s="3">
        <f t="shared" si="40"/>
        <v>0</v>
      </c>
      <c r="E323" s="3">
        <f t="shared" si="41"/>
        <v>28.360000000000127</v>
      </c>
      <c r="F323" s="3">
        <f t="shared" si="42"/>
        <v>23.999302002462489</v>
      </c>
      <c r="G323" s="3">
        <f t="shared" si="42"/>
        <v>17.110671521037002</v>
      </c>
      <c r="H323" s="3">
        <f t="shared" si="43"/>
        <v>1.402592643599998</v>
      </c>
      <c r="I323" s="3">
        <f t="shared" si="44"/>
        <v>58.378295935276839</v>
      </c>
    </row>
    <row r="324" spans="1:9" ht="15.75" customHeight="1" thickBot="1">
      <c r="A324" s="16">
        <v>40756</v>
      </c>
      <c r="B324" s="15">
        <v>1218.8900000000001</v>
      </c>
      <c r="C324" s="3">
        <f t="shared" si="45"/>
        <v>-73.389999999999873</v>
      </c>
      <c r="D324" s="3">
        <f t="shared" si="40"/>
        <v>0</v>
      </c>
      <c r="E324" s="3">
        <f t="shared" si="41"/>
        <v>73.389999999999873</v>
      </c>
      <c r="F324" s="3">
        <f t="shared" si="42"/>
        <v>22.285066145143738</v>
      </c>
      <c r="G324" s="3">
        <f t="shared" si="42"/>
        <v>21.130623555248633</v>
      </c>
      <c r="H324" s="3">
        <f t="shared" si="43"/>
        <v>1.0546336262570137</v>
      </c>
      <c r="I324" s="3">
        <f t="shared" si="44"/>
        <v>51.329522343030604</v>
      </c>
    </row>
    <row r="325" spans="1:9" ht="15.75" customHeight="1" thickBot="1">
      <c r="A325" s="16">
        <v>40787</v>
      </c>
      <c r="B325" s="15">
        <v>1131.42</v>
      </c>
      <c r="C325" s="3">
        <f t="shared" si="45"/>
        <v>-87.470000000000027</v>
      </c>
      <c r="D325" s="3">
        <f t="shared" si="40"/>
        <v>0</v>
      </c>
      <c r="E325" s="3">
        <f t="shared" si="41"/>
        <v>87.470000000000027</v>
      </c>
      <c r="F325" s="3">
        <f t="shared" si="42"/>
        <v>20.693275706204901</v>
      </c>
      <c r="G325" s="3">
        <f t="shared" si="42"/>
        <v>25.869150444159448</v>
      </c>
      <c r="H325" s="3">
        <f t="shared" si="43"/>
        <v>0.79992096187591966</v>
      </c>
      <c r="I325" s="3">
        <f t="shared" si="44"/>
        <v>44.442004889049308</v>
      </c>
    </row>
    <row r="326" spans="1:9" ht="15.75" customHeight="1" thickBot="1">
      <c r="A326" s="16">
        <v>40817</v>
      </c>
      <c r="B326" s="15">
        <v>1253.3</v>
      </c>
      <c r="C326" s="3">
        <f t="shared" si="45"/>
        <v>121.87999999999988</v>
      </c>
      <c r="D326" s="3">
        <f t="shared" si="40"/>
        <v>121.87999999999988</v>
      </c>
      <c r="E326" s="3">
        <f t="shared" si="41"/>
        <v>0</v>
      </c>
      <c r="F326" s="3">
        <f t="shared" si="42"/>
        <v>27.920898870047399</v>
      </c>
      <c r="G326" s="3">
        <f t="shared" si="42"/>
        <v>24.021353983862348</v>
      </c>
      <c r="H326" s="3">
        <f t="shared" si="43"/>
        <v>1.1623365980454217</v>
      </c>
      <c r="I326" s="3">
        <f t="shared" si="44"/>
        <v>53.753730991561653</v>
      </c>
    </row>
    <row r="327" spans="1:9" ht="15.75" customHeight="1" thickBot="1">
      <c r="A327" s="16">
        <v>40848</v>
      </c>
      <c r="B327" s="15">
        <v>1246.96</v>
      </c>
      <c r="C327" s="3">
        <f t="shared" si="45"/>
        <v>-6.3399999999999181</v>
      </c>
      <c r="D327" s="3">
        <f t="shared" si="40"/>
        <v>0</v>
      </c>
      <c r="E327" s="3">
        <f t="shared" si="41"/>
        <v>6.3399999999999181</v>
      </c>
      <c r="F327" s="3">
        <f t="shared" si="42"/>
        <v>25.926548950758299</v>
      </c>
      <c r="G327" s="3">
        <f t="shared" si="42"/>
        <v>22.758400127872171</v>
      </c>
      <c r="H327" s="3">
        <f t="shared" si="43"/>
        <v>1.1392078882999381</v>
      </c>
      <c r="I327" s="3">
        <f t="shared" si="44"/>
        <v>53.253725106879841</v>
      </c>
    </row>
    <row r="328" spans="1:9" ht="15.75" customHeight="1" thickBot="1">
      <c r="A328" s="16">
        <v>40878</v>
      </c>
      <c r="B328" s="15">
        <v>1257.5999999999999</v>
      </c>
      <c r="C328" s="3">
        <f t="shared" si="45"/>
        <v>10.639999999999873</v>
      </c>
      <c r="D328" s="3">
        <f t="shared" si="40"/>
        <v>10.639999999999873</v>
      </c>
      <c r="E328" s="3">
        <f t="shared" si="41"/>
        <v>0</v>
      </c>
      <c r="F328" s="3">
        <f t="shared" si="42"/>
        <v>24.834652597132699</v>
      </c>
      <c r="G328" s="3">
        <f t="shared" si="42"/>
        <v>21.132800118738448</v>
      </c>
      <c r="H328" s="3">
        <f t="shared" si="43"/>
        <v>1.1751709407932089</v>
      </c>
      <c r="I328" s="3">
        <f t="shared" si="44"/>
        <v>54.026601714560663</v>
      </c>
    </row>
    <row r="329" spans="1:9" ht="15.75" customHeight="1" thickBot="1">
      <c r="A329" s="16">
        <v>40909</v>
      </c>
      <c r="B329" s="15">
        <v>1312.41</v>
      </c>
      <c r="C329" s="3">
        <f t="shared" si="45"/>
        <v>54.810000000000173</v>
      </c>
      <c r="D329" s="3">
        <f t="shared" si="40"/>
        <v>54.810000000000173</v>
      </c>
      <c r="E329" s="3">
        <f t="shared" si="41"/>
        <v>0</v>
      </c>
      <c r="F329" s="3">
        <f t="shared" si="42"/>
        <v>26.975748840194662</v>
      </c>
      <c r="G329" s="3">
        <f t="shared" si="42"/>
        <v>19.623314395971416</v>
      </c>
      <c r="H329" s="3">
        <f t="shared" si="43"/>
        <v>1.3746785224891811</v>
      </c>
      <c r="I329" s="3">
        <f t="shared" si="44"/>
        <v>57.889036746254739</v>
      </c>
    </row>
    <row r="330" spans="1:9" ht="15.75" customHeight="1" thickBot="1">
      <c r="A330" s="16">
        <v>40940</v>
      </c>
      <c r="B330" s="15">
        <v>1365.68</v>
      </c>
      <c r="C330" s="3">
        <f t="shared" si="45"/>
        <v>53.269999999999982</v>
      </c>
      <c r="D330" s="3">
        <f t="shared" si="40"/>
        <v>53.269999999999982</v>
      </c>
      <c r="E330" s="3">
        <f t="shared" si="41"/>
        <v>0</v>
      </c>
      <c r="F330" s="3">
        <f t="shared" si="42"/>
        <v>28.853909637323614</v>
      </c>
      <c r="G330" s="3">
        <f t="shared" si="42"/>
        <v>18.221649081973457</v>
      </c>
      <c r="H330" s="3">
        <f t="shared" si="43"/>
        <v>1.583496065999239</v>
      </c>
      <c r="I330" s="3">
        <f t="shared" si="44"/>
        <v>61.292760876985426</v>
      </c>
    </row>
    <row r="331" spans="1:9" ht="15.75" customHeight="1" thickBot="1">
      <c r="A331" s="16">
        <v>40969</v>
      </c>
      <c r="B331" s="15">
        <v>1408.47</v>
      </c>
      <c r="C331" s="3">
        <f t="shared" si="45"/>
        <v>42.789999999999964</v>
      </c>
      <c r="D331" s="3">
        <f t="shared" si="40"/>
        <v>42.789999999999964</v>
      </c>
      <c r="E331" s="3">
        <f t="shared" si="41"/>
        <v>0</v>
      </c>
      <c r="F331" s="3">
        <f t="shared" si="42"/>
        <v>29.849344663229068</v>
      </c>
      <c r="G331" s="3">
        <f t="shared" si="42"/>
        <v>16.920102718975354</v>
      </c>
      <c r="H331" s="3">
        <f t="shared" si="43"/>
        <v>1.7641349558566204</v>
      </c>
      <c r="I331" s="3">
        <f t="shared" si="44"/>
        <v>63.822316349597536</v>
      </c>
    </row>
    <row r="332" spans="1:9" ht="15.75" customHeight="1" thickBot="1">
      <c r="A332" s="16">
        <v>41000</v>
      </c>
      <c r="B332" s="15">
        <v>1397.91</v>
      </c>
      <c r="C332" s="3">
        <f t="shared" si="45"/>
        <v>-10.559999999999945</v>
      </c>
      <c r="D332" s="3">
        <f t="shared" si="40"/>
        <v>0</v>
      </c>
      <c r="E332" s="3">
        <f t="shared" si="41"/>
        <v>10.559999999999945</v>
      </c>
      <c r="F332" s="3">
        <f t="shared" si="42"/>
        <v>27.717248615855564</v>
      </c>
      <c r="G332" s="3">
        <f t="shared" si="42"/>
        <v>16.465809667619968</v>
      </c>
      <c r="H332" s="3">
        <f t="shared" si="43"/>
        <v>1.6833213291880544</v>
      </c>
      <c r="I332" s="3">
        <f t="shared" si="44"/>
        <v>62.732752536104584</v>
      </c>
    </row>
    <row r="333" spans="1:9" ht="15.75" customHeight="1" thickBot="1">
      <c r="A333" s="16">
        <v>41030</v>
      </c>
      <c r="B333" s="15">
        <v>1310.33</v>
      </c>
      <c r="C333" s="3">
        <f t="shared" si="45"/>
        <v>-87.580000000000155</v>
      </c>
      <c r="D333" s="3">
        <f t="shared" si="40"/>
        <v>0</v>
      </c>
      <c r="E333" s="3">
        <f t="shared" si="41"/>
        <v>87.580000000000155</v>
      </c>
      <c r="F333" s="3">
        <f t="shared" si="42"/>
        <v>25.737445143294451</v>
      </c>
      <c r="G333" s="3">
        <f t="shared" si="42"/>
        <v>21.545394691361412</v>
      </c>
      <c r="H333" s="3">
        <f t="shared" si="43"/>
        <v>1.1945682830128814</v>
      </c>
      <c r="I333" s="3">
        <f t="shared" si="44"/>
        <v>54.432951221407478</v>
      </c>
    </row>
    <row r="334" spans="1:9" ht="15.75" customHeight="1" thickBot="1">
      <c r="A334" s="16">
        <v>41061</v>
      </c>
      <c r="B334" s="15">
        <v>1362.16</v>
      </c>
      <c r="C334" s="3">
        <f t="shared" si="45"/>
        <v>51.830000000000155</v>
      </c>
      <c r="D334" s="3">
        <f t="shared" si="40"/>
        <v>51.830000000000155</v>
      </c>
      <c r="E334" s="3">
        <f t="shared" si="41"/>
        <v>0</v>
      </c>
      <c r="F334" s="3">
        <f t="shared" si="42"/>
        <v>27.601199061630574</v>
      </c>
      <c r="G334" s="3">
        <f t="shared" si="42"/>
        <v>20.00643792769274</v>
      </c>
      <c r="H334" s="3">
        <f t="shared" si="43"/>
        <v>1.3796158597240955</v>
      </c>
      <c r="I334" s="3">
        <f t="shared" si="44"/>
        <v>57.976410523842077</v>
      </c>
    </row>
    <row r="335" spans="1:9" ht="15.75" customHeight="1" thickBot="1">
      <c r="A335" s="16">
        <v>41091</v>
      </c>
      <c r="B335" s="15">
        <v>1379.32</v>
      </c>
      <c r="C335" s="3">
        <f t="shared" si="45"/>
        <v>17.159999999999854</v>
      </c>
      <c r="D335" s="3">
        <f t="shared" si="40"/>
        <v>17.159999999999854</v>
      </c>
      <c r="E335" s="3">
        <f t="shared" si="41"/>
        <v>0</v>
      </c>
      <c r="F335" s="3">
        <f t="shared" si="42"/>
        <v>26.855399128656952</v>
      </c>
      <c r="G335" s="3">
        <f t="shared" si="42"/>
        <v>18.577406647143256</v>
      </c>
      <c r="H335" s="3">
        <f t="shared" si="43"/>
        <v>1.4455946213992492</v>
      </c>
      <c r="I335" s="3">
        <f t="shared" si="44"/>
        <v>59.110148867278376</v>
      </c>
    </row>
    <row r="336" spans="1:9" ht="15.75" customHeight="1" thickBot="1">
      <c r="A336" s="16">
        <v>41122</v>
      </c>
      <c r="B336" s="15">
        <v>1406.58</v>
      </c>
      <c r="C336" s="3">
        <f t="shared" si="45"/>
        <v>27.259999999999991</v>
      </c>
      <c r="D336" s="3">
        <f t="shared" si="40"/>
        <v>27.259999999999991</v>
      </c>
      <c r="E336" s="3">
        <f t="shared" si="41"/>
        <v>0</v>
      </c>
      <c r="F336" s="3">
        <f t="shared" si="42"/>
        <v>26.884299190895742</v>
      </c>
      <c r="G336" s="3">
        <f t="shared" si="42"/>
        <v>17.250449029490166</v>
      </c>
      <c r="H336" s="3">
        <f t="shared" si="43"/>
        <v>1.558469529977812</v>
      </c>
      <c r="I336" s="3">
        <f t="shared" si="44"/>
        <v>60.914132910987909</v>
      </c>
    </row>
    <row r="337" spans="1:9" ht="15.75" customHeight="1" thickBot="1">
      <c r="A337" s="16">
        <v>41153</v>
      </c>
      <c r="B337" s="15">
        <v>1440.67</v>
      </c>
      <c r="C337" s="3">
        <f t="shared" si="45"/>
        <v>34.090000000000146</v>
      </c>
      <c r="D337" s="3">
        <f t="shared" si="40"/>
        <v>34.090000000000146</v>
      </c>
      <c r="E337" s="3">
        <f t="shared" si="41"/>
        <v>0</v>
      </c>
      <c r="F337" s="3">
        <f t="shared" si="42"/>
        <v>27.398992105831773</v>
      </c>
      <c r="G337" s="3">
        <f t="shared" si="42"/>
        <v>16.018274098812295</v>
      </c>
      <c r="H337" s="3">
        <f t="shared" si="43"/>
        <v>1.7104834101860775</v>
      </c>
      <c r="I337" s="3">
        <f t="shared" si="44"/>
        <v>63.106212115448848</v>
      </c>
    </row>
    <row r="338" spans="1:9" ht="15.75" customHeight="1" thickBot="1">
      <c r="A338" s="16">
        <v>41183</v>
      </c>
      <c r="B338" s="15">
        <v>1412.16</v>
      </c>
      <c r="C338" s="3">
        <f t="shared" si="45"/>
        <v>-28.509999999999991</v>
      </c>
      <c r="D338" s="3">
        <f t="shared" si="40"/>
        <v>0</v>
      </c>
      <c r="E338" s="3">
        <f t="shared" si="41"/>
        <v>28.509999999999991</v>
      </c>
      <c r="F338" s="3">
        <f t="shared" si="42"/>
        <v>25.441921241129503</v>
      </c>
      <c r="G338" s="3">
        <f t="shared" si="42"/>
        <v>16.910540234611414</v>
      </c>
      <c r="H338" s="3">
        <f t="shared" si="43"/>
        <v>1.5045007958442749</v>
      </c>
      <c r="I338" s="3">
        <f t="shared" si="44"/>
        <v>60.071883320648062</v>
      </c>
    </row>
    <row r="339" spans="1:9" ht="15.75" customHeight="1" thickBot="1">
      <c r="A339" s="16">
        <v>41214</v>
      </c>
      <c r="B339" s="15">
        <v>1416.18</v>
      </c>
      <c r="C339" s="3">
        <f t="shared" si="45"/>
        <v>4.0199999999999818</v>
      </c>
      <c r="D339" s="3">
        <f t="shared" si="40"/>
        <v>4.0199999999999818</v>
      </c>
      <c r="E339" s="3">
        <f t="shared" si="41"/>
        <v>0</v>
      </c>
      <c r="F339" s="3">
        <f t="shared" si="42"/>
        <v>23.911784009620252</v>
      </c>
      <c r="G339" s="3">
        <f t="shared" si="42"/>
        <v>15.702644503567742</v>
      </c>
      <c r="H339" s="3">
        <f t="shared" si="43"/>
        <v>1.5227870696676182</v>
      </c>
      <c r="I339" s="3">
        <f t="shared" si="44"/>
        <v>60.361299928029531</v>
      </c>
    </row>
    <row r="340" spans="1:9" ht="15.75" customHeight="1" thickBot="1">
      <c r="A340" s="16">
        <v>41244</v>
      </c>
      <c r="B340" s="15">
        <v>1426.19</v>
      </c>
      <c r="C340" s="3">
        <f t="shared" si="45"/>
        <v>10.009999999999991</v>
      </c>
      <c r="D340" s="3">
        <f t="shared" si="40"/>
        <v>10.009999999999991</v>
      </c>
      <c r="E340" s="3">
        <f t="shared" si="41"/>
        <v>0</v>
      </c>
      <c r="F340" s="3">
        <f t="shared" si="42"/>
        <v>22.918799437504521</v>
      </c>
      <c r="G340" s="3">
        <f t="shared" si="42"/>
        <v>14.581027039027189</v>
      </c>
      <c r="H340" s="3">
        <f t="shared" si="43"/>
        <v>1.571823395989917</v>
      </c>
      <c r="I340" s="3">
        <f t="shared" si="44"/>
        <v>61.117081306623255</v>
      </c>
    </row>
    <row r="341" spans="1:9" ht="15.75" customHeight="1" thickBot="1">
      <c r="A341" s="16">
        <v>41275</v>
      </c>
      <c r="B341" s="15">
        <v>1498.11</v>
      </c>
      <c r="C341" s="3">
        <f t="shared" si="45"/>
        <v>71.919999999999845</v>
      </c>
      <c r="D341" s="3">
        <f t="shared" si="40"/>
        <v>71.919999999999845</v>
      </c>
      <c r="E341" s="3">
        <f t="shared" si="41"/>
        <v>0</v>
      </c>
      <c r="F341" s="3">
        <f t="shared" si="42"/>
        <v>26.418885191968474</v>
      </c>
      <c r="G341" s="3">
        <f t="shared" si="42"/>
        <v>13.539525107668103</v>
      </c>
      <c r="H341" s="3">
        <f t="shared" si="43"/>
        <v>1.9512416411862299</v>
      </c>
      <c r="I341" s="3">
        <f t="shared" si="44"/>
        <v>66.115956550475573</v>
      </c>
    </row>
    <row r="342" spans="1:9" ht="15.75" customHeight="1" thickBot="1">
      <c r="A342" s="16">
        <v>41306</v>
      </c>
      <c r="B342" s="15">
        <v>1514.68</v>
      </c>
      <c r="C342" s="3">
        <f t="shared" si="45"/>
        <v>16.570000000000164</v>
      </c>
      <c r="D342" s="3">
        <f t="shared" si="40"/>
        <v>16.570000000000164</v>
      </c>
      <c r="E342" s="3">
        <f t="shared" si="41"/>
        <v>0</v>
      </c>
      <c r="F342" s="3">
        <f t="shared" si="42"/>
        <v>25.715393392542165</v>
      </c>
      <c r="G342" s="3">
        <f t="shared" si="42"/>
        <v>12.572416171406095</v>
      </c>
      <c r="H342" s="3">
        <f t="shared" si="43"/>
        <v>2.0453819728802505</v>
      </c>
      <c r="I342" s="3">
        <f t="shared" si="44"/>
        <v>67.163396614769368</v>
      </c>
    </row>
    <row r="343" spans="1:9" ht="15.75" customHeight="1" thickBot="1">
      <c r="A343" s="16">
        <v>41334</v>
      </c>
      <c r="B343" s="15">
        <v>1569.19</v>
      </c>
      <c r="C343" s="3">
        <f t="shared" si="45"/>
        <v>54.509999999999991</v>
      </c>
      <c r="D343" s="3">
        <f t="shared" si="40"/>
        <v>54.509999999999991</v>
      </c>
      <c r="E343" s="3">
        <f t="shared" si="41"/>
        <v>0</v>
      </c>
      <c r="F343" s="3">
        <f t="shared" si="42"/>
        <v>27.772151007360581</v>
      </c>
      <c r="G343" s="3">
        <f t="shared" si="42"/>
        <v>11.674386444877088</v>
      </c>
      <c r="H343" s="3">
        <f t="shared" si="43"/>
        <v>2.3788959821136859</v>
      </c>
      <c r="I343" s="3">
        <f t="shared" si="44"/>
        <v>70.404534342177499</v>
      </c>
    </row>
    <row r="344" spans="1:9" ht="15.75" customHeight="1" thickBot="1">
      <c r="A344" s="16">
        <v>41365</v>
      </c>
      <c r="B344" s="15">
        <v>1597.57</v>
      </c>
      <c r="C344" s="3">
        <f t="shared" si="45"/>
        <v>28.379999999999882</v>
      </c>
      <c r="D344" s="3">
        <f t="shared" si="40"/>
        <v>28.379999999999882</v>
      </c>
      <c r="E344" s="3">
        <f t="shared" si="41"/>
        <v>0</v>
      </c>
      <c r="F344" s="3">
        <f t="shared" si="42"/>
        <v>27.815568792549101</v>
      </c>
      <c r="G344" s="3">
        <f t="shared" si="42"/>
        <v>10.840501698814439</v>
      </c>
      <c r="H344" s="3">
        <f t="shared" si="43"/>
        <v>2.5658931261079112</v>
      </c>
      <c r="I344" s="3">
        <f t="shared" si="44"/>
        <v>71.956534740807655</v>
      </c>
    </row>
    <row r="345" spans="1:9" ht="15.75" customHeight="1" thickBot="1">
      <c r="A345" s="16">
        <v>41395</v>
      </c>
      <c r="B345" s="15">
        <v>1630.74</v>
      </c>
      <c r="C345" s="3">
        <f t="shared" si="45"/>
        <v>33.170000000000073</v>
      </c>
      <c r="D345" s="3">
        <f t="shared" si="40"/>
        <v>33.170000000000073</v>
      </c>
      <c r="E345" s="3">
        <f t="shared" si="41"/>
        <v>0</v>
      </c>
      <c r="F345" s="3">
        <f t="shared" si="42"/>
        <v>28.198028164509886</v>
      </c>
      <c r="G345" s="3">
        <f t="shared" si="42"/>
        <v>10.066180148899122</v>
      </c>
      <c r="H345" s="3">
        <f t="shared" si="43"/>
        <v>2.8012640095253745</v>
      </c>
      <c r="I345" s="3">
        <f t="shared" si="44"/>
        <v>73.692961144131104</v>
      </c>
    </row>
    <row r="346" spans="1:9" ht="15.75" customHeight="1" thickBot="1">
      <c r="A346" s="16">
        <v>41426</v>
      </c>
      <c r="B346" s="15">
        <v>1606.28</v>
      </c>
      <c r="C346" s="3">
        <f t="shared" si="45"/>
        <v>-24.460000000000036</v>
      </c>
      <c r="D346" s="3">
        <f t="shared" si="40"/>
        <v>0</v>
      </c>
      <c r="E346" s="3">
        <f t="shared" si="41"/>
        <v>24.460000000000036</v>
      </c>
      <c r="F346" s="3">
        <f t="shared" si="42"/>
        <v>26.183883295616322</v>
      </c>
      <c r="G346" s="3">
        <f t="shared" si="42"/>
        <v>11.094310138263472</v>
      </c>
      <c r="H346" s="3">
        <f t="shared" si="43"/>
        <v>2.3601182019700357</v>
      </c>
      <c r="I346" s="3">
        <f t="shared" si="44"/>
        <v>70.239142200006526</v>
      </c>
    </row>
    <row r="347" spans="1:9" ht="15.75" customHeight="1" thickBot="1">
      <c r="A347" s="16">
        <v>41456</v>
      </c>
      <c r="B347" s="15">
        <v>1685.73</v>
      </c>
      <c r="C347" s="3">
        <f t="shared" si="45"/>
        <v>79.450000000000045</v>
      </c>
      <c r="D347" s="3">
        <f t="shared" si="40"/>
        <v>79.450000000000045</v>
      </c>
      <c r="E347" s="3">
        <f t="shared" si="41"/>
        <v>0</v>
      </c>
      <c r="F347" s="3">
        <f t="shared" si="42"/>
        <v>29.988605917358019</v>
      </c>
      <c r="G347" s="3">
        <f t="shared" si="42"/>
        <v>10.301859414101795</v>
      </c>
      <c r="H347" s="3">
        <f t="shared" si="43"/>
        <v>2.9109896293389368</v>
      </c>
      <c r="I347" s="3">
        <f t="shared" si="44"/>
        <v>74.43102399202661</v>
      </c>
    </row>
    <row r="348" spans="1:9" ht="15.75" customHeight="1" thickBot="1">
      <c r="A348" s="16">
        <v>41487</v>
      </c>
      <c r="B348" s="15">
        <v>1632.97</v>
      </c>
      <c r="C348" s="3">
        <f t="shared" si="45"/>
        <v>-52.759999999999991</v>
      </c>
      <c r="D348" s="3">
        <f t="shared" si="40"/>
        <v>0</v>
      </c>
      <c r="E348" s="3">
        <f t="shared" si="41"/>
        <v>52.759999999999991</v>
      </c>
      <c r="F348" s="3">
        <f t="shared" si="42"/>
        <v>27.846562637546732</v>
      </c>
      <c r="G348" s="3">
        <f t="shared" si="42"/>
        <v>13.334583741665952</v>
      </c>
      <c r="H348" s="3">
        <f t="shared" si="43"/>
        <v>2.0882963560786587</v>
      </c>
      <c r="I348" s="3">
        <f t="shared" si="44"/>
        <v>67.619687856972945</v>
      </c>
    </row>
    <row r="349" spans="1:9" ht="15.75" customHeight="1" thickBot="1">
      <c r="A349" s="16">
        <v>41518</v>
      </c>
      <c r="B349" s="15">
        <v>1681.55</v>
      </c>
      <c r="C349" s="3">
        <f t="shared" si="45"/>
        <v>48.579999999999927</v>
      </c>
      <c r="D349" s="3">
        <f t="shared" si="40"/>
        <v>48.579999999999927</v>
      </c>
      <c r="E349" s="3">
        <f t="shared" si="41"/>
        <v>0</v>
      </c>
      <c r="F349" s="3">
        <f t="shared" si="42"/>
        <v>29.327522449150532</v>
      </c>
      <c r="G349" s="3">
        <f t="shared" si="42"/>
        <v>12.382113474404097</v>
      </c>
      <c r="H349" s="3">
        <f t="shared" si="43"/>
        <v>2.3685393054889565</v>
      </c>
      <c r="I349" s="3">
        <f t="shared" si="44"/>
        <v>70.313542182199768</v>
      </c>
    </row>
    <row r="350" spans="1:9" ht="15.75" customHeight="1" thickBot="1">
      <c r="A350" s="16">
        <v>41548</v>
      </c>
      <c r="B350" s="15">
        <v>1756.54</v>
      </c>
      <c r="C350" s="3">
        <f t="shared" si="45"/>
        <v>74.990000000000009</v>
      </c>
      <c r="D350" s="3">
        <f t="shared" si="40"/>
        <v>74.990000000000009</v>
      </c>
      <c r="E350" s="3">
        <f t="shared" si="41"/>
        <v>0</v>
      </c>
      <c r="F350" s="3">
        <f t="shared" si="42"/>
        <v>32.589127988496919</v>
      </c>
      <c r="G350" s="3">
        <f t="shared" si="42"/>
        <v>11.497676797660947</v>
      </c>
      <c r="H350" s="3">
        <f t="shared" si="43"/>
        <v>2.8344098170446705</v>
      </c>
      <c r="I350" s="3">
        <f t="shared" si="44"/>
        <v>73.920367208668921</v>
      </c>
    </row>
    <row r="351" spans="1:9" ht="15.75" customHeight="1" thickBot="1">
      <c r="A351" s="16">
        <v>41579</v>
      </c>
      <c r="B351" s="15">
        <v>1805.81</v>
      </c>
      <c r="C351" s="3">
        <f t="shared" si="45"/>
        <v>49.269999999999982</v>
      </c>
      <c r="D351" s="3">
        <f t="shared" si="40"/>
        <v>49.269999999999982</v>
      </c>
      <c r="E351" s="3">
        <f t="shared" si="41"/>
        <v>0</v>
      </c>
      <c r="F351" s="3">
        <f t="shared" si="42"/>
        <v>33.780618846461422</v>
      </c>
      <c r="G351" s="3">
        <f t="shared" si="42"/>
        <v>10.676414169256594</v>
      </c>
      <c r="H351" s="3">
        <f t="shared" si="43"/>
        <v>3.1640416258611284</v>
      </c>
      <c r="I351" s="3">
        <f t="shared" si="44"/>
        <v>75.984870233058757</v>
      </c>
    </row>
    <row r="352" spans="1:9" ht="15.75" customHeight="1" thickBot="1">
      <c r="A352" s="16">
        <v>41609</v>
      </c>
      <c r="B352" s="15">
        <v>1848.36</v>
      </c>
      <c r="C352" s="3">
        <f t="shared" si="45"/>
        <v>42.549999999999955</v>
      </c>
      <c r="D352" s="3">
        <f t="shared" si="40"/>
        <v>42.549999999999955</v>
      </c>
      <c r="E352" s="3">
        <f t="shared" si="41"/>
        <v>0</v>
      </c>
      <c r="F352" s="3">
        <f t="shared" si="42"/>
        <v>34.407003214571318</v>
      </c>
      <c r="G352" s="3">
        <f t="shared" si="42"/>
        <v>9.9138131571668371</v>
      </c>
      <c r="H352" s="3">
        <f t="shared" si="43"/>
        <v>3.4706124342980988</v>
      </c>
      <c r="I352" s="3">
        <f t="shared" si="44"/>
        <v>77.631700025524509</v>
      </c>
    </row>
    <row r="353" spans="1:9" ht="15.75" customHeight="1" thickBot="1">
      <c r="A353" s="16">
        <v>41640</v>
      </c>
      <c r="B353" s="15">
        <v>1782.59</v>
      </c>
      <c r="C353" s="3">
        <f t="shared" si="45"/>
        <v>-65.769999999999982</v>
      </c>
      <c r="D353" s="3">
        <f t="shared" si="40"/>
        <v>0</v>
      </c>
      <c r="E353" s="3">
        <f t="shared" si="41"/>
        <v>65.769999999999982</v>
      </c>
      <c r="F353" s="3">
        <f t="shared" si="42"/>
        <v>31.949360127816224</v>
      </c>
      <c r="G353" s="3">
        <f t="shared" si="42"/>
        <v>13.903540788797775</v>
      </c>
      <c r="H353" s="3">
        <f t="shared" si="43"/>
        <v>2.2979297585517315</v>
      </c>
      <c r="I353" s="3">
        <f t="shared" si="44"/>
        <v>69.677947281716982</v>
      </c>
    </row>
    <row r="354" spans="1:9" ht="15.75" customHeight="1" thickBot="1">
      <c r="A354" s="16">
        <v>41671</v>
      </c>
      <c r="B354" s="15">
        <v>1859.45</v>
      </c>
      <c r="C354" s="3">
        <f t="shared" si="45"/>
        <v>76.860000000000127</v>
      </c>
      <c r="D354" s="3">
        <f t="shared" si="40"/>
        <v>76.860000000000127</v>
      </c>
      <c r="E354" s="3">
        <f t="shared" si="41"/>
        <v>0</v>
      </c>
      <c r="F354" s="3">
        <f t="shared" si="42"/>
        <v>35.157262975829362</v>
      </c>
      <c r="G354" s="3">
        <f t="shared" si="42"/>
        <v>12.910430732455078</v>
      </c>
      <c r="H354" s="3">
        <f t="shared" si="43"/>
        <v>2.7231673136550554</v>
      </c>
      <c r="I354" s="3">
        <f t="shared" si="44"/>
        <v>73.141147959362215</v>
      </c>
    </row>
    <row r="355" spans="1:9" ht="15.75" customHeight="1" thickBot="1">
      <c r="A355" s="16">
        <v>41699</v>
      </c>
      <c r="B355" s="15">
        <v>1872.34</v>
      </c>
      <c r="C355" s="3">
        <f t="shared" si="45"/>
        <v>12.889999999999873</v>
      </c>
      <c r="D355" s="3">
        <f t="shared" si="40"/>
        <v>12.889999999999873</v>
      </c>
      <c r="E355" s="3">
        <f t="shared" si="41"/>
        <v>0</v>
      </c>
      <c r="F355" s="3">
        <f t="shared" si="42"/>
        <v>33.566744191841543</v>
      </c>
      <c r="G355" s="3">
        <f t="shared" si="42"/>
        <v>11.988257108708286</v>
      </c>
      <c r="H355" s="3">
        <f t="shared" si="43"/>
        <v>2.799968659952965</v>
      </c>
      <c r="I355" s="3">
        <f t="shared" si="44"/>
        <v>73.683993488188989</v>
      </c>
    </row>
    <row r="356" spans="1:9" ht="15.75" customHeight="1" thickBot="1">
      <c r="A356" s="16">
        <v>41730</v>
      </c>
      <c r="B356" s="15">
        <v>1883.95</v>
      </c>
      <c r="C356" s="3">
        <f t="shared" si="45"/>
        <v>11.610000000000127</v>
      </c>
      <c r="D356" s="3">
        <f t="shared" si="40"/>
        <v>11.610000000000127</v>
      </c>
      <c r="E356" s="3">
        <f t="shared" si="41"/>
        <v>0</v>
      </c>
      <c r="F356" s="3">
        <f t="shared" si="42"/>
        <v>31.998405320995726</v>
      </c>
      <c r="G356" s="3">
        <f t="shared" si="42"/>
        <v>11.131953029514836</v>
      </c>
      <c r="H356" s="3">
        <f t="shared" si="43"/>
        <v>2.8744646367224487</v>
      </c>
      <c r="I356" s="3">
        <f t="shared" si="44"/>
        <v>74.189982519857594</v>
      </c>
    </row>
    <row r="357" spans="1:9" ht="15.75" customHeight="1" thickBot="1">
      <c r="A357" s="16">
        <v>41760</v>
      </c>
      <c r="B357" s="15">
        <v>1923.57</v>
      </c>
      <c r="C357" s="3">
        <f t="shared" si="45"/>
        <v>39.619999999999891</v>
      </c>
      <c r="D357" s="3">
        <f t="shared" si="40"/>
        <v>39.619999999999891</v>
      </c>
      <c r="E357" s="3">
        <f t="shared" si="41"/>
        <v>0</v>
      </c>
      <c r="F357" s="3">
        <f t="shared" si="42"/>
        <v>32.542804940924597</v>
      </c>
      <c r="G357" s="3">
        <f t="shared" si="42"/>
        <v>10.336813527406633</v>
      </c>
      <c r="H357" s="3">
        <f t="shared" si="43"/>
        <v>3.1482433977010271</v>
      </c>
      <c r="I357" s="3">
        <f t="shared" si="44"/>
        <v>75.893410677054192</v>
      </c>
    </row>
    <row r="358" spans="1:9" ht="15.75" customHeight="1" thickBot="1">
      <c r="A358" s="16">
        <v>41791</v>
      </c>
      <c r="B358" s="15">
        <v>1960.23</v>
      </c>
      <c r="C358" s="3">
        <f t="shared" si="45"/>
        <v>36.660000000000082</v>
      </c>
      <c r="D358" s="3">
        <f t="shared" ref="D358:D421" si="46">IF(C358&gt;0,C358,0)</f>
        <v>36.660000000000082</v>
      </c>
      <c r="E358" s="3">
        <f t="shared" ref="E358:E421" si="47">IF(C358&lt;0,-C358,0)</f>
        <v>0</v>
      </c>
      <c r="F358" s="3">
        <f t="shared" ref="F358:G421" si="48">((F357*13)+D358)/14</f>
        <v>32.836890302287131</v>
      </c>
      <c r="G358" s="3">
        <f t="shared" si="48"/>
        <v>9.5984697040204452</v>
      </c>
      <c r="H358" s="3">
        <f t="shared" ref="H358:H421" si="49">F358/G358</f>
        <v>3.421054742563074</v>
      </c>
      <c r="I358" s="3">
        <f t="shared" ref="I358:I421" si="50">IF(G358=0,100,100-(100/(1+H358)))</f>
        <v>77.380963181191973</v>
      </c>
    </row>
    <row r="359" spans="1:9" ht="15.75" customHeight="1" thickBot="1">
      <c r="A359" s="16">
        <v>41821</v>
      </c>
      <c r="B359" s="15">
        <v>1930.67</v>
      </c>
      <c r="C359" s="3">
        <f t="shared" si="45"/>
        <v>-29.559999999999945</v>
      </c>
      <c r="D359" s="3">
        <f t="shared" si="46"/>
        <v>0</v>
      </c>
      <c r="E359" s="3">
        <f t="shared" si="47"/>
        <v>29.559999999999945</v>
      </c>
      <c r="F359" s="3">
        <f t="shared" si="48"/>
        <v>30.491398137838051</v>
      </c>
      <c r="G359" s="3">
        <f t="shared" si="48"/>
        <v>11.024293296590409</v>
      </c>
      <c r="H359" s="3">
        <f t="shared" si="49"/>
        <v>2.7658369854209544</v>
      </c>
      <c r="I359" s="3">
        <f t="shared" si="50"/>
        <v>73.44547828619784</v>
      </c>
    </row>
    <row r="360" spans="1:9" ht="15.75" customHeight="1" thickBot="1">
      <c r="A360" s="16">
        <v>41852</v>
      </c>
      <c r="B360" s="15">
        <v>2003.37</v>
      </c>
      <c r="C360" s="3">
        <f t="shared" si="45"/>
        <v>72.699999999999818</v>
      </c>
      <c r="D360" s="3">
        <f t="shared" si="46"/>
        <v>72.699999999999818</v>
      </c>
      <c r="E360" s="3">
        <f t="shared" si="47"/>
        <v>0</v>
      </c>
      <c r="F360" s="3">
        <f t="shared" si="48"/>
        <v>33.506298270849605</v>
      </c>
      <c r="G360" s="3">
        <f t="shared" si="48"/>
        <v>10.236843775405379</v>
      </c>
      <c r="H360" s="3">
        <f t="shared" si="49"/>
        <v>3.2731082945067955</v>
      </c>
      <c r="I360" s="3">
        <f t="shared" si="50"/>
        <v>76.597831576477262</v>
      </c>
    </row>
    <row r="361" spans="1:9" ht="15.75" customHeight="1" thickBot="1">
      <c r="A361" s="16">
        <v>41883</v>
      </c>
      <c r="B361" s="15">
        <v>1972.29</v>
      </c>
      <c r="C361" s="3">
        <f t="shared" si="45"/>
        <v>-31.079999999999927</v>
      </c>
      <c r="D361" s="3">
        <f t="shared" si="46"/>
        <v>0</v>
      </c>
      <c r="E361" s="3">
        <f t="shared" si="47"/>
        <v>31.079999999999927</v>
      </c>
      <c r="F361" s="3">
        <f t="shared" si="48"/>
        <v>31.112991251503207</v>
      </c>
      <c r="G361" s="3">
        <f t="shared" si="48"/>
        <v>11.725640648590703</v>
      </c>
      <c r="H361" s="3">
        <f t="shared" si="49"/>
        <v>2.6534150400765228</v>
      </c>
      <c r="I361" s="3">
        <f t="shared" si="50"/>
        <v>72.628349392817569</v>
      </c>
    </row>
    <row r="362" spans="1:9" ht="15.75" customHeight="1" thickBot="1">
      <c r="A362" s="16">
        <v>41913</v>
      </c>
      <c r="B362" s="15">
        <v>2018.05</v>
      </c>
      <c r="C362" s="3">
        <f t="shared" si="45"/>
        <v>45.759999999999991</v>
      </c>
      <c r="D362" s="3">
        <f t="shared" si="46"/>
        <v>45.759999999999991</v>
      </c>
      <c r="E362" s="3">
        <f t="shared" si="47"/>
        <v>0</v>
      </c>
      <c r="F362" s="3">
        <f t="shared" si="48"/>
        <v>32.159206162110124</v>
      </c>
      <c r="G362" s="3">
        <f t="shared" si="48"/>
        <v>10.888094887977081</v>
      </c>
      <c r="H362" s="3">
        <f t="shared" si="49"/>
        <v>2.9536118570771421</v>
      </c>
      <c r="I362" s="3">
        <f t="shared" si="50"/>
        <v>74.706672375793403</v>
      </c>
    </row>
    <row r="363" spans="1:9" ht="15.75" customHeight="1" thickBot="1">
      <c r="A363" s="16">
        <v>41944</v>
      </c>
      <c r="B363" s="15">
        <v>2067.56</v>
      </c>
      <c r="C363" s="3">
        <f t="shared" ref="C363:C426" si="51">B363-B362</f>
        <v>49.509999999999991</v>
      </c>
      <c r="D363" s="3">
        <f t="shared" si="46"/>
        <v>49.509999999999991</v>
      </c>
      <c r="E363" s="3">
        <f t="shared" si="47"/>
        <v>0</v>
      </c>
      <c r="F363" s="3">
        <f t="shared" si="48"/>
        <v>33.398548579102261</v>
      </c>
      <c r="G363" s="3">
        <f t="shared" si="48"/>
        <v>10.110373824550146</v>
      </c>
      <c r="H363" s="3">
        <f t="shared" si="49"/>
        <v>3.3033940345512698</v>
      </c>
      <c r="I363" s="3">
        <f t="shared" si="50"/>
        <v>76.762527624215721</v>
      </c>
    </row>
    <row r="364" spans="1:9" ht="15.75" customHeight="1" thickBot="1">
      <c r="A364" s="16">
        <v>41974</v>
      </c>
      <c r="B364" s="15">
        <v>2058.9</v>
      </c>
      <c r="C364" s="3">
        <f t="shared" si="51"/>
        <v>-8.6599999999998545</v>
      </c>
      <c r="D364" s="3">
        <f t="shared" si="46"/>
        <v>0</v>
      </c>
      <c r="E364" s="3">
        <f t="shared" si="47"/>
        <v>8.6599999999998545</v>
      </c>
      <c r="F364" s="3">
        <f t="shared" si="48"/>
        <v>31.012937966309241</v>
      </c>
      <c r="G364" s="3">
        <f t="shared" si="48"/>
        <v>10.006775694225126</v>
      </c>
      <c r="H364" s="3">
        <f t="shared" si="49"/>
        <v>3.099193877625007</v>
      </c>
      <c r="I364" s="3">
        <f t="shared" si="50"/>
        <v>75.604959661498611</v>
      </c>
    </row>
    <row r="365" spans="1:9" ht="15.75" customHeight="1" thickBot="1">
      <c r="A365" s="16">
        <v>42005</v>
      </c>
      <c r="B365" s="15">
        <v>1994.99</v>
      </c>
      <c r="C365" s="3">
        <f t="shared" si="51"/>
        <v>-63.910000000000082</v>
      </c>
      <c r="D365" s="3">
        <f t="shared" si="46"/>
        <v>0</v>
      </c>
      <c r="E365" s="3">
        <f t="shared" si="47"/>
        <v>63.910000000000082</v>
      </c>
      <c r="F365" s="3">
        <f t="shared" si="48"/>
        <v>28.797728111572866</v>
      </c>
      <c r="G365" s="3">
        <f t="shared" si="48"/>
        <v>13.85700600178048</v>
      </c>
      <c r="H365" s="3">
        <f t="shared" si="49"/>
        <v>2.0782070894587661</v>
      </c>
      <c r="I365" s="3">
        <f t="shared" si="50"/>
        <v>67.513556725131593</v>
      </c>
    </row>
    <row r="366" spans="1:9" ht="15.75" customHeight="1" thickBot="1">
      <c r="A366" s="16">
        <v>42036</v>
      </c>
      <c r="B366" s="15">
        <v>2104.5</v>
      </c>
      <c r="C366" s="3">
        <f t="shared" si="51"/>
        <v>109.50999999999999</v>
      </c>
      <c r="D366" s="3">
        <f t="shared" si="46"/>
        <v>109.50999999999999</v>
      </c>
      <c r="E366" s="3">
        <f t="shared" si="47"/>
        <v>0</v>
      </c>
      <c r="F366" s="3">
        <f t="shared" si="48"/>
        <v>34.562890389317658</v>
      </c>
      <c r="G366" s="3">
        <f t="shared" si="48"/>
        <v>12.86721985879616</v>
      </c>
      <c r="H366" s="3">
        <f t="shared" si="49"/>
        <v>2.6861195167727021</v>
      </c>
      <c r="I366" s="3">
        <f t="shared" si="50"/>
        <v>72.871199768489134</v>
      </c>
    </row>
    <row r="367" spans="1:9" ht="15.75" customHeight="1" thickBot="1">
      <c r="A367" s="16">
        <v>42064</v>
      </c>
      <c r="B367" s="15">
        <v>2067.89</v>
      </c>
      <c r="C367" s="3">
        <f t="shared" si="51"/>
        <v>-36.610000000000127</v>
      </c>
      <c r="D367" s="3">
        <f t="shared" si="46"/>
        <v>0</v>
      </c>
      <c r="E367" s="3">
        <f t="shared" si="47"/>
        <v>36.610000000000127</v>
      </c>
      <c r="F367" s="3">
        <f t="shared" si="48"/>
        <v>32.0941125043664</v>
      </c>
      <c r="G367" s="3">
        <f t="shared" si="48"/>
        <v>14.563132726025016</v>
      </c>
      <c r="H367" s="3">
        <f t="shared" si="49"/>
        <v>2.2037918014036006</v>
      </c>
      <c r="I367" s="3">
        <f t="shared" si="50"/>
        <v>68.786985485077594</v>
      </c>
    </row>
    <row r="368" spans="1:9" ht="15.75" customHeight="1" thickBot="1">
      <c r="A368" s="16">
        <v>42095</v>
      </c>
      <c r="B368" s="15">
        <v>2085.5100000000002</v>
      </c>
      <c r="C368" s="3">
        <f t="shared" si="51"/>
        <v>17.620000000000346</v>
      </c>
      <c r="D368" s="3">
        <f t="shared" si="46"/>
        <v>17.620000000000346</v>
      </c>
      <c r="E368" s="3">
        <f t="shared" si="47"/>
        <v>0</v>
      </c>
      <c r="F368" s="3">
        <f t="shared" si="48"/>
        <v>31.060247325483111</v>
      </c>
      <c r="G368" s="3">
        <f t="shared" si="48"/>
        <v>13.522908959880372</v>
      </c>
      <c r="H368" s="3">
        <f t="shared" si="49"/>
        <v>2.2968613792810655</v>
      </c>
      <c r="I368" s="3">
        <f t="shared" si="50"/>
        <v>69.668121132285336</v>
      </c>
    </row>
    <row r="369" spans="1:9" ht="15.75" customHeight="1" thickBot="1">
      <c r="A369" s="16">
        <v>42125</v>
      </c>
      <c r="B369" s="15">
        <v>2107.39</v>
      </c>
      <c r="C369" s="3">
        <f t="shared" si="51"/>
        <v>21.879999999999654</v>
      </c>
      <c r="D369" s="3">
        <f t="shared" si="46"/>
        <v>21.879999999999654</v>
      </c>
      <c r="E369" s="3">
        <f t="shared" si="47"/>
        <v>0</v>
      </c>
      <c r="F369" s="3">
        <f t="shared" si="48"/>
        <v>30.404515373662864</v>
      </c>
      <c r="G369" s="3">
        <f t="shared" si="48"/>
        <v>12.556986891317489</v>
      </c>
      <c r="H369" s="3">
        <f t="shared" si="49"/>
        <v>2.4213225383460442</v>
      </c>
      <c r="I369" s="3">
        <f t="shared" si="50"/>
        <v>70.771536772927988</v>
      </c>
    </row>
    <row r="370" spans="1:9" ht="15.75" customHeight="1" thickBot="1">
      <c r="A370" s="16">
        <v>42156</v>
      </c>
      <c r="B370" s="15">
        <v>2063.11</v>
      </c>
      <c r="C370" s="3">
        <f t="shared" si="51"/>
        <v>-44.279999999999745</v>
      </c>
      <c r="D370" s="3">
        <f t="shared" si="46"/>
        <v>0</v>
      </c>
      <c r="E370" s="3">
        <f t="shared" si="47"/>
        <v>44.279999999999745</v>
      </c>
      <c r="F370" s="3">
        <f t="shared" si="48"/>
        <v>28.232764275544088</v>
      </c>
      <c r="G370" s="3">
        <f t="shared" si="48"/>
        <v>14.822916399080508</v>
      </c>
      <c r="H370" s="3">
        <f t="shared" si="49"/>
        <v>1.904670006591646</v>
      </c>
      <c r="I370" s="3">
        <f t="shared" si="50"/>
        <v>65.57268131213965</v>
      </c>
    </row>
    <row r="371" spans="1:9" ht="15.75" customHeight="1" thickBot="1">
      <c r="A371" s="16">
        <v>42186</v>
      </c>
      <c r="B371" s="15">
        <v>2103.84</v>
      </c>
      <c r="C371" s="3">
        <f t="shared" si="51"/>
        <v>40.730000000000018</v>
      </c>
      <c r="D371" s="3">
        <f t="shared" si="46"/>
        <v>40.730000000000018</v>
      </c>
      <c r="E371" s="3">
        <f t="shared" si="47"/>
        <v>0</v>
      </c>
      <c r="F371" s="3">
        <f t="shared" si="48"/>
        <v>29.125423970148084</v>
      </c>
      <c r="G371" s="3">
        <f t="shared" si="48"/>
        <v>13.764136656289043</v>
      </c>
      <c r="H371" s="3">
        <f t="shared" si="49"/>
        <v>2.1160371113316603</v>
      </c>
      <c r="I371" s="3">
        <f t="shared" si="50"/>
        <v>67.907956026472249</v>
      </c>
    </row>
    <row r="372" spans="1:9" ht="15.75" customHeight="1" thickBot="1">
      <c r="A372" s="16">
        <v>42217</v>
      </c>
      <c r="B372" s="15">
        <v>1972.18</v>
      </c>
      <c r="C372" s="3">
        <f t="shared" si="51"/>
        <v>-131.66000000000008</v>
      </c>
      <c r="D372" s="3">
        <f t="shared" si="46"/>
        <v>0</v>
      </c>
      <c r="E372" s="3">
        <f t="shared" si="47"/>
        <v>131.66000000000008</v>
      </c>
      <c r="F372" s="3">
        <f t="shared" si="48"/>
        <v>27.045036543708935</v>
      </c>
      <c r="G372" s="3">
        <f t="shared" si="48"/>
        <v>22.1852697522684</v>
      </c>
      <c r="H372" s="3">
        <f t="shared" si="49"/>
        <v>1.219053761604302</v>
      </c>
      <c r="I372" s="3">
        <f t="shared" si="50"/>
        <v>54.935747060177881</v>
      </c>
    </row>
    <row r="373" spans="1:9" ht="15.75" customHeight="1" thickBot="1">
      <c r="A373" s="16">
        <v>42248</v>
      </c>
      <c r="B373" s="15">
        <v>1920.03</v>
      </c>
      <c r="C373" s="3">
        <f t="shared" si="51"/>
        <v>-52.150000000000091</v>
      </c>
      <c r="D373" s="3">
        <f t="shared" si="46"/>
        <v>0</v>
      </c>
      <c r="E373" s="3">
        <f t="shared" si="47"/>
        <v>52.150000000000091</v>
      </c>
      <c r="F373" s="3">
        <f t="shared" si="48"/>
        <v>25.113248219158297</v>
      </c>
      <c r="G373" s="3">
        <f t="shared" si="48"/>
        <v>24.325607627106375</v>
      </c>
      <c r="H373" s="3">
        <f t="shared" si="49"/>
        <v>1.0323790716403007</v>
      </c>
      <c r="I373" s="3">
        <f t="shared" si="50"/>
        <v>50.796580522111164</v>
      </c>
    </row>
    <row r="374" spans="1:9" ht="15.75" customHeight="1" thickBot="1">
      <c r="A374" s="16">
        <v>42278</v>
      </c>
      <c r="B374" s="15">
        <v>2079.36</v>
      </c>
      <c r="C374" s="3">
        <f t="shared" si="51"/>
        <v>159.33000000000015</v>
      </c>
      <c r="D374" s="3">
        <f t="shared" si="46"/>
        <v>159.33000000000015</v>
      </c>
      <c r="E374" s="3">
        <f t="shared" si="47"/>
        <v>0</v>
      </c>
      <c r="F374" s="3">
        <f t="shared" si="48"/>
        <v>34.700159060647003</v>
      </c>
      <c r="G374" s="3">
        <f t="shared" si="48"/>
        <v>22.588064225170204</v>
      </c>
      <c r="H374" s="3">
        <f t="shared" si="49"/>
        <v>1.536216592742822</v>
      </c>
      <c r="I374" s="3">
        <f t="shared" si="50"/>
        <v>60.571190849337597</v>
      </c>
    </row>
    <row r="375" spans="1:9" ht="15.75" customHeight="1" thickBot="1">
      <c r="A375" s="16">
        <v>42309</v>
      </c>
      <c r="B375" s="15">
        <v>2080.41</v>
      </c>
      <c r="C375" s="3">
        <f t="shared" si="51"/>
        <v>1.0499999999997272</v>
      </c>
      <c r="D375" s="3">
        <f t="shared" si="46"/>
        <v>1.0499999999997272</v>
      </c>
      <c r="E375" s="3">
        <f t="shared" si="47"/>
        <v>0</v>
      </c>
      <c r="F375" s="3">
        <f t="shared" si="48"/>
        <v>32.296576270600767</v>
      </c>
      <c r="G375" s="3">
        <f t="shared" si="48"/>
        <v>20.974631066229474</v>
      </c>
      <c r="H375" s="3">
        <f t="shared" si="49"/>
        <v>1.5397923409771133</v>
      </c>
      <c r="I375" s="3">
        <f t="shared" si="50"/>
        <v>60.626702275380588</v>
      </c>
    </row>
    <row r="376" spans="1:9" ht="15.75" customHeight="1" thickBot="1">
      <c r="A376" s="16">
        <v>42339</v>
      </c>
      <c r="B376" s="15">
        <v>2043.94</v>
      </c>
      <c r="C376" s="3">
        <f t="shared" si="51"/>
        <v>-36.4699999999998</v>
      </c>
      <c r="D376" s="3">
        <f t="shared" si="46"/>
        <v>0</v>
      </c>
      <c r="E376" s="3">
        <f t="shared" si="47"/>
        <v>36.4699999999998</v>
      </c>
      <c r="F376" s="3">
        <f t="shared" si="48"/>
        <v>29.989677965557856</v>
      </c>
      <c r="G376" s="3">
        <f t="shared" si="48"/>
        <v>22.081443132927355</v>
      </c>
      <c r="H376" s="3">
        <f t="shared" si="49"/>
        <v>1.3581394017150048</v>
      </c>
      <c r="I376" s="3">
        <f t="shared" si="50"/>
        <v>57.593685968152279</v>
      </c>
    </row>
    <row r="377" spans="1:9" ht="15.75" customHeight="1" thickBot="1">
      <c r="A377" s="16">
        <v>42370</v>
      </c>
      <c r="B377" s="15">
        <v>1940.24</v>
      </c>
      <c r="C377" s="3">
        <f t="shared" si="51"/>
        <v>-103.70000000000005</v>
      </c>
      <c r="D377" s="3">
        <f t="shared" si="46"/>
        <v>0</v>
      </c>
      <c r="E377" s="3">
        <f t="shared" si="47"/>
        <v>103.70000000000005</v>
      </c>
      <c r="F377" s="3">
        <f t="shared" si="48"/>
        <v>27.847558110875152</v>
      </c>
      <c r="G377" s="3">
        <f t="shared" si="48"/>
        <v>27.911340052003975</v>
      </c>
      <c r="H377" s="3">
        <f t="shared" si="49"/>
        <v>0.99771483773226277</v>
      </c>
      <c r="I377" s="3">
        <f t="shared" si="50"/>
        <v>49.942805594057383</v>
      </c>
    </row>
    <row r="378" spans="1:9" ht="15.75" customHeight="1" thickBot="1">
      <c r="A378" s="16">
        <v>42401</v>
      </c>
      <c r="B378" s="15">
        <v>1932.23</v>
      </c>
      <c r="C378" s="3">
        <f t="shared" si="51"/>
        <v>-8.0099999999999909</v>
      </c>
      <c r="D378" s="3">
        <f t="shared" si="46"/>
        <v>0</v>
      </c>
      <c r="E378" s="3">
        <f t="shared" si="47"/>
        <v>8.0099999999999909</v>
      </c>
      <c r="F378" s="3">
        <f t="shared" si="48"/>
        <v>25.858446817241212</v>
      </c>
      <c r="G378" s="3">
        <f t="shared" si="48"/>
        <v>26.48981576257512</v>
      </c>
      <c r="H378" s="3">
        <f t="shared" si="49"/>
        <v>0.97616559696025118</v>
      </c>
      <c r="I378" s="3">
        <f t="shared" si="50"/>
        <v>49.396953294895653</v>
      </c>
    </row>
    <row r="379" spans="1:9" ht="15.75" customHeight="1" thickBot="1">
      <c r="A379" s="16">
        <v>42430</v>
      </c>
      <c r="B379" s="15">
        <v>2059.7399999999998</v>
      </c>
      <c r="C379" s="3">
        <f t="shared" si="51"/>
        <v>127.50999999999976</v>
      </c>
      <c r="D379" s="3">
        <f t="shared" si="46"/>
        <v>127.50999999999976</v>
      </c>
      <c r="E379" s="3">
        <f t="shared" si="47"/>
        <v>0</v>
      </c>
      <c r="F379" s="3">
        <f t="shared" si="48"/>
        <v>33.119272044581109</v>
      </c>
      <c r="G379" s="3">
        <f t="shared" si="48"/>
        <v>24.597686065248325</v>
      </c>
      <c r="H379" s="3">
        <f t="shared" si="49"/>
        <v>1.3464385209538918</v>
      </c>
      <c r="I379" s="3">
        <f t="shared" si="50"/>
        <v>57.382220285342378</v>
      </c>
    </row>
    <row r="380" spans="1:9" ht="15.75" customHeight="1" thickBot="1">
      <c r="A380" s="16">
        <v>42461</v>
      </c>
      <c r="B380" s="15">
        <v>2065.3000000000002</v>
      </c>
      <c r="C380" s="3">
        <f t="shared" si="51"/>
        <v>5.5600000000004002</v>
      </c>
      <c r="D380" s="3">
        <f t="shared" si="46"/>
        <v>5.5600000000004002</v>
      </c>
      <c r="E380" s="3">
        <f t="shared" si="47"/>
        <v>0</v>
      </c>
      <c r="F380" s="3">
        <f t="shared" si="48"/>
        <v>31.150752612825347</v>
      </c>
      <c r="G380" s="3">
        <f t="shared" si="48"/>
        <v>22.840708489159162</v>
      </c>
      <c r="H380" s="3">
        <f t="shared" si="49"/>
        <v>1.3638260226301808</v>
      </c>
      <c r="I380" s="3">
        <f t="shared" si="50"/>
        <v>57.695702203696001</v>
      </c>
    </row>
    <row r="381" spans="1:9" ht="15.75" customHeight="1" thickBot="1">
      <c r="A381" s="16">
        <v>42491</v>
      </c>
      <c r="B381" s="15">
        <v>2096.9499999999998</v>
      </c>
      <c r="C381" s="3">
        <f t="shared" si="51"/>
        <v>31.649999999999636</v>
      </c>
      <c r="D381" s="3">
        <f t="shared" si="46"/>
        <v>31.649999999999636</v>
      </c>
      <c r="E381" s="3">
        <f t="shared" si="47"/>
        <v>0</v>
      </c>
      <c r="F381" s="3">
        <f t="shared" si="48"/>
        <v>31.186413140480653</v>
      </c>
      <c r="G381" s="3">
        <f t="shared" si="48"/>
        <v>21.209229311362076</v>
      </c>
      <c r="H381" s="3">
        <f t="shared" si="49"/>
        <v>1.470417085064645</v>
      </c>
      <c r="I381" s="3">
        <f t="shared" si="50"/>
        <v>59.521005337694532</v>
      </c>
    </row>
    <row r="382" spans="1:9" ht="15.75" customHeight="1" thickBot="1">
      <c r="A382" s="16">
        <v>42522</v>
      </c>
      <c r="B382" s="15">
        <v>2098.86</v>
      </c>
      <c r="C382" s="3">
        <f t="shared" si="51"/>
        <v>1.9100000000003092</v>
      </c>
      <c r="D382" s="3">
        <f t="shared" si="46"/>
        <v>1.9100000000003092</v>
      </c>
      <c r="E382" s="3">
        <f t="shared" si="47"/>
        <v>0</v>
      </c>
      <c r="F382" s="3">
        <f t="shared" si="48"/>
        <v>29.095240773303487</v>
      </c>
      <c r="G382" s="3">
        <f t="shared" si="48"/>
        <v>19.694284360550501</v>
      </c>
      <c r="H382" s="3">
        <f t="shared" si="49"/>
        <v>1.4773444031093601</v>
      </c>
      <c r="I382" s="3">
        <f t="shared" si="50"/>
        <v>59.634195441502534</v>
      </c>
    </row>
    <row r="383" spans="1:9" ht="15.75" customHeight="1" thickBot="1">
      <c r="A383" s="16">
        <v>42552</v>
      </c>
      <c r="B383" s="15">
        <v>2173.6</v>
      </c>
      <c r="C383" s="3">
        <f t="shared" si="51"/>
        <v>74.739999999999782</v>
      </c>
      <c r="D383" s="3">
        <f t="shared" si="46"/>
        <v>74.739999999999782</v>
      </c>
      <c r="E383" s="3">
        <f t="shared" si="47"/>
        <v>0</v>
      </c>
      <c r="F383" s="3">
        <f t="shared" si="48"/>
        <v>32.355580718067507</v>
      </c>
      <c r="G383" s="3">
        <f t="shared" si="48"/>
        <v>18.287549763368325</v>
      </c>
      <c r="H383" s="3">
        <f t="shared" si="49"/>
        <v>1.7692682254721059</v>
      </c>
      <c r="I383" s="3">
        <f t="shared" si="50"/>
        <v>63.889377316293746</v>
      </c>
    </row>
    <row r="384" spans="1:9" ht="15.75" customHeight="1" thickBot="1">
      <c r="A384" s="16">
        <v>42583</v>
      </c>
      <c r="B384" s="15">
        <v>2170.9499999999998</v>
      </c>
      <c r="C384" s="3">
        <f t="shared" si="51"/>
        <v>-2.6500000000000909</v>
      </c>
      <c r="D384" s="3">
        <f t="shared" si="46"/>
        <v>0</v>
      </c>
      <c r="E384" s="3">
        <f t="shared" si="47"/>
        <v>2.6500000000000909</v>
      </c>
      <c r="F384" s="3">
        <f t="shared" si="48"/>
        <v>30.044467809634114</v>
      </c>
      <c r="G384" s="3">
        <f t="shared" si="48"/>
        <v>17.170581923127738</v>
      </c>
      <c r="H384" s="3">
        <f t="shared" si="49"/>
        <v>1.7497640990935799</v>
      </c>
      <c r="I384" s="3">
        <f t="shared" si="50"/>
        <v>63.633244017927368</v>
      </c>
    </row>
    <row r="385" spans="1:9" ht="15.75" customHeight="1" thickBot="1">
      <c r="A385" s="16">
        <v>42614</v>
      </c>
      <c r="B385" s="15">
        <v>2168.27</v>
      </c>
      <c r="C385" s="3">
        <f t="shared" si="51"/>
        <v>-2.6799999999998363</v>
      </c>
      <c r="D385" s="3">
        <f t="shared" si="46"/>
        <v>0</v>
      </c>
      <c r="E385" s="3">
        <f t="shared" si="47"/>
        <v>2.6799999999998363</v>
      </c>
      <c r="F385" s="3">
        <f t="shared" si="48"/>
        <v>27.898434394660249</v>
      </c>
      <c r="G385" s="3">
        <f t="shared" si="48"/>
        <v>16.135540357190031</v>
      </c>
      <c r="H385" s="3">
        <f t="shared" si="49"/>
        <v>1.7290052751303522</v>
      </c>
      <c r="I385" s="3">
        <f t="shared" si="50"/>
        <v>63.356611688768737</v>
      </c>
    </row>
    <row r="386" spans="1:9" ht="15.75" customHeight="1" thickBot="1">
      <c r="A386" s="16">
        <v>42644</v>
      </c>
      <c r="B386" s="15">
        <v>2126.15</v>
      </c>
      <c r="C386" s="3">
        <f t="shared" si="51"/>
        <v>-42.119999999999891</v>
      </c>
      <c r="D386" s="3">
        <f t="shared" si="46"/>
        <v>0</v>
      </c>
      <c r="E386" s="3">
        <f t="shared" si="47"/>
        <v>42.119999999999891</v>
      </c>
      <c r="F386" s="3">
        <f t="shared" si="48"/>
        <v>25.905689080755945</v>
      </c>
      <c r="G386" s="3">
        <f t="shared" si="48"/>
        <v>17.991573188819306</v>
      </c>
      <c r="H386" s="3">
        <f t="shared" si="49"/>
        <v>1.4398790371958574</v>
      </c>
      <c r="I386" s="3">
        <f t="shared" si="50"/>
        <v>59.01436158288832</v>
      </c>
    </row>
    <row r="387" spans="1:9" ht="15.75" customHeight="1" thickBot="1">
      <c r="A387" s="16">
        <v>42675</v>
      </c>
      <c r="B387" s="15">
        <v>2198.81</v>
      </c>
      <c r="C387" s="3">
        <f t="shared" si="51"/>
        <v>72.659999999999854</v>
      </c>
      <c r="D387" s="3">
        <f t="shared" si="46"/>
        <v>72.659999999999854</v>
      </c>
      <c r="E387" s="3">
        <f t="shared" si="47"/>
        <v>0</v>
      </c>
      <c r="F387" s="3">
        <f t="shared" si="48"/>
        <v>29.245282717844795</v>
      </c>
      <c r="G387" s="3">
        <f t="shared" si="48"/>
        <v>16.706460818189356</v>
      </c>
      <c r="H387" s="3">
        <f t="shared" si="49"/>
        <v>1.7505372942905806</v>
      </c>
      <c r="I387" s="3">
        <f t="shared" si="50"/>
        <v>63.643466966408823</v>
      </c>
    </row>
    <row r="388" spans="1:9" ht="15.75" customHeight="1" thickBot="1">
      <c r="A388" s="16">
        <v>42705</v>
      </c>
      <c r="B388" s="15">
        <v>2238.83</v>
      </c>
      <c r="C388" s="3">
        <f t="shared" si="51"/>
        <v>40.019999999999982</v>
      </c>
      <c r="D388" s="3">
        <f t="shared" si="46"/>
        <v>40.019999999999982</v>
      </c>
      <c r="E388" s="3">
        <f t="shared" si="47"/>
        <v>0</v>
      </c>
      <c r="F388" s="3">
        <f t="shared" si="48"/>
        <v>30.014905380855879</v>
      </c>
      <c r="G388" s="3">
        <f t="shared" si="48"/>
        <v>15.513142188318687</v>
      </c>
      <c r="H388" s="3">
        <f t="shared" si="49"/>
        <v>1.9348050199305813</v>
      </c>
      <c r="I388" s="3">
        <f t="shared" si="50"/>
        <v>65.92618612790659</v>
      </c>
    </row>
    <row r="389" spans="1:9" ht="15.75" customHeight="1" thickBot="1">
      <c r="A389" s="16">
        <v>42736</v>
      </c>
      <c r="B389" s="15">
        <v>2278.87</v>
      </c>
      <c r="C389" s="3">
        <f t="shared" si="51"/>
        <v>40.039999999999964</v>
      </c>
      <c r="D389" s="3">
        <f t="shared" si="46"/>
        <v>40.039999999999964</v>
      </c>
      <c r="E389" s="3">
        <f t="shared" si="47"/>
        <v>0</v>
      </c>
      <c r="F389" s="3">
        <f t="shared" si="48"/>
        <v>30.730983567937603</v>
      </c>
      <c r="G389" s="3">
        <f t="shared" si="48"/>
        <v>14.40506060343878</v>
      </c>
      <c r="H389" s="3">
        <f t="shared" si="49"/>
        <v>2.1333463575017166</v>
      </c>
      <c r="I389" s="3">
        <f t="shared" si="50"/>
        <v>68.085239041453391</v>
      </c>
    </row>
    <row r="390" spans="1:9" ht="15.75" customHeight="1" thickBot="1">
      <c r="A390" s="16">
        <v>42767</v>
      </c>
      <c r="B390" s="15">
        <v>2363.64</v>
      </c>
      <c r="C390" s="3">
        <f t="shared" si="51"/>
        <v>84.769999999999982</v>
      </c>
      <c r="D390" s="3">
        <f t="shared" si="46"/>
        <v>84.769999999999982</v>
      </c>
      <c r="E390" s="3">
        <f t="shared" si="47"/>
        <v>0</v>
      </c>
      <c r="F390" s="3">
        <f t="shared" si="48"/>
        <v>34.590913313084918</v>
      </c>
      <c r="G390" s="3">
        <f t="shared" si="48"/>
        <v>13.376127703193152</v>
      </c>
      <c r="H390" s="3">
        <f t="shared" si="49"/>
        <v>2.5860184711624252</v>
      </c>
      <c r="I390" s="3">
        <f t="shared" si="50"/>
        <v>72.113919433442149</v>
      </c>
    </row>
    <row r="391" spans="1:9" ht="15.75" customHeight="1" thickBot="1">
      <c r="A391" s="16">
        <v>42795</v>
      </c>
      <c r="B391" s="15">
        <v>2362.7199999999998</v>
      </c>
      <c r="C391" s="3">
        <f t="shared" si="51"/>
        <v>-0.92000000000007276</v>
      </c>
      <c r="D391" s="3">
        <f t="shared" si="46"/>
        <v>0</v>
      </c>
      <c r="E391" s="3">
        <f t="shared" si="47"/>
        <v>0.92000000000007276</v>
      </c>
      <c r="F391" s="3">
        <f t="shared" si="48"/>
        <v>32.120133790721709</v>
      </c>
      <c r="G391" s="3">
        <f t="shared" si="48"/>
        <v>12.486404295822217</v>
      </c>
      <c r="H391" s="3">
        <f t="shared" si="49"/>
        <v>2.5724085997654806</v>
      </c>
      <c r="I391" s="3">
        <f t="shared" si="50"/>
        <v>72.007681314347764</v>
      </c>
    </row>
    <row r="392" spans="1:9" ht="15.75" customHeight="1" thickBot="1">
      <c r="A392" s="16">
        <v>42826</v>
      </c>
      <c r="B392" s="15">
        <v>2384.1999999999998</v>
      </c>
      <c r="C392" s="3">
        <f t="shared" si="51"/>
        <v>21.480000000000018</v>
      </c>
      <c r="D392" s="3">
        <f t="shared" si="46"/>
        <v>21.480000000000018</v>
      </c>
      <c r="E392" s="3">
        <f t="shared" si="47"/>
        <v>0</v>
      </c>
      <c r="F392" s="3">
        <f t="shared" si="48"/>
        <v>31.360124234241589</v>
      </c>
      <c r="G392" s="3">
        <f t="shared" si="48"/>
        <v>11.594518274692058</v>
      </c>
      <c r="H392" s="3">
        <f t="shared" si="49"/>
        <v>2.7047371431284835</v>
      </c>
      <c r="I392" s="3">
        <f t="shared" si="50"/>
        <v>73.007531671854451</v>
      </c>
    </row>
    <row r="393" spans="1:9" ht="15.75" customHeight="1" thickBot="1">
      <c r="A393" s="16">
        <v>42856</v>
      </c>
      <c r="B393" s="15">
        <v>2411.8000000000002</v>
      </c>
      <c r="C393" s="3">
        <f t="shared" si="51"/>
        <v>27.600000000000364</v>
      </c>
      <c r="D393" s="3">
        <f t="shared" si="46"/>
        <v>27.600000000000364</v>
      </c>
      <c r="E393" s="3">
        <f t="shared" si="47"/>
        <v>0</v>
      </c>
      <c r="F393" s="3">
        <f t="shared" si="48"/>
        <v>31.091543931795787</v>
      </c>
      <c r="G393" s="3">
        <f t="shared" si="48"/>
        <v>10.76633839792834</v>
      </c>
      <c r="H393" s="3">
        <f t="shared" si="49"/>
        <v>2.8878475469225844</v>
      </c>
      <c r="I393" s="3">
        <f t="shared" si="50"/>
        <v>74.278826833332303</v>
      </c>
    </row>
    <row r="394" spans="1:9" ht="15.75" customHeight="1" thickBot="1">
      <c r="A394" s="16">
        <v>42887</v>
      </c>
      <c r="B394" s="15">
        <v>2423.41</v>
      </c>
      <c r="C394" s="3">
        <f t="shared" si="51"/>
        <v>11.609999999999673</v>
      </c>
      <c r="D394" s="3">
        <f t="shared" si="46"/>
        <v>11.609999999999673</v>
      </c>
      <c r="E394" s="3">
        <f t="shared" si="47"/>
        <v>0</v>
      </c>
      <c r="F394" s="3">
        <f t="shared" si="48"/>
        <v>29.700005079524637</v>
      </c>
      <c r="G394" s="3">
        <f t="shared" si="48"/>
        <v>9.9973142266477453</v>
      </c>
      <c r="H394" s="3">
        <f t="shared" si="49"/>
        <v>2.9707983970694407</v>
      </c>
      <c r="I394" s="3">
        <f t="shared" si="50"/>
        <v>74.81614778685244</v>
      </c>
    </row>
    <row r="395" spans="1:9" ht="15.75" customHeight="1" thickBot="1">
      <c r="A395" s="16">
        <v>42917</v>
      </c>
      <c r="B395" s="15">
        <v>2470.3000000000002</v>
      </c>
      <c r="C395" s="3">
        <f t="shared" si="51"/>
        <v>46.890000000000327</v>
      </c>
      <c r="D395" s="3">
        <f t="shared" si="46"/>
        <v>46.890000000000327</v>
      </c>
      <c r="E395" s="3">
        <f t="shared" si="47"/>
        <v>0</v>
      </c>
      <c r="F395" s="3">
        <f t="shared" si="48"/>
        <v>30.927861859558615</v>
      </c>
      <c r="G395" s="3">
        <f t="shared" si="48"/>
        <v>9.2832203533157642</v>
      </c>
      <c r="H395" s="3">
        <f t="shared" si="49"/>
        <v>3.3315876045656783</v>
      </c>
      <c r="I395" s="3">
        <f t="shared" si="50"/>
        <v>76.913776395842547</v>
      </c>
    </row>
    <row r="396" spans="1:9" ht="15.75" customHeight="1" thickBot="1">
      <c r="A396" s="16">
        <v>42948</v>
      </c>
      <c r="B396" s="15">
        <v>2471.65</v>
      </c>
      <c r="C396" s="3">
        <f t="shared" si="51"/>
        <v>1.3499999999999091</v>
      </c>
      <c r="D396" s="3">
        <f t="shared" si="46"/>
        <v>1.3499999999999091</v>
      </c>
      <c r="E396" s="3">
        <f t="shared" si="47"/>
        <v>0</v>
      </c>
      <c r="F396" s="3">
        <f t="shared" si="48"/>
        <v>28.815157441018705</v>
      </c>
      <c r="G396" s="3">
        <f t="shared" si="48"/>
        <v>8.6201331852217802</v>
      </c>
      <c r="H396" s="3">
        <f t="shared" si="49"/>
        <v>3.3427740409416127</v>
      </c>
      <c r="I396" s="3">
        <f t="shared" si="50"/>
        <v>76.973243586415634</v>
      </c>
    </row>
    <row r="397" spans="1:9" ht="15.75" customHeight="1" thickBot="1">
      <c r="A397" s="16">
        <v>42979</v>
      </c>
      <c r="B397" s="15">
        <v>2519.36</v>
      </c>
      <c r="C397" s="3">
        <f t="shared" si="51"/>
        <v>47.710000000000036</v>
      </c>
      <c r="D397" s="3">
        <f t="shared" si="46"/>
        <v>47.710000000000036</v>
      </c>
      <c r="E397" s="3">
        <f t="shared" si="47"/>
        <v>0</v>
      </c>
      <c r="F397" s="3">
        <f t="shared" si="48"/>
        <v>30.164789052374516</v>
      </c>
      <c r="G397" s="3">
        <f t="shared" si="48"/>
        <v>8.0044093862773682</v>
      </c>
      <c r="H397" s="3">
        <f t="shared" si="49"/>
        <v>3.7685215231605405</v>
      </c>
      <c r="I397" s="3">
        <f t="shared" si="50"/>
        <v>79.029139427324907</v>
      </c>
    </row>
    <row r="398" spans="1:9" ht="15.75" customHeight="1" thickBot="1">
      <c r="A398" s="16">
        <v>43009</v>
      </c>
      <c r="B398" s="15">
        <v>2575.2600000000002</v>
      </c>
      <c r="C398" s="3">
        <f t="shared" si="51"/>
        <v>55.900000000000091</v>
      </c>
      <c r="D398" s="3">
        <f t="shared" si="46"/>
        <v>55.900000000000091</v>
      </c>
      <c r="E398" s="3">
        <f t="shared" si="47"/>
        <v>0</v>
      </c>
      <c r="F398" s="3">
        <f t="shared" si="48"/>
        <v>32.003018405776345</v>
      </c>
      <c r="G398" s="3">
        <f t="shared" si="48"/>
        <v>7.4326658586861276</v>
      </c>
      <c r="H398" s="3">
        <f t="shared" si="49"/>
        <v>4.3057254307182751</v>
      </c>
      <c r="I398" s="3">
        <f t="shared" si="50"/>
        <v>81.152435928735528</v>
      </c>
    </row>
    <row r="399" spans="1:9" ht="15.75" customHeight="1" thickBot="1">
      <c r="A399" s="16">
        <v>43040</v>
      </c>
      <c r="B399" s="15">
        <v>2647.58</v>
      </c>
      <c r="C399" s="3">
        <f t="shared" si="51"/>
        <v>72.319999999999709</v>
      </c>
      <c r="D399" s="3">
        <f t="shared" si="46"/>
        <v>72.319999999999709</v>
      </c>
      <c r="E399" s="3">
        <f t="shared" si="47"/>
        <v>0</v>
      </c>
      <c r="F399" s="3">
        <f t="shared" si="48"/>
        <v>34.882802805363731</v>
      </c>
      <c r="G399" s="3">
        <f t="shared" si="48"/>
        <v>6.9017611544942614</v>
      </c>
      <c r="H399" s="3">
        <f t="shared" si="49"/>
        <v>5.0541886374391396</v>
      </c>
      <c r="I399" s="3">
        <f t="shared" si="50"/>
        <v>83.482510045755859</v>
      </c>
    </row>
    <row r="400" spans="1:9" ht="15.75" customHeight="1" thickBot="1">
      <c r="A400" s="16">
        <v>43070</v>
      </c>
      <c r="B400" s="15">
        <v>2673.61</v>
      </c>
      <c r="C400" s="3">
        <f t="shared" si="51"/>
        <v>26.0300000000002</v>
      </c>
      <c r="D400" s="3">
        <f t="shared" si="46"/>
        <v>26.0300000000002</v>
      </c>
      <c r="E400" s="3">
        <f t="shared" si="47"/>
        <v>0</v>
      </c>
      <c r="F400" s="3">
        <f t="shared" si="48"/>
        <v>34.250459747837766</v>
      </c>
      <c r="G400" s="3">
        <f t="shared" si="48"/>
        <v>6.4087782148875281</v>
      </c>
      <c r="H400" s="3">
        <f t="shared" si="49"/>
        <v>5.3443041090537804</v>
      </c>
      <c r="I400" s="3">
        <f t="shared" si="50"/>
        <v>84.237829984017822</v>
      </c>
    </row>
    <row r="401" spans="1:9" ht="15.75" customHeight="1" thickBot="1">
      <c r="A401" s="16">
        <v>43101</v>
      </c>
      <c r="B401" s="15">
        <v>2823.81</v>
      </c>
      <c r="C401" s="3">
        <f t="shared" si="51"/>
        <v>150.19999999999982</v>
      </c>
      <c r="D401" s="3">
        <f t="shared" si="46"/>
        <v>150.19999999999982</v>
      </c>
      <c r="E401" s="3">
        <f t="shared" si="47"/>
        <v>0</v>
      </c>
      <c r="F401" s="3">
        <f t="shared" si="48"/>
        <v>42.532569765849345</v>
      </c>
      <c r="G401" s="3">
        <f t="shared" si="48"/>
        <v>5.9510083423955615</v>
      </c>
      <c r="H401" s="3">
        <f t="shared" si="49"/>
        <v>7.1471198356156194</v>
      </c>
      <c r="I401" s="3">
        <f t="shared" si="50"/>
        <v>87.725723689144218</v>
      </c>
    </row>
    <row r="402" spans="1:9" ht="15.75" customHeight="1" thickBot="1">
      <c r="A402" s="16">
        <v>43132</v>
      </c>
      <c r="B402" s="15">
        <v>2713.83</v>
      </c>
      <c r="C402" s="3">
        <f t="shared" si="51"/>
        <v>-109.98000000000002</v>
      </c>
      <c r="D402" s="3">
        <f t="shared" si="46"/>
        <v>0</v>
      </c>
      <c r="E402" s="3">
        <f t="shared" si="47"/>
        <v>109.98000000000002</v>
      </c>
      <c r="F402" s="3">
        <f t="shared" si="48"/>
        <v>39.494529068288678</v>
      </c>
      <c r="G402" s="3">
        <f t="shared" si="48"/>
        <v>13.381650603653023</v>
      </c>
      <c r="H402" s="3">
        <f t="shared" si="49"/>
        <v>2.951394430931201</v>
      </c>
      <c r="I402" s="3">
        <f t="shared" si="50"/>
        <v>74.692478377453796</v>
      </c>
    </row>
    <row r="403" spans="1:9" ht="15.75" customHeight="1" thickBot="1">
      <c r="A403" s="16">
        <v>43160</v>
      </c>
      <c r="B403" s="15">
        <v>2640.87</v>
      </c>
      <c r="C403" s="3">
        <f t="shared" si="51"/>
        <v>-72.960000000000036</v>
      </c>
      <c r="D403" s="3">
        <f t="shared" si="46"/>
        <v>0</v>
      </c>
      <c r="E403" s="3">
        <f t="shared" si="47"/>
        <v>72.960000000000036</v>
      </c>
      <c r="F403" s="3">
        <f t="shared" si="48"/>
        <v>36.673491277696634</v>
      </c>
      <c r="G403" s="3">
        <f t="shared" si="48"/>
        <v>17.63724698910638</v>
      </c>
      <c r="H403" s="3">
        <f t="shared" si="49"/>
        <v>2.0793206162134013</v>
      </c>
      <c r="I403" s="3">
        <f t="shared" si="50"/>
        <v>67.525304291643181</v>
      </c>
    </row>
    <row r="404" spans="1:9" ht="15.75" customHeight="1" thickBot="1">
      <c r="A404" s="16">
        <v>43191</v>
      </c>
      <c r="B404" s="15">
        <v>2648.05</v>
      </c>
      <c r="C404" s="3">
        <f t="shared" si="51"/>
        <v>7.180000000000291</v>
      </c>
      <c r="D404" s="3">
        <f t="shared" si="46"/>
        <v>7.180000000000291</v>
      </c>
      <c r="E404" s="3">
        <f t="shared" si="47"/>
        <v>0</v>
      </c>
      <c r="F404" s="3">
        <f t="shared" si="48"/>
        <v>34.566813329289751</v>
      </c>
      <c r="G404" s="3">
        <f t="shared" si="48"/>
        <v>16.377443632741638</v>
      </c>
      <c r="H404" s="3">
        <f t="shared" si="49"/>
        <v>2.1106354632895266</v>
      </c>
      <c r="I404" s="3">
        <f t="shared" si="50"/>
        <v>67.852227887143982</v>
      </c>
    </row>
    <row r="405" spans="1:9" ht="15.75" customHeight="1" thickBot="1">
      <c r="A405" s="16">
        <v>43221</v>
      </c>
      <c r="B405" s="15">
        <v>2705.27</v>
      </c>
      <c r="C405" s="3">
        <f t="shared" si="51"/>
        <v>57.2199999999998</v>
      </c>
      <c r="D405" s="3">
        <f t="shared" si="46"/>
        <v>57.2199999999998</v>
      </c>
      <c r="E405" s="3">
        <f t="shared" si="47"/>
        <v>0</v>
      </c>
      <c r="F405" s="3">
        <f t="shared" si="48"/>
        <v>36.184898091483326</v>
      </c>
      <c r="G405" s="3">
        <f t="shared" si="48"/>
        <v>15.207626230402949</v>
      </c>
      <c r="H405" s="3">
        <f t="shared" si="49"/>
        <v>2.3793915988770689</v>
      </c>
      <c r="I405" s="3">
        <f t="shared" si="50"/>
        <v>70.408874771059743</v>
      </c>
    </row>
    <row r="406" spans="1:9" ht="15.75" customHeight="1" thickBot="1">
      <c r="A406" s="16">
        <v>43252</v>
      </c>
      <c r="B406" s="15">
        <v>2718.37</v>
      </c>
      <c r="C406" s="3">
        <f t="shared" si="51"/>
        <v>13.099999999999909</v>
      </c>
      <c r="D406" s="3">
        <f t="shared" si="46"/>
        <v>13.099999999999909</v>
      </c>
      <c r="E406" s="3">
        <f t="shared" si="47"/>
        <v>0</v>
      </c>
      <c r="F406" s="3">
        <f t="shared" si="48"/>
        <v>34.535976799234511</v>
      </c>
      <c r="G406" s="3">
        <f t="shared" si="48"/>
        <v>14.121367213945595</v>
      </c>
      <c r="H406" s="3">
        <f t="shared" si="49"/>
        <v>2.4456538999374233</v>
      </c>
      <c r="I406" s="3">
        <f t="shared" si="50"/>
        <v>70.977932519044899</v>
      </c>
    </row>
    <row r="407" spans="1:9" ht="15.75" customHeight="1" thickBot="1">
      <c r="A407" s="16">
        <v>43282</v>
      </c>
      <c r="B407" s="15">
        <v>2816.29</v>
      </c>
      <c r="C407" s="3">
        <f t="shared" si="51"/>
        <v>97.920000000000073</v>
      </c>
      <c r="D407" s="3">
        <f t="shared" si="46"/>
        <v>97.920000000000073</v>
      </c>
      <c r="E407" s="3">
        <f t="shared" si="47"/>
        <v>0</v>
      </c>
      <c r="F407" s="3">
        <f t="shared" si="48"/>
        <v>39.063407027860627</v>
      </c>
      <c r="G407" s="3">
        <f t="shared" si="48"/>
        <v>13.112698127235195</v>
      </c>
      <c r="H407" s="3">
        <f t="shared" si="49"/>
        <v>2.979051805266955</v>
      </c>
      <c r="I407" s="3">
        <f t="shared" si="50"/>
        <v>74.868384506169804</v>
      </c>
    </row>
    <row r="408" spans="1:9" ht="15.75" customHeight="1" thickBot="1">
      <c r="A408" s="16">
        <v>43313</v>
      </c>
      <c r="B408" s="15">
        <v>2901.52</v>
      </c>
      <c r="C408" s="3">
        <f t="shared" si="51"/>
        <v>85.230000000000018</v>
      </c>
      <c r="D408" s="3">
        <f t="shared" si="46"/>
        <v>85.230000000000018</v>
      </c>
      <c r="E408" s="3">
        <f t="shared" si="47"/>
        <v>0</v>
      </c>
      <c r="F408" s="3">
        <f t="shared" si="48"/>
        <v>42.361020811584872</v>
      </c>
      <c r="G408" s="3">
        <f t="shared" si="48"/>
        <v>12.176076832432681</v>
      </c>
      <c r="H408" s="3">
        <f t="shared" si="49"/>
        <v>3.4790369176014377</v>
      </c>
      <c r="I408" s="3">
        <f t="shared" si="50"/>
        <v>77.673771875595335</v>
      </c>
    </row>
    <row r="409" spans="1:9" ht="15.75" customHeight="1" thickBot="1">
      <c r="A409" s="16">
        <v>43344</v>
      </c>
      <c r="B409" s="15">
        <v>2913.98</v>
      </c>
      <c r="C409" s="3">
        <f t="shared" si="51"/>
        <v>12.460000000000036</v>
      </c>
      <c r="D409" s="3">
        <f t="shared" si="46"/>
        <v>12.460000000000036</v>
      </c>
      <c r="E409" s="3">
        <f t="shared" si="47"/>
        <v>0</v>
      </c>
      <c r="F409" s="3">
        <f t="shared" si="48"/>
        <v>40.225233610757378</v>
      </c>
      <c r="G409" s="3">
        <f t="shared" si="48"/>
        <v>11.306357058687491</v>
      </c>
      <c r="H409" s="3">
        <f t="shared" si="49"/>
        <v>3.5577536957272571</v>
      </c>
      <c r="I409" s="3">
        <f t="shared" si="50"/>
        <v>78.05936725063782</v>
      </c>
    </row>
    <row r="410" spans="1:9" ht="15.75" customHeight="1" thickBot="1">
      <c r="A410" s="16">
        <v>43374</v>
      </c>
      <c r="B410" s="15">
        <v>2711.74</v>
      </c>
      <c r="C410" s="3">
        <f t="shared" si="51"/>
        <v>-202.24000000000024</v>
      </c>
      <c r="D410" s="3">
        <f t="shared" si="46"/>
        <v>0</v>
      </c>
      <c r="E410" s="3">
        <f t="shared" si="47"/>
        <v>202.24000000000024</v>
      </c>
      <c r="F410" s="3">
        <f t="shared" si="48"/>
        <v>37.352002638560421</v>
      </c>
      <c r="G410" s="3">
        <f t="shared" si="48"/>
        <v>24.944474411638403</v>
      </c>
      <c r="H410" s="3">
        <f t="shared" si="49"/>
        <v>1.4974058792408553</v>
      </c>
      <c r="I410" s="3">
        <f t="shared" si="50"/>
        <v>59.958450954557165</v>
      </c>
    </row>
    <row r="411" spans="1:9" ht="15.75" customHeight="1" thickBot="1">
      <c r="A411" s="16">
        <v>43405</v>
      </c>
      <c r="B411" s="15">
        <v>2760.17</v>
      </c>
      <c r="C411" s="3">
        <f t="shared" si="51"/>
        <v>48.430000000000291</v>
      </c>
      <c r="D411" s="3">
        <f t="shared" si="46"/>
        <v>48.430000000000291</v>
      </c>
      <c r="E411" s="3">
        <f t="shared" si="47"/>
        <v>0</v>
      </c>
      <c r="F411" s="3">
        <f t="shared" si="48"/>
        <v>38.143288164377559</v>
      </c>
      <c r="G411" s="3">
        <f t="shared" si="48"/>
        <v>23.162726239378518</v>
      </c>
      <c r="H411" s="3">
        <f t="shared" si="49"/>
        <v>1.6467529672535208</v>
      </c>
      <c r="I411" s="3">
        <f t="shared" si="50"/>
        <v>62.217856657862612</v>
      </c>
    </row>
    <row r="412" spans="1:9" ht="15.75" customHeight="1" thickBot="1">
      <c r="A412" s="16">
        <v>43435</v>
      </c>
      <c r="B412" s="15">
        <v>2506.85</v>
      </c>
      <c r="C412" s="3">
        <f t="shared" si="51"/>
        <v>-253.32000000000016</v>
      </c>
      <c r="D412" s="3">
        <f t="shared" si="46"/>
        <v>0</v>
      </c>
      <c r="E412" s="3">
        <f t="shared" si="47"/>
        <v>253.32000000000016</v>
      </c>
      <c r="F412" s="3">
        <f t="shared" si="48"/>
        <v>35.418767581207732</v>
      </c>
      <c r="G412" s="3">
        <f t="shared" si="48"/>
        <v>39.60253150799435</v>
      </c>
      <c r="H412" s="3">
        <f t="shared" si="49"/>
        <v>0.89435614927944529</v>
      </c>
      <c r="I412" s="3">
        <f t="shared" si="50"/>
        <v>47.211615916026716</v>
      </c>
    </row>
    <row r="413" spans="1:9" ht="15.75" customHeight="1" thickBot="1">
      <c r="A413" s="16">
        <v>43466</v>
      </c>
      <c r="B413" s="15">
        <v>2704.1</v>
      </c>
      <c r="C413" s="3">
        <f t="shared" si="51"/>
        <v>197.25</v>
      </c>
      <c r="D413" s="3">
        <f t="shared" si="46"/>
        <v>197.25</v>
      </c>
      <c r="E413" s="3">
        <f t="shared" si="47"/>
        <v>0</v>
      </c>
      <c r="F413" s="3">
        <f t="shared" si="48"/>
        <v>46.978141325407179</v>
      </c>
      <c r="G413" s="3">
        <f t="shared" si="48"/>
        <v>36.773779257423321</v>
      </c>
      <c r="H413" s="3">
        <f t="shared" si="49"/>
        <v>1.2774901648414057</v>
      </c>
      <c r="I413" s="3">
        <f t="shared" si="50"/>
        <v>56.09201675434521</v>
      </c>
    </row>
    <row r="414" spans="1:9" ht="15.75" customHeight="1" thickBot="1">
      <c r="A414" s="16">
        <v>43497</v>
      </c>
      <c r="B414" s="15">
        <v>2784.49</v>
      </c>
      <c r="C414" s="3">
        <f t="shared" si="51"/>
        <v>80.389999999999873</v>
      </c>
      <c r="D414" s="3">
        <f t="shared" si="46"/>
        <v>80.389999999999873</v>
      </c>
      <c r="E414" s="3">
        <f t="shared" si="47"/>
        <v>0</v>
      </c>
      <c r="F414" s="3">
        <f t="shared" si="48"/>
        <v>49.364702659306658</v>
      </c>
      <c r="G414" s="3">
        <f t="shared" si="48"/>
        <v>34.147080739035943</v>
      </c>
      <c r="H414" s="3">
        <f t="shared" si="49"/>
        <v>1.445649279262528</v>
      </c>
      <c r="I414" s="3">
        <f t="shared" si="50"/>
        <v>59.111062715356127</v>
      </c>
    </row>
    <row r="415" spans="1:9" ht="15.75" customHeight="1" thickBot="1">
      <c r="A415" s="16">
        <v>43525</v>
      </c>
      <c r="B415" s="15">
        <v>2834.4</v>
      </c>
      <c r="C415" s="3">
        <f t="shared" si="51"/>
        <v>49.910000000000309</v>
      </c>
      <c r="D415" s="3">
        <f t="shared" si="46"/>
        <v>49.910000000000309</v>
      </c>
      <c r="E415" s="3">
        <f t="shared" si="47"/>
        <v>0</v>
      </c>
      <c r="F415" s="3">
        <f t="shared" si="48"/>
        <v>49.403652469356203</v>
      </c>
      <c r="G415" s="3">
        <f t="shared" si="48"/>
        <v>31.708003543390515</v>
      </c>
      <c r="H415" s="3">
        <f t="shared" si="49"/>
        <v>1.5580814604662905</v>
      </c>
      <c r="I415" s="3">
        <f t="shared" si="50"/>
        <v>60.908203454251272</v>
      </c>
    </row>
    <row r="416" spans="1:9" ht="15.75" customHeight="1" thickBot="1">
      <c r="A416" s="16">
        <v>43556</v>
      </c>
      <c r="B416" s="15">
        <v>2945.83</v>
      </c>
      <c r="C416" s="3">
        <f t="shared" si="51"/>
        <v>111.42999999999984</v>
      </c>
      <c r="D416" s="3">
        <f t="shared" si="46"/>
        <v>111.42999999999984</v>
      </c>
      <c r="E416" s="3">
        <f t="shared" si="47"/>
        <v>0</v>
      </c>
      <c r="F416" s="3">
        <f t="shared" si="48"/>
        <v>53.834105864402183</v>
      </c>
      <c r="G416" s="3">
        <f t="shared" si="48"/>
        <v>29.443146147434049</v>
      </c>
      <c r="H416" s="3">
        <f t="shared" si="49"/>
        <v>1.8284087439172594</v>
      </c>
      <c r="I416" s="3">
        <f t="shared" si="50"/>
        <v>64.644431178817854</v>
      </c>
    </row>
    <row r="417" spans="1:9" ht="15.75" customHeight="1" thickBot="1">
      <c r="A417" s="16">
        <v>43586</v>
      </c>
      <c r="B417" s="15">
        <v>2752.06</v>
      </c>
      <c r="C417" s="3">
        <f t="shared" si="51"/>
        <v>-193.76999999999998</v>
      </c>
      <c r="D417" s="3">
        <f t="shared" si="46"/>
        <v>0</v>
      </c>
      <c r="E417" s="3">
        <f t="shared" si="47"/>
        <v>193.76999999999998</v>
      </c>
      <c r="F417" s="3">
        <f t="shared" si="48"/>
        <v>49.988812588373456</v>
      </c>
      <c r="G417" s="3">
        <f t="shared" si="48"/>
        <v>41.180778565474476</v>
      </c>
      <c r="H417" s="3">
        <f t="shared" si="49"/>
        <v>1.2138870203460297</v>
      </c>
      <c r="I417" s="3">
        <f t="shared" si="50"/>
        <v>54.830576682106368</v>
      </c>
    </row>
    <row r="418" spans="1:9" ht="15.75" customHeight="1" thickBot="1">
      <c r="A418" s="16">
        <v>43617</v>
      </c>
      <c r="B418" s="15">
        <v>2941.76</v>
      </c>
      <c r="C418" s="3">
        <f t="shared" si="51"/>
        <v>189.70000000000027</v>
      </c>
      <c r="D418" s="3">
        <f t="shared" si="46"/>
        <v>189.70000000000027</v>
      </c>
      <c r="E418" s="3">
        <f t="shared" si="47"/>
        <v>0</v>
      </c>
      <c r="F418" s="3">
        <f t="shared" si="48"/>
        <v>59.968183117775368</v>
      </c>
      <c r="G418" s="3">
        <f t="shared" si="48"/>
        <v>38.239294382226305</v>
      </c>
      <c r="H418" s="3">
        <f t="shared" si="49"/>
        <v>1.5682345630741736</v>
      </c>
      <c r="I418" s="3">
        <f t="shared" si="50"/>
        <v>61.062746589509281</v>
      </c>
    </row>
    <row r="419" spans="1:9" ht="15.75" customHeight="1" thickBot="1">
      <c r="A419" s="16">
        <v>43647</v>
      </c>
      <c r="B419" s="15">
        <v>2980.38</v>
      </c>
      <c r="C419" s="3">
        <f t="shared" si="51"/>
        <v>38.619999999999891</v>
      </c>
      <c r="D419" s="3">
        <f t="shared" si="46"/>
        <v>38.619999999999891</v>
      </c>
      <c r="E419" s="3">
        <f t="shared" si="47"/>
        <v>0</v>
      </c>
      <c r="F419" s="3">
        <f t="shared" si="48"/>
        <v>58.443312895077121</v>
      </c>
      <c r="G419" s="3">
        <f t="shared" si="48"/>
        <v>35.507916212067286</v>
      </c>
      <c r="H419" s="3">
        <f t="shared" si="49"/>
        <v>1.6459234765011441</v>
      </c>
      <c r="I419" s="3">
        <f t="shared" si="50"/>
        <v>62.20601204527815</v>
      </c>
    </row>
    <row r="420" spans="1:9" ht="15.75" customHeight="1" thickBot="1">
      <c r="A420" s="16">
        <v>43678</v>
      </c>
      <c r="B420" s="15">
        <v>2926.46</v>
      </c>
      <c r="C420" s="3">
        <f t="shared" si="51"/>
        <v>-53.920000000000073</v>
      </c>
      <c r="D420" s="3">
        <f t="shared" si="46"/>
        <v>0</v>
      </c>
      <c r="E420" s="3">
        <f t="shared" si="47"/>
        <v>53.920000000000073</v>
      </c>
      <c r="F420" s="3">
        <f t="shared" si="48"/>
        <v>54.268790545428757</v>
      </c>
      <c r="G420" s="3">
        <f t="shared" si="48"/>
        <v>36.823065054062489</v>
      </c>
      <c r="H420" s="3">
        <f t="shared" si="49"/>
        <v>1.4737716826601206</v>
      </c>
      <c r="I420" s="3">
        <f t="shared" si="50"/>
        <v>59.575897524840684</v>
      </c>
    </row>
    <row r="421" spans="1:9" ht="15.75" customHeight="1" thickBot="1">
      <c r="A421" s="16">
        <v>43709</v>
      </c>
      <c r="B421" s="15">
        <v>2976.74</v>
      </c>
      <c r="C421" s="3">
        <f t="shared" si="51"/>
        <v>50.279999999999745</v>
      </c>
      <c r="D421" s="3">
        <f t="shared" si="46"/>
        <v>50.279999999999745</v>
      </c>
      <c r="E421" s="3">
        <f t="shared" si="47"/>
        <v>0</v>
      </c>
      <c r="F421" s="3">
        <f t="shared" si="48"/>
        <v>53.983876935040975</v>
      </c>
      <c r="G421" s="3">
        <f t="shared" si="48"/>
        <v>34.192846121629451</v>
      </c>
      <c r="H421" s="3">
        <f t="shared" si="49"/>
        <v>1.5788061848671984</v>
      </c>
      <c r="I421" s="3">
        <f t="shared" si="50"/>
        <v>61.22236692822662</v>
      </c>
    </row>
    <row r="422" spans="1:9" ht="15.75" customHeight="1" thickBot="1">
      <c r="A422" s="16">
        <v>43739</v>
      </c>
      <c r="B422" s="15">
        <v>3037.56</v>
      </c>
      <c r="C422" s="3">
        <f t="shared" si="51"/>
        <v>60.820000000000164</v>
      </c>
      <c r="D422" s="3">
        <f t="shared" ref="D422:D464" si="52">IF(C422&gt;0,C422,0)</f>
        <v>60.820000000000164</v>
      </c>
      <c r="E422" s="3">
        <f t="shared" ref="E422:E464" si="53">IF(C422&lt;0,-C422,0)</f>
        <v>0</v>
      </c>
      <c r="F422" s="3">
        <f t="shared" ref="F422:G464" si="54">((F421*13)+D422)/14</f>
        <v>54.472171439680913</v>
      </c>
      <c r="G422" s="3">
        <f t="shared" si="54"/>
        <v>31.750499970084491</v>
      </c>
      <c r="H422" s="3">
        <f t="shared" ref="H422:H464" si="55">F422/G422</f>
        <v>1.7156319267729616</v>
      </c>
      <c r="I422" s="3">
        <f t="shared" ref="I422:I464" si="56">IF(G422=0,100,100-(100/(1+H422)))</f>
        <v>63.176158368843474</v>
      </c>
    </row>
    <row r="423" spans="1:9" ht="15.75" customHeight="1" thickBot="1">
      <c r="A423" s="16">
        <v>43770</v>
      </c>
      <c r="B423" s="15">
        <v>3140.98</v>
      </c>
      <c r="C423" s="3">
        <f t="shared" si="51"/>
        <v>103.42000000000007</v>
      </c>
      <c r="D423" s="3">
        <f t="shared" si="52"/>
        <v>103.42000000000007</v>
      </c>
      <c r="E423" s="3">
        <f t="shared" si="53"/>
        <v>0</v>
      </c>
      <c r="F423" s="3">
        <f t="shared" si="54"/>
        <v>57.968444908275139</v>
      </c>
      <c r="G423" s="3">
        <f t="shared" si="54"/>
        <v>29.482607115078455</v>
      </c>
      <c r="H423" s="3">
        <f t="shared" si="55"/>
        <v>1.966191276165262</v>
      </c>
      <c r="I423" s="3">
        <f t="shared" si="56"/>
        <v>66.286732482983524</v>
      </c>
    </row>
    <row r="424" spans="1:9" ht="15.75" customHeight="1" thickBot="1">
      <c r="A424" s="16">
        <v>43800</v>
      </c>
      <c r="B424" s="15">
        <v>3230.78</v>
      </c>
      <c r="C424" s="3">
        <f t="shared" si="51"/>
        <v>89.800000000000182</v>
      </c>
      <c r="D424" s="3">
        <f t="shared" si="52"/>
        <v>89.800000000000182</v>
      </c>
      <c r="E424" s="3">
        <f t="shared" si="53"/>
        <v>0</v>
      </c>
      <c r="F424" s="3">
        <f t="shared" si="54"/>
        <v>60.242127414826932</v>
      </c>
      <c r="G424" s="3">
        <f t="shared" si="54"/>
        <v>27.376706606858566</v>
      </c>
      <c r="H424" s="3">
        <f t="shared" si="55"/>
        <v>2.2004884765698858</v>
      </c>
      <c r="I424" s="3">
        <f t="shared" si="56"/>
        <v>68.754769550935947</v>
      </c>
    </row>
    <row r="425" spans="1:9" ht="15.75" customHeight="1" thickBot="1">
      <c r="A425" s="16">
        <v>43831</v>
      </c>
      <c r="B425" s="15">
        <v>3225.52</v>
      </c>
      <c r="C425" s="3">
        <f t="shared" si="51"/>
        <v>-5.2600000000002183</v>
      </c>
      <c r="D425" s="3">
        <f t="shared" si="52"/>
        <v>0</v>
      </c>
      <c r="E425" s="3">
        <f t="shared" si="53"/>
        <v>5.2600000000002183</v>
      </c>
      <c r="F425" s="3">
        <f t="shared" si="54"/>
        <v>55.939118313767871</v>
      </c>
      <c r="G425" s="3">
        <f t="shared" si="54"/>
        <v>25.796941849225824</v>
      </c>
      <c r="H425" s="3">
        <f t="shared" si="55"/>
        <v>2.1684399120140911</v>
      </c>
      <c r="I425" s="3">
        <f t="shared" si="56"/>
        <v>68.438726068050087</v>
      </c>
    </row>
    <row r="426" spans="1:9" ht="15.75" customHeight="1" thickBot="1">
      <c r="A426" s="16">
        <v>43862</v>
      </c>
      <c r="B426" s="15">
        <v>2954.22</v>
      </c>
      <c r="C426" s="3">
        <f t="shared" si="51"/>
        <v>-271.30000000000018</v>
      </c>
      <c r="D426" s="3">
        <f t="shared" si="52"/>
        <v>0</v>
      </c>
      <c r="E426" s="3">
        <f t="shared" si="53"/>
        <v>271.30000000000018</v>
      </c>
      <c r="F426" s="3">
        <f t="shared" si="54"/>
        <v>51.943467005641594</v>
      </c>
      <c r="G426" s="3">
        <f t="shared" si="54"/>
        <v>43.332874574281128</v>
      </c>
      <c r="H426" s="3">
        <f t="shared" si="55"/>
        <v>1.1987080828575127</v>
      </c>
      <c r="I426" s="3">
        <f t="shared" si="56"/>
        <v>54.518746358526712</v>
      </c>
    </row>
    <row r="427" spans="1:9" ht="15.75" customHeight="1" thickBot="1">
      <c r="A427" s="16">
        <v>43891</v>
      </c>
      <c r="B427" s="15">
        <v>2584.59</v>
      </c>
      <c r="C427" s="3">
        <f t="shared" ref="C427:C464" si="57">B427-B426</f>
        <v>-369.62999999999965</v>
      </c>
      <c r="D427" s="3">
        <f t="shared" si="52"/>
        <v>0</v>
      </c>
      <c r="E427" s="3">
        <f t="shared" si="53"/>
        <v>369.62999999999965</v>
      </c>
      <c r="F427" s="3">
        <f t="shared" si="54"/>
        <v>48.233219362381483</v>
      </c>
      <c r="G427" s="3">
        <f t="shared" si="54"/>
        <v>66.639812104689597</v>
      </c>
      <c r="H427" s="3">
        <f t="shared" si="55"/>
        <v>0.72378984632501986</v>
      </c>
      <c r="I427" s="3">
        <f t="shared" si="56"/>
        <v>41.988288065861454</v>
      </c>
    </row>
    <row r="428" spans="1:9" ht="15.75" customHeight="1" thickBot="1">
      <c r="A428" s="16">
        <v>43922</v>
      </c>
      <c r="B428" s="15">
        <v>2912.43</v>
      </c>
      <c r="C428" s="3">
        <f t="shared" si="57"/>
        <v>327.83999999999969</v>
      </c>
      <c r="D428" s="3">
        <f t="shared" si="52"/>
        <v>327.83999999999969</v>
      </c>
      <c r="E428" s="3">
        <f t="shared" si="53"/>
        <v>0</v>
      </c>
      <c r="F428" s="3">
        <f t="shared" si="54"/>
        <v>68.205132265068499</v>
      </c>
      <c r="G428" s="3">
        <f t="shared" si="54"/>
        <v>61.879825525783197</v>
      </c>
      <c r="H428" s="3">
        <f t="shared" si="55"/>
        <v>1.1022192077230368</v>
      </c>
      <c r="I428" s="3">
        <f t="shared" si="56"/>
        <v>52.431221428943012</v>
      </c>
    </row>
    <row r="429" spans="1:9" ht="15.75" customHeight="1" thickBot="1">
      <c r="A429" s="16">
        <v>43952</v>
      </c>
      <c r="B429" s="15">
        <v>3044.31</v>
      </c>
      <c r="C429" s="3">
        <f t="shared" si="57"/>
        <v>131.88000000000011</v>
      </c>
      <c r="D429" s="3">
        <f t="shared" si="52"/>
        <v>131.88000000000011</v>
      </c>
      <c r="E429" s="3">
        <f t="shared" si="53"/>
        <v>0</v>
      </c>
      <c r="F429" s="3">
        <f t="shared" si="54"/>
        <v>72.7533371032779</v>
      </c>
      <c r="G429" s="3">
        <f t="shared" si="54"/>
        <v>57.459837988227257</v>
      </c>
      <c r="H429" s="3">
        <f t="shared" si="55"/>
        <v>1.2661598022288902</v>
      </c>
      <c r="I429" s="3">
        <f t="shared" si="56"/>
        <v>55.87248529355935</v>
      </c>
    </row>
    <row r="430" spans="1:9" ht="15.75" customHeight="1" thickBot="1">
      <c r="A430" s="16">
        <v>43983</v>
      </c>
      <c r="B430" s="15">
        <v>3100.29</v>
      </c>
      <c r="C430" s="3">
        <f t="shared" si="57"/>
        <v>55.980000000000018</v>
      </c>
      <c r="D430" s="3">
        <f t="shared" si="52"/>
        <v>55.980000000000018</v>
      </c>
      <c r="E430" s="3">
        <f t="shared" si="53"/>
        <v>0</v>
      </c>
      <c r="F430" s="3">
        <f t="shared" si="54"/>
        <v>71.55524159590091</v>
      </c>
      <c r="G430" s="3">
        <f t="shared" si="54"/>
        <v>53.35556384621102</v>
      </c>
      <c r="H430" s="3">
        <f t="shared" si="55"/>
        <v>1.3411017790412183</v>
      </c>
      <c r="I430" s="3">
        <f t="shared" si="56"/>
        <v>57.285069408236367</v>
      </c>
    </row>
    <row r="431" spans="1:9" ht="15.75" customHeight="1" thickBot="1">
      <c r="A431" s="16">
        <v>44013</v>
      </c>
      <c r="B431" s="15">
        <v>3271.12</v>
      </c>
      <c r="C431" s="3">
        <f t="shared" si="57"/>
        <v>170.82999999999993</v>
      </c>
      <c r="D431" s="3">
        <f t="shared" si="52"/>
        <v>170.82999999999993</v>
      </c>
      <c r="E431" s="3">
        <f t="shared" si="53"/>
        <v>0</v>
      </c>
      <c r="F431" s="3">
        <f t="shared" si="54"/>
        <v>78.646295767622277</v>
      </c>
      <c r="G431" s="3">
        <f t="shared" si="54"/>
        <v>49.544452142910231</v>
      </c>
      <c r="H431" s="3">
        <f t="shared" si="55"/>
        <v>1.5873885443473714</v>
      </c>
      <c r="I431" s="3">
        <f t="shared" si="56"/>
        <v>61.35099221241105</v>
      </c>
    </row>
    <row r="432" spans="1:9" ht="15.75" customHeight="1" thickBot="1">
      <c r="A432" s="16">
        <v>44044</v>
      </c>
      <c r="B432" s="15">
        <v>3500.31</v>
      </c>
      <c r="C432" s="3">
        <f t="shared" si="57"/>
        <v>229.19000000000005</v>
      </c>
      <c r="D432" s="3">
        <f t="shared" si="52"/>
        <v>229.19000000000005</v>
      </c>
      <c r="E432" s="3">
        <f t="shared" si="53"/>
        <v>0</v>
      </c>
      <c r="F432" s="3">
        <f t="shared" si="54"/>
        <v>89.399417498506409</v>
      </c>
      <c r="G432" s="3">
        <f t="shared" si="54"/>
        <v>46.005562704130924</v>
      </c>
      <c r="H432" s="3">
        <f t="shared" si="55"/>
        <v>1.9432306061214435</v>
      </c>
      <c r="I432" s="3">
        <f t="shared" si="56"/>
        <v>66.02372923412247</v>
      </c>
    </row>
    <row r="433" spans="1:9" ht="15.75" customHeight="1" thickBot="1">
      <c r="A433" s="16">
        <v>44075</v>
      </c>
      <c r="B433" s="15">
        <v>3363</v>
      </c>
      <c r="C433" s="3">
        <f t="shared" si="57"/>
        <v>-137.30999999999995</v>
      </c>
      <c r="D433" s="3">
        <f t="shared" si="52"/>
        <v>0</v>
      </c>
      <c r="E433" s="3">
        <f t="shared" si="53"/>
        <v>137.30999999999995</v>
      </c>
      <c r="F433" s="3">
        <f t="shared" si="54"/>
        <v>83.013744820041666</v>
      </c>
      <c r="G433" s="3">
        <f t="shared" si="54"/>
        <v>52.527308225264427</v>
      </c>
      <c r="H433" s="3">
        <f t="shared" si="55"/>
        <v>1.5803921355352064</v>
      </c>
      <c r="I433" s="3">
        <f t="shared" si="56"/>
        <v>61.246200287593609</v>
      </c>
    </row>
    <row r="434" spans="1:9" ht="15.75" customHeight="1" thickBot="1">
      <c r="A434" s="16">
        <v>44105</v>
      </c>
      <c r="B434" s="15">
        <v>3269.96</v>
      </c>
      <c r="C434" s="3">
        <f t="shared" si="57"/>
        <v>-93.039999999999964</v>
      </c>
      <c r="D434" s="3">
        <f t="shared" si="52"/>
        <v>0</v>
      </c>
      <c r="E434" s="3">
        <f t="shared" si="53"/>
        <v>93.039999999999964</v>
      </c>
      <c r="F434" s="3">
        <f t="shared" si="54"/>
        <v>77.08419161861012</v>
      </c>
      <c r="G434" s="3">
        <f t="shared" si="54"/>
        <v>55.42107192345982</v>
      </c>
      <c r="H434" s="3">
        <f t="shared" si="55"/>
        <v>1.3908823655570666</v>
      </c>
      <c r="I434" s="3">
        <f t="shared" si="56"/>
        <v>58.174437420847191</v>
      </c>
    </row>
    <row r="435" spans="1:9" ht="15.75" customHeight="1" thickBot="1">
      <c r="A435" s="16">
        <v>44136</v>
      </c>
      <c r="B435" s="15">
        <v>3621.63</v>
      </c>
      <c r="C435" s="3">
        <f t="shared" si="57"/>
        <v>351.67000000000007</v>
      </c>
      <c r="D435" s="3">
        <f t="shared" si="52"/>
        <v>351.67000000000007</v>
      </c>
      <c r="E435" s="3">
        <f t="shared" si="53"/>
        <v>0</v>
      </c>
      <c r="F435" s="3">
        <f t="shared" si="54"/>
        <v>96.697463645852267</v>
      </c>
      <c r="G435" s="3">
        <f t="shared" si="54"/>
        <v>51.462423928926974</v>
      </c>
      <c r="H435" s="3">
        <f t="shared" si="55"/>
        <v>1.8789916265778286</v>
      </c>
      <c r="I435" s="3">
        <f t="shared" si="56"/>
        <v>65.265616239784976</v>
      </c>
    </row>
    <row r="436" spans="1:9" ht="15.75" customHeight="1" thickBot="1">
      <c r="A436" s="16">
        <v>44166</v>
      </c>
      <c r="B436" s="15">
        <v>3756.07</v>
      </c>
      <c r="C436" s="3">
        <f t="shared" si="57"/>
        <v>134.44000000000005</v>
      </c>
      <c r="D436" s="3">
        <f t="shared" si="52"/>
        <v>134.44000000000005</v>
      </c>
      <c r="E436" s="3">
        <f t="shared" si="53"/>
        <v>0</v>
      </c>
      <c r="F436" s="3">
        <f t="shared" si="54"/>
        <v>99.393359099719973</v>
      </c>
      <c r="G436" s="3">
        <f t="shared" si="54"/>
        <v>47.786536505432188</v>
      </c>
      <c r="H436" s="3">
        <f t="shared" si="55"/>
        <v>2.0799448206174413</v>
      </c>
      <c r="I436" s="3">
        <f t="shared" si="56"/>
        <v>67.531885853736554</v>
      </c>
    </row>
    <row r="437" spans="1:9" ht="15.75" customHeight="1" thickBot="1">
      <c r="A437" s="16">
        <v>44197</v>
      </c>
      <c r="B437" s="15">
        <v>3714.24</v>
      </c>
      <c r="C437" s="3">
        <f t="shared" si="57"/>
        <v>-41.830000000000382</v>
      </c>
      <c r="D437" s="3">
        <f t="shared" si="52"/>
        <v>0</v>
      </c>
      <c r="E437" s="3">
        <f t="shared" si="53"/>
        <v>41.830000000000382</v>
      </c>
      <c r="F437" s="3">
        <f t="shared" si="54"/>
        <v>92.293833449739978</v>
      </c>
      <c r="G437" s="3">
        <f t="shared" si="54"/>
        <v>47.361069612187059</v>
      </c>
      <c r="H437" s="3">
        <f t="shared" si="55"/>
        <v>1.9487278096859264</v>
      </c>
      <c r="I437" s="3">
        <f t="shared" si="56"/>
        <v>66.087069931811996</v>
      </c>
    </row>
    <row r="438" spans="1:9" ht="15.75" customHeight="1" thickBot="1">
      <c r="A438" s="16">
        <v>44228</v>
      </c>
      <c r="B438" s="15">
        <v>3811.15</v>
      </c>
      <c r="C438" s="3">
        <f t="shared" si="57"/>
        <v>96.910000000000309</v>
      </c>
      <c r="D438" s="3">
        <f t="shared" si="52"/>
        <v>96.910000000000309</v>
      </c>
      <c r="E438" s="3">
        <f t="shared" si="53"/>
        <v>0</v>
      </c>
      <c r="F438" s="3">
        <f t="shared" si="54"/>
        <v>92.623559631901429</v>
      </c>
      <c r="G438" s="3">
        <f t="shared" si="54"/>
        <v>43.978136068459413</v>
      </c>
      <c r="H438" s="3">
        <f t="shared" si="55"/>
        <v>2.1061274513252943</v>
      </c>
      <c r="I438" s="3">
        <f t="shared" si="56"/>
        <v>67.805570902336001</v>
      </c>
    </row>
    <row r="439" spans="1:9" ht="15.75" customHeight="1" thickBot="1">
      <c r="A439" s="16">
        <v>44256</v>
      </c>
      <c r="B439" s="15">
        <v>3972.89</v>
      </c>
      <c r="C439" s="3">
        <f t="shared" si="57"/>
        <v>161.73999999999978</v>
      </c>
      <c r="D439" s="3">
        <f t="shared" si="52"/>
        <v>161.73999999999978</v>
      </c>
      <c r="E439" s="3">
        <f t="shared" si="53"/>
        <v>0</v>
      </c>
      <c r="F439" s="3">
        <f t="shared" si="54"/>
        <v>97.560448229622736</v>
      </c>
      <c r="G439" s="3">
        <f t="shared" si="54"/>
        <v>40.836840634998033</v>
      </c>
      <c r="H439" s="3">
        <f t="shared" si="55"/>
        <v>2.3890302656276345</v>
      </c>
      <c r="I439" s="3">
        <f t="shared" si="56"/>
        <v>70.493034242206619</v>
      </c>
    </row>
    <row r="440" spans="1:9" ht="15.75" customHeight="1" thickBot="1">
      <c r="A440" s="16">
        <v>44287</v>
      </c>
      <c r="B440" s="15">
        <v>4181.17</v>
      </c>
      <c r="C440" s="3">
        <f t="shared" si="57"/>
        <v>208.2800000000002</v>
      </c>
      <c r="D440" s="3">
        <f t="shared" si="52"/>
        <v>208.2800000000002</v>
      </c>
      <c r="E440" s="3">
        <f t="shared" si="53"/>
        <v>0</v>
      </c>
      <c r="F440" s="3">
        <f t="shared" si="54"/>
        <v>105.46898764179255</v>
      </c>
      <c r="G440" s="3">
        <f t="shared" si="54"/>
        <v>37.919923446783891</v>
      </c>
      <c r="H440" s="3">
        <f t="shared" si="55"/>
        <v>2.781360774364583</v>
      </c>
      <c r="I440" s="3">
        <f t="shared" si="56"/>
        <v>73.554493747874687</v>
      </c>
    </row>
    <row r="441" spans="1:9" ht="15.75" customHeight="1" thickBot="1">
      <c r="A441" s="16">
        <v>44317</v>
      </c>
      <c r="B441" s="15">
        <v>4204.1099999999997</v>
      </c>
      <c r="C441" s="3">
        <f t="shared" si="57"/>
        <v>22.9399999999996</v>
      </c>
      <c r="D441" s="3">
        <f t="shared" si="52"/>
        <v>22.9399999999996</v>
      </c>
      <c r="E441" s="3">
        <f t="shared" si="53"/>
        <v>0</v>
      </c>
      <c r="F441" s="3">
        <f t="shared" si="54"/>
        <v>99.574059953093055</v>
      </c>
      <c r="G441" s="3">
        <f t="shared" si="54"/>
        <v>35.211357486299327</v>
      </c>
      <c r="H441" s="3">
        <f t="shared" si="55"/>
        <v>2.8278960841494718</v>
      </c>
      <c r="I441" s="3">
        <f t="shared" si="56"/>
        <v>73.875988845653524</v>
      </c>
    </row>
    <row r="442" spans="1:9" ht="15.75" customHeight="1" thickBot="1">
      <c r="A442" s="16">
        <v>44348</v>
      </c>
      <c r="B442" s="15">
        <v>4297.5</v>
      </c>
      <c r="C442" s="3">
        <f t="shared" si="57"/>
        <v>93.390000000000327</v>
      </c>
      <c r="D442" s="3">
        <f t="shared" si="52"/>
        <v>93.390000000000327</v>
      </c>
      <c r="E442" s="3">
        <f t="shared" si="53"/>
        <v>0</v>
      </c>
      <c r="F442" s="3">
        <f t="shared" si="54"/>
        <v>99.13234138501501</v>
      </c>
      <c r="G442" s="3">
        <f t="shared" si="54"/>
        <v>32.696260522992233</v>
      </c>
      <c r="H442" s="3">
        <f t="shared" si="55"/>
        <v>3.031916794133215</v>
      </c>
      <c r="I442" s="3">
        <f t="shared" si="56"/>
        <v>75.197900872977186</v>
      </c>
    </row>
    <row r="443" spans="1:9" ht="15.75" customHeight="1" thickBot="1">
      <c r="A443" s="16">
        <v>44378</v>
      </c>
      <c r="B443" s="15">
        <v>4395.26</v>
      </c>
      <c r="C443" s="3">
        <f t="shared" si="57"/>
        <v>97.760000000000218</v>
      </c>
      <c r="D443" s="3">
        <f t="shared" si="52"/>
        <v>97.760000000000218</v>
      </c>
      <c r="E443" s="3">
        <f t="shared" si="53"/>
        <v>0</v>
      </c>
      <c r="F443" s="3">
        <f t="shared" si="54"/>
        <v>99.03431700037109</v>
      </c>
      <c r="G443" s="3">
        <f t="shared" si="54"/>
        <v>30.360813342778503</v>
      </c>
      <c r="H443" s="3">
        <f t="shared" si="55"/>
        <v>3.2619125147359394</v>
      </c>
      <c r="I443" s="3">
        <f t="shared" si="56"/>
        <v>76.536355531878911</v>
      </c>
    </row>
    <row r="444" spans="1:9" ht="15.75" customHeight="1" thickBot="1">
      <c r="A444" s="16">
        <v>44409</v>
      </c>
      <c r="B444" s="15">
        <v>4522.68</v>
      </c>
      <c r="C444" s="3">
        <f t="shared" si="57"/>
        <v>127.42000000000007</v>
      </c>
      <c r="D444" s="3">
        <f t="shared" si="52"/>
        <v>127.42000000000007</v>
      </c>
      <c r="E444" s="3">
        <f t="shared" si="53"/>
        <v>0</v>
      </c>
      <c r="F444" s="3">
        <f t="shared" si="54"/>
        <v>101.06186578605887</v>
      </c>
      <c r="G444" s="3">
        <f t="shared" si="54"/>
        <v>28.192183818294325</v>
      </c>
      <c r="H444" s="3">
        <f t="shared" si="55"/>
        <v>3.5847476888426906</v>
      </c>
      <c r="I444" s="3">
        <f t="shared" si="56"/>
        <v>78.188548904587023</v>
      </c>
    </row>
    <row r="445" spans="1:9" ht="15.75" customHeight="1" thickBot="1">
      <c r="A445" s="16">
        <v>44440</v>
      </c>
      <c r="B445" s="15">
        <v>4307.54</v>
      </c>
      <c r="C445" s="3">
        <f t="shared" si="57"/>
        <v>-215.14000000000033</v>
      </c>
      <c r="D445" s="3">
        <f t="shared" si="52"/>
        <v>0</v>
      </c>
      <c r="E445" s="3">
        <f t="shared" si="53"/>
        <v>215.14000000000033</v>
      </c>
      <c r="F445" s="3">
        <f t="shared" si="54"/>
        <v>93.843161087054668</v>
      </c>
      <c r="G445" s="3">
        <f t="shared" si="54"/>
        <v>41.545599259844757</v>
      </c>
      <c r="H445" s="3">
        <f t="shared" si="55"/>
        <v>2.2587990727999268</v>
      </c>
      <c r="I445" s="3">
        <f t="shared" si="56"/>
        <v>69.313849130906675</v>
      </c>
    </row>
    <row r="446" spans="1:9" ht="15.75" customHeight="1" thickBot="1">
      <c r="A446" s="16">
        <v>44470</v>
      </c>
      <c r="B446" s="15">
        <v>4605.38</v>
      </c>
      <c r="C446" s="3">
        <f t="shared" si="57"/>
        <v>297.84000000000015</v>
      </c>
      <c r="D446" s="3">
        <f t="shared" si="52"/>
        <v>297.84000000000015</v>
      </c>
      <c r="E446" s="3">
        <f t="shared" si="53"/>
        <v>0</v>
      </c>
      <c r="F446" s="3">
        <f t="shared" si="54"/>
        <v>108.41436386655077</v>
      </c>
      <c r="G446" s="3">
        <f t="shared" si="54"/>
        <v>38.578056455570128</v>
      </c>
      <c r="H446" s="3">
        <f t="shared" si="55"/>
        <v>2.81025986862273</v>
      </c>
      <c r="I446" s="3">
        <f t="shared" si="56"/>
        <v>73.755070927446653</v>
      </c>
    </row>
    <row r="447" spans="1:9" ht="15.75" customHeight="1" thickBot="1">
      <c r="A447" s="16">
        <v>44501</v>
      </c>
      <c r="B447" s="15">
        <v>4567</v>
      </c>
      <c r="C447" s="3">
        <f t="shared" si="57"/>
        <v>-38.380000000000109</v>
      </c>
      <c r="D447" s="3">
        <f t="shared" si="52"/>
        <v>0</v>
      </c>
      <c r="E447" s="3">
        <f t="shared" si="53"/>
        <v>38.380000000000109</v>
      </c>
      <c r="F447" s="3">
        <f t="shared" si="54"/>
        <v>100.67048073322572</v>
      </c>
      <c r="G447" s="3">
        <f t="shared" si="54"/>
        <v>38.563909565886554</v>
      </c>
      <c r="H447" s="3">
        <f t="shared" si="55"/>
        <v>2.610484306868055</v>
      </c>
      <c r="I447" s="3">
        <f t="shared" si="56"/>
        <v>72.302884737713811</v>
      </c>
    </row>
    <row r="448" spans="1:9" ht="15.75" customHeight="1" thickBot="1">
      <c r="A448" s="16">
        <v>44531</v>
      </c>
      <c r="B448" s="15">
        <v>4766.18</v>
      </c>
      <c r="C448" s="3">
        <f t="shared" si="57"/>
        <v>199.18000000000029</v>
      </c>
      <c r="D448" s="3">
        <f t="shared" si="52"/>
        <v>199.18000000000029</v>
      </c>
      <c r="E448" s="3">
        <f t="shared" si="53"/>
        <v>0</v>
      </c>
      <c r="F448" s="3">
        <f t="shared" si="54"/>
        <v>107.70687496656676</v>
      </c>
      <c r="G448" s="3">
        <f t="shared" si="54"/>
        <v>35.809344596894661</v>
      </c>
      <c r="H448" s="3">
        <f t="shared" si="55"/>
        <v>3.0077868271263184</v>
      </c>
      <c r="I448" s="3">
        <f t="shared" si="56"/>
        <v>75.048573111933095</v>
      </c>
    </row>
    <row r="449" spans="1:9" ht="15.75" customHeight="1" thickBot="1">
      <c r="A449" s="16">
        <v>44562</v>
      </c>
      <c r="B449" s="15">
        <v>4515.55</v>
      </c>
      <c r="C449" s="3">
        <f t="shared" si="57"/>
        <v>-250.63000000000011</v>
      </c>
      <c r="D449" s="3">
        <f t="shared" si="52"/>
        <v>0</v>
      </c>
      <c r="E449" s="3">
        <f t="shared" si="53"/>
        <v>250.63000000000011</v>
      </c>
      <c r="F449" s="3">
        <f t="shared" si="54"/>
        <v>100.01352675466913</v>
      </c>
      <c r="G449" s="3">
        <f t="shared" si="54"/>
        <v>51.153677125687913</v>
      </c>
      <c r="H449" s="3">
        <f t="shared" si="55"/>
        <v>1.9551581112913816</v>
      </c>
      <c r="I449" s="3">
        <f t="shared" si="56"/>
        <v>66.160863062484069</v>
      </c>
    </row>
    <row r="450" spans="1:9" ht="15.75" customHeight="1" thickBot="1">
      <c r="A450" s="16">
        <v>44593</v>
      </c>
      <c r="B450" s="15">
        <v>4373.9399999999996</v>
      </c>
      <c r="C450" s="3">
        <f t="shared" si="57"/>
        <v>-141.61000000000058</v>
      </c>
      <c r="D450" s="3">
        <f t="shared" si="52"/>
        <v>0</v>
      </c>
      <c r="E450" s="3">
        <f t="shared" si="53"/>
        <v>141.61000000000058</v>
      </c>
      <c r="F450" s="3">
        <f t="shared" si="54"/>
        <v>92.869703415049912</v>
      </c>
      <c r="G450" s="3">
        <f t="shared" si="54"/>
        <v>57.614843045281681</v>
      </c>
      <c r="H450" s="3">
        <f t="shared" si="55"/>
        <v>1.611905864987953</v>
      </c>
      <c r="I450" s="3">
        <f t="shared" si="56"/>
        <v>61.713780982508254</v>
      </c>
    </row>
    <row r="451" spans="1:9" ht="15.75" customHeight="1" thickBot="1">
      <c r="A451" s="16">
        <v>44621</v>
      </c>
      <c r="B451" s="15">
        <v>4530.41</v>
      </c>
      <c r="C451" s="3">
        <f t="shared" si="57"/>
        <v>156.47000000000025</v>
      </c>
      <c r="D451" s="3">
        <f t="shared" si="52"/>
        <v>156.47000000000025</v>
      </c>
      <c r="E451" s="3">
        <f t="shared" si="53"/>
        <v>0</v>
      </c>
      <c r="F451" s="3">
        <f t="shared" si="54"/>
        <v>97.412581742546379</v>
      </c>
      <c r="G451" s="3">
        <f t="shared" si="54"/>
        <v>53.499497113475847</v>
      </c>
      <c r="H451" s="3">
        <f t="shared" si="55"/>
        <v>1.8208130356053269</v>
      </c>
      <c r="I451" s="3">
        <f t="shared" si="56"/>
        <v>64.549227921963038</v>
      </c>
    </row>
    <row r="452" spans="1:9" ht="15.75" customHeight="1" thickBot="1">
      <c r="A452" s="16">
        <v>44652</v>
      </c>
      <c r="B452" s="15">
        <v>4131.93</v>
      </c>
      <c r="C452" s="3">
        <f t="shared" si="57"/>
        <v>-398.47999999999956</v>
      </c>
      <c r="D452" s="3">
        <f t="shared" si="52"/>
        <v>0</v>
      </c>
      <c r="E452" s="3">
        <f t="shared" si="53"/>
        <v>398.47999999999956</v>
      </c>
      <c r="F452" s="3">
        <f t="shared" si="54"/>
        <v>90.454540189507355</v>
      </c>
      <c r="G452" s="3">
        <f t="shared" si="54"/>
        <v>78.140961605370393</v>
      </c>
      <c r="H452" s="3">
        <f t="shared" si="55"/>
        <v>1.1575816106067818</v>
      </c>
      <c r="I452" s="3">
        <f t="shared" si="56"/>
        <v>53.651811125755387</v>
      </c>
    </row>
    <row r="453" spans="1:9" ht="15.75" customHeight="1" thickBot="1">
      <c r="A453" s="16">
        <v>44682</v>
      </c>
      <c r="B453" s="15">
        <v>4132.1499999999996</v>
      </c>
      <c r="C453" s="3">
        <f t="shared" si="57"/>
        <v>0.21999999999934516</v>
      </c>
      <c r="D453" s="3">
        <f t="shared" si="52"/>
        <v>0.21999999999934516</v>
      </c>
      <c r="E453" s="3">
        <f t="shared" si="53"/>
        <v>0</v>
      </c>
      <c r="F453" s="3">
        <f t="shared" si="54"/>
        <v>84.009215890256783</v>
      </c>
      <c r="G453" s="3">
        <f t="shared" si="54"/>
        <v>72.559464347843942</v>
      </c>
      <c r="H453" s="3">
        <f t="shared" si="55"/>
        <v>1.1577981817440617</v>
      </c>
      <c r="I453" s="3">
        <f t="shared" si="56"/>
        <v>53.656462941694571</v>
      </c>
    </row>
    <row r="454" spans="1:9" ht="15.75" customHeight="1" thickBot="1">
      <c r="A454" s="16">
        <v>44713</v>
      </c>
      <c r="B454" s="15">
        <v>3785.38</v>
      </c>
      <c r="C454" s="3">
        <f t="shared" si="57"/>
        <v>-346.76999999999953</v>
      </c>
      <c r="D454" s="3">
        <f t="shared" si="52"/>
        <v>0</v>
      </c>
      <c r="E454" s="3">
        <f t="shared" si="53"/>
        <v>346.76999999999953</v>
      </c>
      <c r="F454" s="3">
        <f t="shared" si="54"/>
        <v>78.008557612381296</v>
      </c>
      <c r="G454" s="3">
        <f t="shared" si="54"/>
        <v>92.145931180140778</v>
      </c>
      <c r="H454" s="3">
        <f t="shared" si="55"/>
        <v>0.84657625804310765</v>
      </c>
      <c r="I454" s="3">
        <f t="shared" si="56"/>
        <v>45.845724180395294</v>
      </c>
    </row>
    <row r="455" spans="1:9" ht="15.75" customHeight="1" thickBot="1">
      <c r="A455" s="16">
        <v>44743</v>
      </c>
      <c r="B455" s="15">
        <v>4130.29</v>
      </c>
      <c r="C455" s="3">
        <f t="shared" si="57"/>
        <v>344.90999999999985</v>
      </c>
      <c r="D455" s="3">
        <f t="shared" si="52"/>
        <v>344.90999999999985</v>
      </c>
      <c r="E455" s="3">
        <f t="shared" si="53"/>
        <v>0</v>
      </c>
      <c r="F455" s="3">
        <f t="shared" si="54"/>
        <v>97.072946354354045</v>
      </c>
      <c r="G455" s="3">
        <f t="shared" si="54"/>
        <v>85.56407895298787</v>
      </c>
      <c r="H455" s="3">
        <f t="shared" si="55"/>
        <v>1.1345058293409502</v>
      </c>
      <c r="I455" s="3">
        <f t="shared" si="56"/>
        <v>53.150748700051111</v>
      </c>
    </row>
    <row r="456" spans="1:9" ht="15.75" customHeight="1" thickBot="1">
      <c r="A456" s="16">
        <v>44774</v>
      </c>
      <c r="B456" s="15">
        <v>3955</v>
      </c>
      <c r="C456" s="3">
        <f t="shared" si="57"/>
        <v>-175.28999999999996</v>
      </c>
      <c r="D456" s="3">
        <f t="shared" si="52"/>
        <v>0</v>
      </c>
      <c r="E456" s="3">
        <f t="shared" si="53"/>
        <v>175.28999999999996</v>
      </c>
      <c r="F456" s="3">
        <f t="shared" si="54"/>
        <v>90.139164471900173</v>
      </c>
      <c r="G456" s="3">
        <f t="shared" si="54"/>
        <v>91.97307331348874</v>
      </c>
      <c r="H456" s="3">
        <f t="shared" si="55"/>
        <v>0.98006037228594378</v>
      </c>
      <c r="I456" s="3">
        <f t="shared" si="56"/>
        <v>49.496489400193482</v>
      </c>
    </row>
    <row r="457" spans="1:9" ht="15.75" customHeight="1" thickBot="1">
      <c r="A457" s="16">
        <v>44805</v>
      </c>
      <c r="B457" s="15">
        <v>3585.62</v>
      </c>
      <c r="C457" s="3">
        <f t="shared" si="57"/>
        <v>-369.38000000000011</v>
      </c>
      <c r="D457" s="3">
        <f t="shared" si="52"/>
        <v>0</v>
      </c>
      <c r="E457" s="3">
        <f t="shared" si="53"/>
        <v>369.38000000000011</v>
      </c>
      <c r="F457" s="3">
        <f t="shared" si="54"/>
        <v>83.700652723907297</v>
      </c>
      <c r="G457" s="3">
        <f t="shared" si="54"/>
        <v>111.78785379109669</v>
      </c>
      <c r="H457" s="3">
        <f t="shared" si="55"/>
        <v>0.74874550217524261</v>
      </c>
      <c r="I457" s="3">
        <f t="shared" si="56"/>
        <v>42.816150277092206</v>
      </c>
    </row>
    <row r="458" spans="1:9" ht="15.75" customHeight="1" thickBot="1">
      <c r="A458" s="16">
        <v>44835</v>
      </c>
      <c r="B458" s="15">
        <v>3871.98</v>
      </c>
      <c r="C458" s="3">
        <f t="shared" si="57"/>
        <v>286.36000000000013</v>
      </c>
      <c r="D458" s="3">
        <f t="shared" si="52"/>
        <v>286.36000000000013</v>
      </c>
      <c r="E458" s="3">
        <f t="shared" si="53"/>
        <v>0</v>
      </c>
      <c r="F458" s="3">
        <f t="shared" si="54"/>
        <v>98.176320386485358</v>
      </c>
      <c r="G458" s="3">
        <f t="shared" si="54"/>
        <v>103.80300709173264</v>
      </c>
      <c r="H458" s="3">
        <f t="shared" si="55"/>
        <v>0.94579456932037742</v>
      </c>
      <c r="I458" s="3">
        <f t="shared" si="56"/>
        <v>48.607113219085726</v>
      </c>
    </row>
    <row r="459" spans="1:9" ht="15.75" customHeight="1" thickBot="1">
      <c r="A459" s="16">
        <v>44866</v>
      </c>
      <c r="B459" s="15">
        <v>4080.11</v>
      </c>
      <c r="C459" s="3">
        <f t="shared" si="57"/>
        <v>208.13000000000011</v>
      </c>
      <c r="D459" s="3">
        <f t="shared" si="52"/>
        <v>208.13000000000011</v>
      </c>
      <c r="E459" s="3">
        <f t="shared" si="53"/>
        <v>0</v>
      </c>
      <c r="F459" s="3">
        <f t="shared" si="54"/>
        <v>106.03015464459357</v>
      </c>
      <c r="G459" s="3">
        <f t="shared" si="54"/>
        <v>96.388506585180295</v>
      </c>
      <c r="H459" s="3">
        <f t="shared" si="55"/>
        <v>1.1000290221416884</v>
      </c>
      <c r="I459" s="3">
        <f t="shared" si="56"/>
        <v>52.38161047030853</v>
      </c>
    </row>
    <row r="460" spans="1:9" ht="15.75" customHeight="1" thickBot="1">
      <c r="A460" s="16">
        <v>44896</v>
      </c>
      <c r="B460" s="15">
        <v>3839.5</v>
      </c>
      <c r="C460" s="3">
        <f t="shared" si="57"/>
        <v>-240.61000000000013</v>
      </c>
      <c r="D460" s="3">
        <f t="shared" si="52"/>
        <v>0</v>
      </c>
      <c r="E460" s="3">
        <f t="shared" si="53"/>
        <v>240.61000000000013</v>
      </c>
      <c r="F460" s="3">
        <f t="shared" si="54"/>
        <v>98.456572169979736</v>
      </c>
      <c r="G460" s="3">
        <f t="shared" si="54"/>
        <v>106.690041829096</v>
      </c>
      <c r="H460" s="3">
        <f t="shared" si="55"/>
        <v>0.92282813355434568</v>
      </c>
      <c r="I460" s="3">
        <f t="shared" si="56"/>
        <v>47.993271860886438</v>
      </c>
    </row>
    <row r="461" spans="1:9" ht="15.75" customHeight="1" thickBot="1">
      <c r="A461" s="16">
        <v>44927</v>
      </c>
      <c r="B461" s="15">
        <v>4076.6</v>
      </c>
      <c r="C461" s="3">
        <f t="shared" si="57"/>
        <v>237.09999999999991</v>
      </c>
      <c r="D461" s="3">
        <f t="shared" si="52"/>
        <v>237.09999999999991</v>
      </c>
      <c r="E461" s="3">
        <f t="shared" si="53"/>
        <v>0</v>
      </c>
      <c r="F461" s="3">
        <f t="shared" si="54"/>
        <v>108.35967415783831</v>
      </c>
      <c r="G461" s="3">
        <f t="shared" si="54"/>
        <v>99.069324555589148</v>
      </c>
      <c r="H461" s="3">
        <f t="shared" si="55"/>
        <v>1.0937762485403464</v>
      </c>
      <c r="I461" s="3">
        <f t="shared" si="56"/>
        <v>52.239404726405738</v>
      </c>
    </row>
    <row r="462" spans="1:9" ht="15.75" customHeight="1" thickBot="1">
      <c r="A462" s="16">
        <v>44958</v>
      </c>
      <c r="B462" s="15">
        <v>3970.15</v>
      </c>
      <c r="C462" s="3">
        <f t="shared" si="57"/>
        <v>-106.44999999999982</v>
      </c>
      <c r="D462" s="3">
        <f t="shared" si="52"/>
        <v>0</v>
      </c>
      <c r="E462" s="3">
        <f t="shared" si="53"/>
        <v>106.44999999999982</v>
      </c>
      <c r="F462" s="3">
        <f t="shared" si="54"/>
        <v>100.61969743227844</v>
      </c>
      <c r="G462" s="3">
        <f t="shared" si="54"/>
        <v>99.596515658761334</v>
      </c>
      <c r="H462" s="3">
        <f t="shared" si="55"/>
        <v>1.0102732687659752</v>
      </c>
      <c r="I462" s="3">
        <f t="shared" si="56"/>
        <v>50.255519210387796</v>
      </c>
    </row>
    <row r="463" spans="1:9" ht="15.75" customHeight="1" thickBot="1">
      <c r="A463" s="16">
        <v>44986</v>
      </c>
      <c r="B463" s="15">
        <v>3916.64</v>
      </c>
      <c r="C463" s="3">
        <f t="shared" si="57"/>
        <v>-53.510000000000218</v>
      </c>
      <c r="D463" s="3">
        <f t="shared" si="52"/>
        <v>0</v>
      </c>
      <c r="E463" s="3">
        <f t="shared" si="53"/>
        <v>53.510000000000218</v>
      </c>
      <c r="F463" s="3">
        <f t="shared" si="54"/>
        <v>93.4325761871157</v>
      </c>
      <c r="G463" s="3">
        <f t="shared" si="54"/>
        <v>96.304621683135537</v>
      </c>
      <c r="H463" s="3">
        <f t="shared" si="55"/>
        <v>0.9701774904898175</v>
      </c>
      <c r="I463" s="3">
        <f t="shared" si="56"/>
        <v>49.243151704500285</v>
      </c>
    </row>
    <row r="464" spans="1:9" ht="15.75" customHeight="1">
      <c r="A464" s="16">
        <v>45002</v>
      </c>
      <c r="B464" s="15">
        <v>3916.64</v>
      </c>
      <c r="C464" s="3">
        <f t="shared" si="57"/>
        <v>0</v>
      </c>
      <c r="D464" s="3">
        <f t="shared" si="52"/>
        <v>0</v>
      </c>
      <c r="E464" s="3">
        <f t="shared" si="53"/>
        <v>0</v>
      </c>
      <c r="F464" s="3">
        <f t="shared" si="54"/>
        <v>86.758820745178852</v>
      </c>
      <c r="G464" s="3">
        <f t="shared" si="54"/>
        <v>89.425720134340139</v>
      </c>
      <c r="H464" s="3">
        <f t="shared" si="55"/>
        <v>0.97017749048981738</v>
      </c>
      <c r="I464" s="3">
        <f t="shared" si="56"/>
        <v>49.243151704500278</v>
      </c>
    </row>
  </sheetData>
  <phoneticPr fontId="1" type="noConversion"/>
  <hyperlinks>
    <hyperlink ref="A2" r:id="rId1" xr:uid="{00000000-0004-0000-0000-000000000000}"/>
  </hyperlinks>
  <pageMargins left="0.75" right="0.75" top="1" bottom="1" header="0.5" footer="0.5"/>
  <pageSetup orientation="portrait" horizontalDpi="4294967293" verticalDpi="0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Sushma Pamidi</cp:lastModifiedBy>
  <dcterms:created xsi:type="dcterms:W3CDTF">2010-03-25T14:42:42Z</dcterms:created>
  <dcterms:modified xsi:type="dcterms:W3CDTF">2023-03-19T19:55:50Z</dcterms:modified>
</cp:coreProperties>
</file>